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\SuppXLS\"/>
    </mc:Choice>
  </mc:AlternateContent>
  <xr:revisionPtr revIDLastSave="0" documentId="8_{CFCFC2F7-1205-4C85-932A-4179F25C58EF}" xr6:coauthVersionLast="47" xr6:coauthVersionMax="47" xr10:uidLastSave="{00000000-0000-0000-0000-000000000000}"/>
  <bookViews>
    <workbookView xWindow="-98" yWindow="-98" windowWidth="28996" windowHeight="17475" firstSheet="15" activeTab="1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3p3v3_d" sheetId="8" r:id="rId7"/>
    <sheet name="s2_w" sheetId="9" r:id="rId8"/>
    <sheet name="s2_w_p2_d" sheetId="10" r:id="rId9"/>
    <sheet name="ts12_clu" sheetId="11" r:id="rId10"/>
    <sheet name="ts24_clu" sheetId="12" r:id="rId11"/>
    <sheet name="ts48_clu" sheetId="13" r:id="rId12"/>
    <sheet name="s5p5v5_d" sheetId="14" r:id="rId13"/>
    <sheet name="s1_d" sheetId="15" r:id="rId14"/>
    <sheet name="ts_annual" sheetId="16" r:id="rId15"/>
    <sheet name="ts_12" sheetId="17" r:id="rId16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7" l="1"/>
  <c r="AG9" i="17"/>
  <c r="AC9" i="17"/>
  <c r="A10" i="6"/>
  <c r="X9" i="17"/>
  <c r="S9" i="17"/>
  <c r="N9" i="17"/>
  <c r="I9" i="17"/>
  <c r="A11" i="17"/>
  <c r="C9" i="17" s="1"/>
  <c r="AK9" i="16"/>
  <c r="AG9" i="16"/>
  <c r="AC9" i="1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B10" i="1"/>
  <c r="B11" i="1"/>
  <c r="B12" i="1"/>
  <c r="B13" i="1"/>
  <c r="B9" i="1"/>
  <c r="D2" i="1" l="1"/>
  <c r="H48" i="1"/>
  <c r="H47" i="1"/>
  <c r="H46" i="1"/>
  <c r="H45" i="1"/>
  <c r="H24" i="6"/>
  <c r="H23" i="6"/>
  <c r="D5" i="1"/>
  <c r="E54" i="1"/>
  <c r="E43" i="1"/>
  <c r="E32" i="1"/>
  <c r="E21" i="1"/>
  <c r="E14" i="1"/>
  <c r="D30" i="1"/>
  <c r="D41" i="1" s="1"/>
  <c r="D52" i="1" s="1"/>
  <c r="D63" i="1" s="1"/>
  <c r="D29" i="1"/>
  <c r="D40" i="1" s="1"/>
  <c r="D51" i="1" s="1"/>
  <c r="D62" i="1" s="1"/>
  <c r="D28" i="1"/>
  <c r="D39" i="1" s="1"/>
  <c r="D50" i="1" s="1"/>
  <c r="D61" i="1" s="1"/>
  <c r="D27" i="1"/>
  <c r="D38" i="1" s="1"/>
  <c r="D49" i="1" s="1"/>
  <c r="D60" i="1" s="1"/>
  <c r="D26" i="1"/>
  <c r="D37" i="1" s="1"/>
  <c r="D48" i="1" s="1"/>
  <c r="D59" i="1" s="1"/>
  <c r="D25" i="1"/>
  <c r="D36" i="1" s="1"/>
  <c r="D47" i="1" s="1"/>
  <c r="D58" i="1" s="1"/>
  <c r="D24" i="1"/>
  <c r="D35" i="1" s="1"/>
  <c r="D46" i="1" s="1"/>
  <c r="D57" i="1" s="1"/>
  <c r="D23" i="1"/>
  <c r="D34" i="1" s="1"/>
  <c r="D45" i="1" s="1"/>
  <c r="D56" i="1" s="1"/>
  <c r="D22" i="1"/>
  <c r="D33" i="1" s="1"/>
  <c r="D44" i="1" s="1"/>
  <c r="D55" i="1" s="1"/>
  <c r="D21" i="1"/>
  <c r="D32" i="1" s="1"/>
  <c r="D43" i="1" s="1"/>
  <c r="D54" i="1" s="1"/>
  <c r="D20" i="1"/>
  <c r="H21" i="6" l="1"/>
  <c r="E15" i="1"/>
  <c r="B14" i="1"/>
  <c r="E22" i="1"/>
  <c r="B21" i="1"/>
  <c r="E33" i="1"/>
  <c r="B32" i="1"/>
  <c r="E44" i="1"/>
  <c r="B43" i="1"/>
  <c r="E55" i="1"/>
  <c r="B54" i="1"/>
  <c r="D31" i="1"/>
  <c r="B20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D42" i="1" l="1"/>
  <c r="B31" i="1"/>
  <c r="E56" i="1"/>
  <c r="B55" i="1"/>
  <c r="E45" i="1"/>
  <c r="B44" i="1"/>
  <c r="E34" i="1"/>
  <c r="B33" i="1"/>
  <c r="K40" i="1"/>
  <c r="E23" i="1"/>
  <c r="B22" i="1"/>
  <c r="E16" i="1"/>
  <c r="B15" i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K48" i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E17" i="1" l="1"/>
  <c r="B16" i="1"/>
  <c r="E24" i="1"/>
  <c r="B23" i="1"/>
  <c r="E35" i="1"/>
  <c r="B34" i="1"/>
  <c r="E46" i="1"/>
  <c r="B45" i="1"/>
  <c r="E57" i="1"/>
  <c r="B56" i="1"/>
  <c r="D53" i="1"/>
  <c r="B53" i="1" s="1"/>
  <c r="B42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47" i="1" l="1"/>
  <c r="B46" i="1"/>
  <c r="E36" i="1"/>
  <c r="B35" i="1"/>
  <c r="E58" i="1"/>
  <c r="B57" i="1"/>
  <c r="E25" i="1"/>
  <c r="B24" i="1"/>
  <c r="E18" i="1"/>
  <c r="B17" i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E19" i="1" l="1"/>
  <c r="B19" i="1" s="1"/>
  <c r="B18" i="1"/>
  <c r="E59" i="1"/>
  <c r="B58" i="1"/>
  <c r="E37" i="1"/>
  <c r="B36" i="1"/>
  <c r="E26" i="1"/>
  <c r="B25" i="1"/>
  <c r="E48" i="1"/>
  <c r="B47" i="1"/>
  <c r="U22" i="1"/>
  <c r="Y22" i="1"/>
  <c r="E38" i="1" l="1"/>
  <c r="B37" i="1"/>
  <c r="E60" i="1"/>
  <c r="B59" i="1"/>
  <c r="E49" i="1"/>
  <c r="B48" i="1"/>
  <c r="E27" i="1"/>
  <c r="B26" i="1"/>
  <c r="E28" i="1" l="1"/>
  <c r="B27" i="1"/>
  <c r="E50" i="1"/>
  <c r="B49" i="1"/>
  <c r="E61" i="1"/>
  <c r="B60" i="1"/>
  <c r="E39" i="1"/>
  <c r="B38" i="1"/>
  <c r="E40" i="1" l="1"/>
  <c r="B39" i="1"/>
  <c r="E62" i="1"/>
  <c r="B61" i="1"/>
  <c r="E51" i="1"/>
  <c r="B50" i="1"/>
  <c r="E29" i="1"/>
  <c r="B28" i="1"/>
  <c r="E30" i="1" l="1"/>
  <c r="B30" i="1" s="1"/>
  <c r="B29" i="1"/>
  <c r="E52" i="1"/>
  <c r="B52" i="1" s="1"/>
  <c r="B51" i="1"/>
  <c r="E63" i="1"/>
  <c r="B63" i="1" s="1"/>
  <c r="B62" i="1"/>
  <c r="E41" i="1"/>
  <c r="B41" i="1" s="1"/>
  <c r="B40" i="1"/>
</calcChain>
</file>

<file path=xl/sharedStrings.xml><?xml version="1.0" encoding="utf-8"?>
<sst xmlns="http://schemas.openxmlformats.org/spreadsheetml/2006/main" count="35232" uniqueCount="2349">
  <si>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</si>
  <si>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</si>
  <si>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</si>
  <si>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</si>
  <si>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</si>
  <si>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</si>
  <si>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</si>
  <si>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</si>
  <si>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</si>
  <si>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</si>
  <si>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</si>
  <si>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</si>
  <si>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</si>
  <si>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</si>
  <si>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</si>
  <si>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</si>
  <si>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</si>
  <si>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</si>
  <si>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</si>
  <si>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</si>
  <si>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</si>
  <si>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</si>
  <si>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</si>
  <si>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</si>
  <si>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</si>
  <si>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</si>
  <si>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</si>
  <si>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</si>
  <si>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</si>
  <si>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</si>
  <si>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</si>
  <si>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</si>
  <si>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</si>
  <si>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</si>
  <si>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</si>
  <si>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</si>
  <si>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</si>
  <si>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</si>
  <si>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</si>
  <si>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</si>
  <si>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</si>
  <si>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</si>
  <si>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</si>
  <si>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</si>
  <si>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</si>
  <si>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</si>
  <si>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</si>
  <si>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</si>
  <si>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</si>
  <si>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</si>
  <si>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</si>
  <si>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</si>
  <si>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</si>
  <si>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</si>
  <si>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</si>
  <si>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</si>
  <si>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</si>
  <si>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</si>
  <si>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</si>
  <si>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</si>
  <si>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</si>
  <si>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</si>
  <si>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</si>
  <si>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</si>
  <si>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</si>
  <si>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</si>
  <si>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</si>
  <si>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</si>
  <si>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</si>
  <si>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</si>
  <si>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</si>
  <si>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</si>
  <si>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</si>
  <si>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</si>
  <si>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</si>
  <si>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</si>
  <si>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</si>
  <si>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</si>
  <si>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</si>
  <si>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</si>
  <si>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</si>
  <si>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</si>
  <si>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</si>
  <si>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</si>
  <si>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</si>
  <si>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</si>
  <si>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</si>
  <si>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</si>
  <si>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</si>
  <si>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</si>
  <si>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</si>
  <si>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</si>
  <si>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</si>
  <si>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</si>
  <si>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</si>
  <si>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</si>
  <si>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</si>
  <si>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</si>
  <si>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</si>
  <si>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</si>
  <si>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</si>
  <si>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</si>
  <si>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</si>
  <si>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</si>
  <si>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</si>
  <si>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</si>
  <si>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</si>
  <si>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</si>
  <si>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</si>
  <si>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</si>
  <si>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s1_d</t>
  </si>
  <si>
    <t>ts_annual</t>
  </si>
  <si>
    <t>ts_12</t>
  </si>
  <si>
    <t>pset_co</t>
  </si>
  <si>
    <t>1-55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</si>
  <si>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</si>
  <si>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</si>
  <si>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</si>
  <si>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</si>
  <si>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</si>
  <si>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</si>
  <si>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</si>
  <si>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</si>
  <si>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hTS12c</t>
  </si>
  <si>
    <t>a 3 deg</t>
  </si>
  <si>
    <t>gTS24c</t>
  </si>
  <si>
    <t>fTS48c</t>
  </si>
  <si>
    <t>c15d</t>
  </si>
  <si>
    <t>iTS12</t>
  </si>
  <si>
    <t>jAnn</t>
  </si>
  <si>
    <t>f1d</t>
  </si>
  <si>
    <t>~Scenmap</t>
  </si>
  <si>
    <t>scen</t>
  </si>
  <si>
    <t>case_no</t>
  </si>
  <si>
    <t>timeslice</t>
  </si>
  <si>
    <t>climate</t>
  </si>
  <si>
    <t>priority</t>
  </si>
  <si>
    <t>DEU</t>
  </si>
  <si>
    <t>R10EUROPE</t>
  </si>
  <si>
    <t>TTF gas hub, imported coal via ARA</t>
  </si>
  <si>
    <t>season</t>
  </si>
  <si>
    <t>weekly</t>
  </si>
  <si>
    <t>daynite</t>
  </si>
  <si>
    <t>wparent</t>
  </si>
  <si>
    <t>dparent</t>
  </si>
  <si>
    <t>S1</t>
  </si>
  <si>
    <t>a</t>
  </si>
  <si>
    <t>0314h01</t>
  </si>
  <si>
    <t>S1,S2,S3,S4</t>
  </si>
  <si>
    <t>b</t>
  </si>
  <si>
    <t>S2</t>
  </si>
  <si>
    <t>0314h02</t>
  </si>
  <si>
    <t>S3</t>
  </si>
  <si>
    <t>c</t>
  </si>
  <si>
    <t>0314h03</t>
  </si>
  <si>
    <t>S4</t>
  </si>
  <si>
    <t>d</t>
  </si>
  <si>
    <t>0314h04</t>
  </si>
  <si>
    <t>0314h05</t>
  </si>
  <si>
    <t>0314h06</t>
  </si>
  <si>
    <t>0314h07</t>
  </si>
  <si>
    <t>0314h08</t>
  </si>
  <si>
    <t>0314h09</t>
  </si>
  <si>
    <t>0314h10</t>
  </si>
  <si>
    <t>0314h11</t>
  </si>
  <si>
    <t>0314h12</t>
  </si>
  <si>
    <t>0314h13</t>
  </si>
  <si>
    <t>0314h14</t>
  </si>
  <si>
    <t>0314h15</t>
  </si>
  <si>
    <t>0314h16</t>
  </si>
  <si>
    <t>0314h17</t>
  </si>
  <si>
    <t>0314h18</t>
  </si>
  <si>
    <t>0314h19</t>
  </si>
  <si>
    <t>0314h20</t>
  </si>
  <si>
    <t>0314h21</t>
  </si>
  <si>
    <t>0314h22</t>
  </si>
  <si>
    <t>0314h23</t>
  </si>
  <si>
    <t>0314h24</t>
  </si>
  <si>
    <t>0316h01</t>
  </si>
  <si>
    <t>0316h02</t>
  </si>
  <si>
    <t>0316h03</t>
  </si>
  <si>
    <t>0316h04</t>
  </si>
  <si>
    <t>0316h05</t>
  </si>
  <si>
    <t>0316h06</t>
  </si>
  <si>
    <t>0316h07</t>
  </si>
  <si>
    <t>0316h08</t>
  </si>
  <si>
    <t>0316h09</t>
  </si>
  <si>
    <t>0316h10</t>
  </si>
  <si>
    <t>0316h11</t>
  </si>
  <si>
    <t>0316h12</t>
  </si>
  <si>
    <t>0316h13</t>
  </si>
  <si>
    <t>0316h14</t>
  </si>
  <si>
    <t>0316h15</t>
  </si>
  <si>
    <t>0316h16</t>
  </si>
  <si>
    <t>0316h17</t>
  </si>
  <si>
    <t>0316h18</t>
  </si>
  <si>
    <t>0316h19</t>
  </si>
  <si>
    <t>0316h20</t>
  </si>
  <si>
    <t>0316h21</t>
  </si>
  <si>
    <t>0316h22</t>
  </si>
  <si>
    <t>0316h23</t>
  </si>
  <si>
    <t>0316h24</t>
  </si>
  <si>
    <t>1006h01</t>
  </si>
  <si>
    <t>1006h02</t>
  </si>
  <si>
    <t>1006h03</t>
  </si>
  <si>
    <t>1006h04</t>
  </si>
  <si>
    <t>1006h05</t>
  </si>
  <si>
    <t>1006h06</t>
  </si>
  <si>
    <t>1006h07</t>
  </si>
  <si>
    <t>1006h08</t>
  </si>
  <si>
    <t>1006h09</t>
  </si>
  <si>
    <t>1006h10</t>
  </si>
  <si>
    <t>1006h11</t>
  </si>
  <si>
    <t>1006h12</t>
  </si>
  <si>
    <t>1006h13</t>
  </si>
  <si>
    <t>1006h14</t>
  </si>
  <si>
    <t>1006h15</t>
  </si>
  <si>
    <t>1006h16</t>
  </si>
  <si>
    <t>1006h17</t>
  </si>
  <si>
    <t>1006h18</t>
  </si>
  <si>
    <t>1006h19</t>
  </si>
  <si>
    <t>1006h20</t>
  </si>
  <si>
    <t>1006h21</t>
  </si>
  <si>
    <t>1006h22</t>
  </si>
  <si>
    <t>1006h23</t>
  </si>
  <si>
    <t>1006h24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</si>
  <si>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</si>
  <si>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</si>
  <si>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</si>
  <si>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</si>
  <si>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</si>
  <si>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</si>
  <si>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</si>
  <si>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</si>
  <si>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</si>
  <si>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com_fr</t>
  </si>
  <si>
    <t>elc_spv-DEU</t>
  </si>
  <si>
    <t>S1aH1</t>
  </si>
  <si>
    <t>IMPNRGZ</t>
  </si>
  <si>
    <t>S1aH2</t>
  </si>
  <si>
    <t>S1aH3</t>
  </si>
  <si>
    <t>S1aH4</t>
  </si>
  <si>
    <t>S1aH5</t>
  </si>
  <si>
    <t>S1aH6</t>
  </si>
  <si>
    <t>S1aH7</t>
  </si>
  <si>
    <t>S1aH8</t>
  </si>
  <si>
    <t>S1aH9</t>
  </si>
  <si>
    <t>S2aH1</t>
  </si>
  <si>
    <t>S2aH2</t>
  </si>
  <si>
    <t>S2aH3</t>
  </si>
  <si>
    <t>S2aH4</t>
  </si>
  <si>
    <t>S2aH5</t>
  </si>
  <si>
    <t>S2aH6</t>
  </si>
  <si>
    <t>S2aH7</t>
  </si>
  <si>
    <t>S2aH8</t>
  </si>
  <si>
    <t>S2aH9</t>
  </si>
  <si>
    <t>S2b0314h01</t>
  </si>
  <si>
    <t>S2b0314h02</t>
  </si>
  <si>
    <t>S2b0314h03</t>
  </si>
  <si>
    <t>S2b0314h04</t>
  </si>
  <si>
    <t>S2b0314h05</t>
  </si>
  <si>
    <t>S2b0314h06</t>
  </si>
  <si>
    <t>S2b0314h07</t>
  </si>
  <si>
    <t>S2b0314h08</t>
  </si>
  <si>
    <t>S2b0314h09</t>
  </si>
  <si>
    <t>S2b0314h10</t>
  </si>
  <si>
    <t>S2b0314h11</t>
  </si>
  <si>
    <t>S2b0314h12</t>
  </si>
  <si>
    <t>S2b0314h13</t>
  </si>
  <si>
    <t>S2b0314h14</t>
  </si>
  <si>
    <t>S2b0314h15</t>
  </si>
  <si>
    <t>S2b0314h16</t>
  </si>
  <si>
    <t>S2b0314h17</t>
  </si>
  <si>
    <t>S2b0314h18</t>
  </si>
  <si>
    <t>S2b0314h19</t>
  </si>
  <si>
    <t>S2b0314h20</t>
  </si>
  <si>
    <t>S2b0314h21</t>
  </si>
  <si>
    <t>S2b0314h22</t>
  </si>
  <si>
    <t>S2b0314h23</t>
  </si>
  <si>
    <t>S2b0314h24</t>
  </si>
  <si>
    <t>S2c0316h01</t>
  </si>
  <si>
    <t>S2c0316h02</t>
  </si>
  <si>
    <t>S2c0316h03</t>
  </si>
  <si>
    <t>S2c0316h04</t>
  </si>
  <si>
    <t>S2c0316h05</t>
  </si>
  <si>
    <t>S2c0316h06</t>
  </si>
  <si>
    <t>S2c0316h07</t>
  </si>
  <si>
    <t>S2c0316h08</t>
  </si>
  <si>
    <t>S2c0316h09</t>
  </si>
  <si>
    <t>S2c0316h10</t>
  </si>
  <si>
    <t>S2c0316h11</t>
  </si>
  <si>
    <t>S2c0316h12</t>
  </si>
  <si>
    <t>S2c0316h13</t>
  </si>
  <si>
    <t>S2c0316h14</t>
  </si>
  <si>
    <t>S2c0316h15</t>
  </si>
  <si>
    <t>S2c0316h16</t>
  </si>
  <si>
    <t>S2c0316h17</t>
  </si>
  <si>
    <t>S2c0316h18</t>
  </si>
  <si>
    <t>S2c0316h19</t>
  </si>
  <si>
    <t>S2c0316h20</t>
  </si>
  <si>
    <t>S2c0316h21</t>
  </si>
  <si>
    <t>S2c0316h22</t>
  </si>
  <si>
    <t>S2c0316h23</t>
  </si>
  <si>
    <t>S2c0316h24</t>
  </si>
  <si>
    <t>S2d1006h01</t>
  </si>
  <si>
    <t>S2d1006h02</t>
  </si>
  <si>
    <t>S2d1006h03</t>
  </si>
  <si>
    <t>S2d1006h04</t>
  </si>
  <si>
    <t>S2d1006h05</t>
  </si>
  <si>
    <t>S2d1006h06</t>
  </si>
  <si>
    <t>S2d1006h07</t>
  </si>
  <si>
    <t>S2d1006h08</t>
  </si>
  <si>
    <t>S2d1006h09</t>
  </si>
  <si>
    <t>S2d1006h10</t>
  </si>
  <si>
    <t>S2d1006h11</t>
  </si>
  <si>
    <t>S2d1006h12</t>
  </si>
  <si>
    <t>S2d1006h13</t>
  </si>
  <si>
    <t>S2d1006h14</t>
  </si>
  <si>
    <t>S2d1006h15</t>
  </si>
  <si>
    <t>S2d1006h16</t>
  </si>
  <si>
    <t>S2d1006h17</t>
  </si>
  <si>
    <t>S2d1006h18</t>
  </si>
  <si>
    <t>S2d1006h19</t>
  </si>
  <si>
    <t>S2d1006h20</t>
  </si>
  <si>
    <t>S2d1006h21</t>
  </si>
  <si>
    <t>S2d1006h22</t>
  </si>
  <si>
    <t>S2d1006h23</t>
  </si>
  <si>
    <t>S2d1006h24</t>
  </si>
  <si>
    <t>S3aH1</t>
  </si>
  <si>
    <t>S3aH2</t>
  </si>
  <si>
    <t>S3aH3</t>
  </si>
  <si>
    <t>S3aH4</t>
  </si>
  <si>
    <t>S3aH5</t>
  </si>
  <si>
    <t>S3aH6</t>
  </si>
  <si>
    <t>S3aH7</t>
  </si>
  <si>
    <t>S3aH8</t>
  </si>
  <si>
    <t>S3aH9</t>
  </si>
  <si>
    <t>S4aH1</t>
  </si>
  <si>
    <t>S4aH2</t>
  </si>
  <si>
    <t>S4aH3</t>
  </si>
  <si>
    <t>S4aH4</t>
  </si>
  <si>
    <t>S4aH5</t>
  </si>
  <si>
    <t>S4aH6</t>
  </si>
  <si>
    <t>S4aH7</t>
  </si>
  <si>
    <t>S4aH8</t>
  </si>
  <si>
    <t>S4aH9</t>
  </si>
  <si>
    <t>elc_won-DEU</t>
  </si>
  <si>
    <t>elc_wof-DEU</t>
  </si>
  <si>
    <t>g_yrfr</t>
  </si>
  <si>
    <t>day_night</t>
  </si>
  <si>
    <t>D</t>
  </si>
  <si>
    <t>S2b0314h09,S2b0314h15,S2c0316h14,S3aH3,S2b0314h10,S2d1006h16,S3aH2,S2b0314h13,S2c0316h15,S2c0316h17,S2d1006h08,S2b0314h17,S3aH8,S4aH5,S2aH8,S2c0316h10,S2d1006h10,S2d1006h11,S4aH2,S1aH6,S2d1006h17,S3aH7,S1aH4,S2aH2,S2c0316h08,S2d1006h07,S2d1006h09,S4aH6,S2aH7,S2b0314h14,S2d1006h13,S3aH4,S4aH3,S4aH4,S1aH3,S2b0314h08,S2c0316h11,S2c0316h16,S2d1006h18,S2c0316h18,S2d1006h12,S2aH6,S2b0314h07,S3aH5,S1aH5,S2aH4,S2aH5,S2b0314h12,S1aH2,S1aH7,S2aH3,S2c0316h09,S2c0316h13,S2d1006h14,S3aH6,S4aH7,S2b0314h11,S2b0314h16,S2c0316h12,S2d1006h15,S4aH8,S1aH8,S2b0314h18,S2c0316h07</t>
  </si>
  <si>
    <t>N</t>
  </si>
  <si>
    <t>S2b0314h05,S2c0316h01,S2d1006h05,S2c0316h24,S2c0316h21,S2c0316h22,S2b0314h19,S2aH1,S2aH9,S2b0314h21,S2b0314h23,S2d1006h20,S2c0316h03,S2c0316h06,S2d1006h22,S2d1006h21,S1aH9,S2b0314h01,S2b0314h24,S2c0316h04,S2c0316h05,S2d1006h06,S2d1006h19,S4aH1,S2b0314h22,S2c0316h19,S2d1006h02,S3aH9,S2b0314h04,S1aH1,S2b0314h02,S2b0314h06,S2b0314h20,S2c0316h20,S2d1006h03,S2d1006h24,S2d1006h01,S2d1006h23,S2c0316h23,S2d1006h04,S2b0314h03,S2c0316h02,S3aH1,S4aH9</t>
  </si>
  <si>
    <t>com_pkflx</t>
  </si>
  <si>
    <t>ncap_afs</t>
  </si>
  <si>
    <t>pset_ci</t>
  </si>
  <si>
    <t>hydro</t>
  </si>
  <si>
    <t>0131h01</t>
  </si>
  <si>
    <t>S1,S2,S3,S4,S5,S6</t>
  </si>
  <si>
    <t>0131h02</t>
  </si>
  <si>
    <t>0131h03</t>
  </si>
  <si>
    <t>0131h04</t>
  </si>
  <si>
    <t>S5</t>
  </si>
  <si>
    <t>e</t>
  </si>
  <si>
    <t>0131h05</t>
  </si>
  <si>
    <t>S6</t>
  </si>
  <si>
    <t>f</t>
  </si>
  <si>
    <t>0131h06</t>
  </si>
  <si>
    <t>g</t>
  </si>
  <si>
    <t>0131h07</t>
  </si>
  <si>
    <t>h</t>
  </si>
  <si>
    <t>0131h08</t>
  </si>
  <si>
    <t>i</t>
  </si>
  <si>
    <t>0131h09</t>
  </si>
  <si>
    <t>j</t>
  </si>
  <si>
    <t>0131h10</t>
  </si>
  <si>
    <t>0131h11</t>
  </si>
  <si>
    <t>0131h12</t>
  </si>
  <si>
    <t>0131h13</t>
  </si>
  <si>
    <t>0131h14</t>
  </si>
  <si>
    <t>0131h15</t>
  </si>
  <si>
    <t>0131h16</t>
  </si>
  <si>
    <t>0131h17</t>
  </si>
  <si>
    <t>0131h18</t>
  </si>
  <si>
    <t>0131h19</t>
  </si>
  <si>
    <t>0131h20</t>
  </si>
  <si>
    <t>0131h21</t>
  </si>
  <si>
    <t>0131h22</t>
  </si>
  <si>
    <t>0131h23</t>
  </si>
  <si>
    <t>0131h24</t>
  </si>
  <si>
    <t>0317h01</t>
  </si>
  <si>
    <t>0317h02</t>
  </si>
  <si>
    <t>0317h03</t>
  </si>
  <si>
    <t>0317h04</t>
  </si>
  <si>
    <t>0317h05</t>
  </si>
  <si>
    <t>0317h06</t>
  </si>
  <si>
    <t>0317h07</t>
  </si>
  <si>
    <t>0317h08</t>
  </si>
  <si>
    <t>0317h09</t>
  </si>
  <si>
    <t>0317h10</t>
  </si>
  <si>
    <t>0317h11</t>
  </si>
  <si>
    <t>0317h12</t>
  </si>
  <si>
    <t>0317h13</t>
  </si>
  <si>
    <t>0317h14</t>
  </si>
  <si>
    <t>0317h15</t>
  </si>
  <si>
    <t>0317h16</t>
  </si>
  <si>
    <t>0317h17</t>
  </si>
  <si>
    <t>0317h18</t>
  </si>
  <si>
    <t>0317h19</t>
  </si>
  <si>
    <t>0317h20</t>
  </si>
  <si>
    <t>0317h21</t>
  </si>
  <si>
    <t>0317h22</t>
  </si>
  <si>
    <t>0317h23</t>
  </si>
  <si>
    <t>0317h24</t>
  </si>
  <si>
    <t>0721h01</t>
  </si>
  <si>
    <t>0721h02</t>
  </si>
  <si>
    <t>0721h03</t>
  </si>
  <si>
    <t>0721h04</t>
  </si>
  <si>
    <t>0721h05</t>
  </si>
  <si>
    <t>0721h06</t>
  </si>
  <si>
    <t>0721h07</t>
  </si>
  <si>
    <t>0721h08</t>
  </si>
  <si>
    <t>0721h09</t>
  </si>
  <si>
    <t>0721h10</t>
  </si>
  <si>
    <t>0721h11</t>
  </si>
  <si>
    <t>0721h12</t>
  </si>
  <si>
    <t>0721h13</t>
  </si>
  <si>
    <t>0721h14</t>
  </si>
  <si>
    <t>0721h15</t>
  </si>
  <si>
    <t>0721h16</t>
  </si>
  <si>
    <t>0721h17</t>
  </si>
  <si>
    <t>0721h18</t>
  </si>
  <si>
    <t>0721h19</t>
  </si>
  <si>
    <t>0721h20</t>
  </si>
  <si>
    <t>0721h21</t>
  </si>
  <si>
    <t>0721h22</t>
  </si>
  <si>
    <t>0721h23</t>
  </si>
  <si>
    <t>0721h24</t>
  </si>
  <si>
    <t>0728h01</t>
  </si>
  <si>
    <t>0728h02</t>
  </si>
  <si>
    <t>0728h03</t>
  </si>
  <si>
    <t>0728h04</t>
  </si>
  <si>
    <t>0728h05</t>
  </si>
  <si>
    <t>0728h06</t>
  </si>
  <si>
    <t>0728h07</t>
  </si>
  <si>
    <t>0728h08</t>
  </si>
  <si>
    <t>0728h09</t>
  </si>
  <si>
    <t>0728h10</t>
  </si>
  <si>
    <t>0728h11</t>
  </si>
  <si>
    <t>0728h12</t>
  </si>
  <si>
    <t>0728h13</t>
  </si>
  <si>
    <t>0728h14</t>
  </si>
  <si>
    <t>0728h15</t>
  </si>
  <si>
    <t>0728h16</t>
  </si>
  <si>
    <t>0728h17</t>
  </si>
  <si>
    <t>0728h18</t>
  </si>
  <si>
    <t>0728h19</t>
  </si>
  <si>
    <t>0728h20</t>
  </si>
  <si>
    <t>0728h21</t>
  </si>
  <si>
    <t>0728h22</t>
  </si>
  <si>
    <t>0728h23</t>
  </si>
  <si>
    <t>0728h24</t>
  </si>
  <si>
    <t>0918h01</t>
  </si>
  <si>
    <t>0918h02</t>
  </si>
  <si>
    <t>0918h03</t>
  </si>
  <si>
    <t>0918h04</t>
  </si>
  <si>
    <t>0918h05</t>
  </si>
  <si>
    <t>0918h06</t>
  </si>
  <si>
    <t>0918h07</t>
  </si>
  <si>
    <t>0918h08</t>
  </si>
  <si>
    <t>0918h09</t>
  </si>
  <si>
    <t>0918h10</t>
  </si>
  <si>
    <t>0918h11</t>
  </si>
  <si>
    <t>0918h12</t>
  </si>
  <si>
    <t>0918h13</t>
  </si>
  <si>
    <t>0918h14</t>
  </si>
  <si>
    <t>0918h15</t>
  </si>
  <si>
    <t>0918h16</t>
  </si>
  <si>
    <t>0918h17</t>
  </si>
  <si>
    <t>0918h18</t>
  </si>
  <si>
    <t>0918h19</t>
  </si>
  <si>
    <t>0918h20</t>
  </si>
  <si>
    <t>0918h21</t>
  </si>
  <si>
    <t>0918h22</t>
  </si>
  <si>
    <t>0918h23</t>
  </si>
  <si>
    <t>0918h24</t>
  </si>
  <si>
    <t>1115h01</t>
  </si>
  <si>
    <t>1115h02</t>
  </si>
  <si>
    <t>1115h03</t>
  </si>
  <si>
    <t>1115h04</t>
  </si>
  <si>
    <t>1115h05</t>
  </si>
  <si>
    <t>1115h06</t>
  </si>
  <si>
    <t>1115h07</t>
  </si>
  <si>
    <t>1115h08</t>
  </si>
  <si>
    <t>1115h09</t>
  </si>
  <si>
    <t>1115h10</t>
  </si>
  <si>
    <t>1115h11</t>
  </si>
  <si>
    <t>1115h12</t>
  </si>
  <si>
    <t>1115h13</t>
  </si>
  <si>
    <t>1115h14</t>
  </si>
  <si>
    <t>1115h15</t>
  </si>
  <si>
    <t>1115h16</t>
  </si>
  <si>
    <t>1115h17</t>
  </si>
  <si>
    <t>1115h18</t>
  </si>
  <si>
    <t>1115h19</t>
  </si>
  <si>
    <t>1115h20</t>
  </si>
  <si>
    <t>1115h21</t>
  </si>
  <si>
    <t>1115h22</t>
  </si>
  <si>
    <t>1115h23</t>
  </si>
  <si>
    <t>1115h24</t>
  </si>
  <si>
    <t>S1b0131h01</t>
  </si>
  <si>
    <t>S1b0131h02</t>
  </si>
  <si>
    <t>S1b0131h03</t>
  </si>
  <si>
    <t>S1b0131h04</t>
  </si>
  <si>
    <t>S1b0131h05</t>
  </si>
  <si>
    <t>S1b0131h06</t>
  </si>
  <si>
    <t>S1b0131h07</t>
  </si>
  <si>
    <t>S1b0131h08</t>
  </si>
  <si>
    <t>S1b0131h09</t>
  </si>
  <si>
    <t>S1b0131h10</t>
  </si>
  <si>
    <t>S1b0131h11</t>
  </si>
  <si>
    <t>S1b0131h12</t>
  </si>
  <si>
    <t>S1b0131h13</t>
  </si>
  <si>
    <t>S1b0131h14</t>
  </si>
  <si>
    <t>S1b0131h15</t>
  </si>
  <si>
    <t>S1b0131h16</t>
  </si>
  <si>
    <t>S1b0131h17</t>
  </si>
  <si>
    <t>S1b0131h18</t>
  </si>
  <si>
    <t>S1b0131h19</t>
  </si>
  <si>
    <t>S1b0131h20</t>
  </si>
  <si>
    <t>S1b0131h21</t>
  </si>
  <si>
    <t>S1b0131h22</t>
  </si>
  <si>
    <t>S1b0131h23</t>
  </si>
  <si>
    <t>S1b0131h24</t>
  </si>
  <si>
    <t>S2c0314h01</t>
  </si>
  <si>
    <t>S2c0314h02</t>
  </si>
  <si>
    <t>S2c0314h03</t>
  </si>
  <si>
    <t>S2c0314h04</t>
  </si>
  <si>
    <t>S2c0314h05</t>
  </si>
  <si>
    <t>S2c0314h06</t>
  </si>
  <si>
    <t>S2c0314h07</t>
  </si>
  <si>
    <t>S2c0314h08</t>
  </si>
  <si>
    <t>S2c0314h09</t>
  </si>
  <si>
    <t>S2c0314h10</t>
  </si>
  <si>
    <t>S2c0314h11</t>
  </si>
  <si>
    <t>S2c0314h12</t>
  </si>
  <si>
    <t>S2c0314h13</t>
  </si>
  <si>
    <t>S2c0314h14</t>
  </si>
  <si>
    <t>S2c0314h15</t>
  </si>
  <si>
    <t>S2c0314h16</t>
  </si>
  <si>
    <t>S2c0314h17</t>
  </si>
  <si>
    <t>S2c0314h18</t>
  </si>
  <si>
    <t>S2c0314h19</t>
  </si>
  <si>
    <t>S2c0314h20</t>
  </si>
  <si>
    <t>S2c0314h21</t>
  </si>
  <si>
    <t>S2c0314h22</t>
  </si>
  <si>
    <t>S2c0314h23</t>
  </si>
  <si>
    <t>S2c0314h24</t>
  </si>
  <si>
    <t>S2d0316h01</t>
  </si>
  <si>
    <t>S2d0316h02</t>
  </si>
  <si>
    <t>S2d0316h03</t>
  </si>
  <si>
    <t>S2d0316h04</t>
  </si>
  <si>
    <t>S2d0316h05</t>
  </si>
  <si>
    <t>S2d0316h06</t>
  </si>
  <si>
    <t>S2d0316h07</t>
  </si>
  <si>
    <t>S2d0316h08</t>
  </si>
  <si>
    <t>S2d0316h09</t>
  </si>
  <si>
    <t>S2d0316h10</t>
  </si>
  <si>
    <t>S2d0316h11</t>
  </si>
  <si>
    <t>S2d0316h12</t>
  </si>
  <si>
    <t>S2d0316h13</t>
  </si>
  <si>
    <t>S2d0316h14</t>
  </si>
  <si>
    <t>S2d0316h15</t>
  </si>
  <si>
    <t>S2d0316h16</t>
  </si>
  <si>
    <t>S2d0316h17</t>
  </si>
  <si>
    <t>S2d0316h18</t>
  </si>
  <si>
    <t>S2d0316h19</t>
  </si>
  <si>
    <t>S2d0316h20</t>
  </si>
  <si>
    <t>S2d0316h21</t>
  </si>
  <si>
    <t>S2d0316h22</t>
  </si>
  <si>
    <t>S2d0316h23</t>
  </si>
  <si>
    <t>S2d0316h24</t>
  </si>
  <si>
    <t>S2e0317h01</t>
  </si>
  <si>
    <t>S2e0317h02</t>
  </si>
  <si>
    <t>S2e0317h03</t>
  </si>
  <si>
    <t>S2e0317h04</t>
  </si>
  <si>
    <t>S2e0317h05</t>
  </si>
  <si>
    <t>S2e0317h06</t>
  </si>
  <si>
    <t>S2e0317h07</t>
  </si>
  <si>
    <t>S2e0317h08</t>
  </si>
  <si>
    <t>S2e0317h09</t>
  </si>
  <si>
    <t>S2e0317h10</t>
  </si>
  <si>
    <t>S2e0317h11</t>
  </si>
  <si>
    <t>S2e0317h12</t>
  </si>
  <si>
    <t>S2e0317h13</t>
  </si>
  <si>
    <t>S2e0317h14</t>
  </si>
  <si>
    <t>S2e0317h15</t>
  </si>
  <si>
    <t>S2e0317h16</t>
  </si>
  <si>
    <t>S2e0317h17</t>
  </si>
  <si>
    <t>S2e0317h18</t>
  </si>
  <si>
    <t>S2e0317h19</t>
  </si>
  <si>
    <t>S2e0317h20</t>
  </si>
  <si>
    <t>S2e0317h21</t>
  </si>
  <si>
    <t>S2e0317h22</t>
  </si>
  <si>
    <t>S2e0317h23</t>
  </si>
  <si>
    <t>S2e0317h24</t>
  </si>
  <si>
    <t>S3f0721h01</t>
  </si>
  <si>
    <t>S3f0721h02</t>
  </si>
  <si>
    <t>S3f0721h03</t>
  </si>
  <si>
    <t>S3f0721h04</t>
  </si>
  <si>
    <t>S3f0721h05</t>
  </si>
  <si>
    <t>S3f0721h06</t>
  </si>
  <si>
    <t>S3f0721h07</t>
  </si>
  <si>
    <t>S3f0721h08</t>
  </si>
  <si>
    <t>S3f0721h09</t>
  </si>
  <si>
    <t>S3f0721h10</t>
  </si>
  <si>
    <t>S3f0721h11</t>
  </si>
  <si>
    <t>S3f0721h12</t>
  </si>
  <si>
    <t>S3f0721h13</t>
  </si>
  <si>
    <t>S3f0721h14</t>
  </si>
  <si>
    <t>S3f0721h15</t>
  </si>
  <si>
    <t>S3f0721h16</t>
  </si>
  <si>
    <t>S3f0721h17</t>
  </si>
  <si>
    <t>S3f0721h18</t>
  </si>
  <si>
    <t>S3f0721h19</t>
  </si>
  <si>
    <t>S3f0721h20</t>
  </si>
  <si>
    <t>S3f0721h21</t>
  </si>
  <si>
    <t>S3f0721h22</t>
  </si>
  <si>
    <t>S3f0721h23</t>
  </si>
  <si>
    <t>S3f0721h24</t>
  </si>
  <si>
    <t>S3g0728h01</t>
  </si>
  <si>
    <t>S3g0728h02</t>
  </si>
  <si>
    <t>S3g0728h03</t>
  </si>
  <si>
    <t>S3g0728h04</t>
  </si>
  <si>
    <t>S3g0728h05</t>
  </si>
  <si>
    <t>S3g0728h06</t>
  </si>
  <si>
    <t>S3g0728h07</t>
  </si>
  <si>
    <t>S3g0728h08</t>
  </si>
  <si>
    <t>S3g0728h09</t>
  </si>
  <si>
    <t>S3g0728h10</t>
  </si>
  <si>
    <t>S3g0728h11</t>
  </si>
  <si>
    <t>S3g0728h12</t>
  </si>
  <si>
    <t>S3g0728h13</t>
  </si>
  <si>
    <t>S3g0728h14</t>
  </si>
  <si>
    <t>S3g0728h15</t>
  </si>
  <si>
    <t>S3g0728h16</t>
  </si>
  <si>
    <t>S3g0728h17</t>
  </si>
  <si>
    <t>S3g0728h18</t>
  </si>
  <si>
    <t>S3g0728h19</t>
  </si>
  <si>
    <t>S3g0728h20</t>
  </si>
  <si>
    <t>S3g0728h21</t>
  </si>
  <si>
    <t>S3g0728h22</t>
  </si>
  <si>
    <t>S3g0728h23</t>
  </si>
  <si>
    <t>S3g0728h24</t>
  </si>
  <si>
    <t>S3h0918h01</t>
  </si>
  <si>
    <t>S3h0918h02</t>
  </si>
  <si>
    <t>S3h0918h03</t>
  </si>
  <si>
    <t>S3h0918h04</t>
  </si>
  <si>
    <t>S3h0918h05</t>
  </si>
  <si>
    <t>S3h0918h06</t>
  </si>
  <si>
    <t>S3h0918h07</t>
  </si>
  <si>
    <t>S3h0918h08</t>
  </si>
  <si>
    <t>S3h0918h09</t>
  </si>
  <si>
    <t>S3h0918h10</t>
  </si>
  <si>
    <t>S3h0918h11</t>
  </si>
  <si>
    <t>S3h0918h12</t>
  </si>
  <si>
    <t>S3h0918h13</t>
  </si>
  <si>
    <t>S3h0918h14</t>
  </si>
  <si>
    <t>S3h0918h15</t>
  </si>
  <si>
    <t>S3h0918h16</t>
  </si>
  <si>
    <t>S3h0918h17</t>
  </si>
  <si>
    <t>S3h0918h18</t>
  </si>
  <si>
    <t>S3h0918h19</t>
  </si>
  <si>
    <t>S3h0918h20</t>
  </si>
  <si>
    <t>S3h0918h21</t>
  </si>
  <si>
    <t>S3h0918h22</t>
  </si>
  <si>
    <t>S3h0918h23</t>
  </si>
  <si>
    <t>S3h0918h24</t>
  </si>
  <si>
    <t>S4i1006h01</t>
  </si>
  <si>
    <t>S4i1006h02</t>
  </si>
  <si>
    <t>S4i1006h03</t>
  </si>
  <si>
    <t>S4i1006h04</t>
  </si>
  <si>
    <t>S4i1006h05</t>
  </si>
  <si>
    <t>S4i1006h06</t>
  </si>
  <si>
    <t>S4i1006h07</t>
  </si>
  <si>
    <t>S4i1006h08</t>
  </si>
  <si>
    <t>S4i1006h09</t>
  </si>
  <si>
    <t>S4i1006h10</t>
  </si>
  <si>
    <t>S4i1006h11</t>
  </si>
  <si>
    <t>S4i1006h12</t>
  </si>
  <si>
    <t>S4i1006h13</t>
  </si>
  <si>
    <t>S4i1006h14</t>
  </si>
  <si>
    <t>S4i1006h15</t>
  </si>
  <si>
    <t>S4i1006h16</t>
  </si>
  <si>
    <t>S4i1006h17</t>
  </si>
  <si>
    <t>S4i1006h18</t>
  </si>
  <si>
    <t>S4i1006h19</t>
  </si>
  <si>
    <t>S4i1006h20</t>
  </si>
  <si>
    <t>S4i1006h21</t>
  </si>
  <si>
    <t>S4i1006h22</t>
  </si>
  <si>
    <t>S4i1006h23</t>
  </si>
  <si>
    <t>S4i1006h24</t>
  </si>
  <si>
    <t>S5aH1</t>
  </si>
  <si>
    <t>S5aH2</t>
  </si>
  <si>
    <t>S5aH3</t>
  </si>
  <si>
    <t>S5aH4</t>
  </si>
  <si>
    <t>S5aH5</t>
  </si>
  <si>
    <t>S5aH6</t>
  </si>
  <si>
    <t>S5aH7</t>
  </si>
  <si>
    <t>S5aH8</t>
  </si>
  <si>
    <t>S5j1115h01</t>
  </si>
  <si>
    <t>S5j1115h02</t>
  </si>
  <si>
    <t>S5j1115h03</t>
  </si>
  <si>
    <t>S5j1115h04</t>
  </si>
  <si>
    <t>S5j1115h05</t>
  </si>
  <si>
    <t>S5j1115h06</t>
  </si>
  <si>
    <t>S5j1115h07</t>
  </si>
  <si>
    <t>S5j1115h08</t>
  </si>
  <si>
    <t>S5j1115h09</t>
  </si>
  <si>
    <t>S5j1115h10</t>
  </si>
  <si>
    <t>S5j1115h11</t>
  </si>
  <si>
    <t>S5j1115h12</t>
  </si>
  <si>
    <t>S5j1115h13</t>
  </si>
  <si>
    <t>S5j1115h14</t>
  </si>
  <si>
    <t>S5j1115h15</t>
  </si>
  <si>
    <t>S5j1115h16</t>
  </si>
  <si>
    <t>S5j1115h17</t>
  </si>
  <si>
    <t>S5j1115h18</t>
  </si>
  <si>
    <t>S5j1115h19</t>
  </si>
  <si>
    <t>S5j1115h20</t>
  </si>
  <si>
    <t>S5j1115h21</t>
  </si>
  <si>
    <t>S5j1115h22</t>
  </si>
  <si>
    <t>S5j1115h23</t>
  </si>
  <si>
    <t>S5j1115h24</t>
  </si>
  <si>
    <t>S6aH1</t>
  </si>
  <si>
    <t>S6aH2</t>
  </si>
  <si>
    <t>S6aH3</t>
  </si>
  <si>
    <t>S6aH4</t>
  </si>
  <si>
    <t>S6aH5</t>
  </si>
  <si>
    <t>S6aH6</t>
  </si>
  <si>
    <t>S6aH7</t>
  </si>
  <si>
    <t>S6aH8</t>
  </si>
  <si>
    <t>S1b0131h09,S2d0316h12,S3h0918h15,S4i1006h07,S5aH4,S6aH3,S6aH4,S1b0131h13,S2c0314h10,S2d0316h07,S2e0317h09,S3f0721h09,S3f0721h14,S3f0721h17,S3g0728h07,S3h0918h07,S3h0918h08,S4i1006h10,S5j1115h14,S6aH7,S1b0131h07,S1b0131h11,S2aH6,S2c0314h11,S2d0316h09,S3aH5,S3g0728h13,S3g0728h15,S4i1006h09,S5aH3,S1b0131h17,S2c0314h12,S2c0314h14,S2d0316h15,S2e0317h07,S3f0721h11,S3f0721h13,S3f0721h18,S4aH5,S4i1006h11,S5j1115h08,S5j1115h09,S1aH3,S1b0131h10,S1b0131h14,S2e0317h08,S3h0918h13,S3h0918h17,S1b0131h18,S2c0314h18,S2d0316h16,S2e0317h16,S3aH3,S3f0721h10,S4i1006h15,S5j1115h07,S5j1115h10,S2c0314h13,S2d0316h10,S2d0316h18,S2e0317h10,S2e0317h12,S3h0918h14,S1b0131h12,S2d0316h08,S2d0316h13,S2d0316h14,S3f0721h12,S4aH2,S4i1006h08,S4i1006h18,S5j1115h11,S5j1115h12,S5j1115h17,S1b0131h16,S2c0314h07,S2c0314h08,S3aH2,S4i1006h17,S5j1115h13,S1aH5,S1b0131h08,S2aH4,S2aH5,S2d0316h17,S3f0721h15,S3g0728h14,S3h0918h09,S5aH2,S5aH5,S5j1115h18,S6aH2,S2aH7,S2e0317h14,S3aH4,S3f0721h16,S3g0728h16,S3h0918h10,S4aH3,S4aH4,S4i1006h14,S1aH2,S1aH7,S2aH3,S2c0314h09,S2e0317h11,S2e0317h18,S3aH6,S3g0728h17,S3h0918h12,S4aH7,S4i1006h13,S5aH6,S5aH7,S6aH6,S2c0314h16,S2c0314h17,S2d0316h11,S2e0317h13,S2e0317h15,S3aH7,S3g0728h08,S3g0728h09,S3g0728h18,S3h0918h11,S5j1115h16,S1b0131h15,S2e0317h17,S3g0728h10,S3h0918h18,S4i1006h16,S6aH5,S1aH6,S2c0314h15,S3h0918h16,S4i1006h12,S5j1115h15,S1aH4,S2aH2,S3f0721h07,S3f0721h08,S3g0728h11,S3g0728h12,S4aH6</t>
  </si>
  <si>
    <t>S2e0317h23,S3f0721h24,S3g0728h04,S3h0918h24,S1b0131h02,S2c0314h04,S2d0316h04,S2e0317h01,S3aH1,S3f0721h03,S3h0918h04,S3h0918h05,S3h0918h06,S4i1006h03,S1aH8,S3f0721h21,S5aH1,S1b0131h06,S2c0314h22,S2c0314h24,S2d0316h20,S3f0721h23,S3g0728h01,S5j1115h23,S1b0131h01,S1b0131h21,S2d0316h21,S3h0918h23,S2d0316h06,S2e0317h03,S2e0317h04,S3f0721h01,S3g0728h03,S3g0728h19,S3h0918h20,S3h0918h21,S5j1115h03,S5j1115h04,S1aH1,S1b0131h04,S2d0316h22,S2e0317h20,S3f0721h02,S3h0918h19,S3h0918h22,S5j1115h06,S5j1115h22,S1b0131h22,S1b0131h23,S2aH1,S2c0314h03,S2c0314h20,S4i1006h02,S4i1006h04,S4i1006h05,S5aH8,S1b0131h20,S3aH8,S3g0728h22,S4i1006h21,S4i1006h23,S1b0131h05,S2c0314h06,S2d0316h23,S3f0721h22,S4i1006h06,S4i1006h19,S4i1006h20,S1b0131h03,S2e0317h24,S3f0721h04,S3f0721h06,S3g0728h24,S5j1115h20,S1b0131h24,S2c0314h05,S2c0314h19,S2d0316h02,S2d0316h24,S2e0317h06,S2e0317h21,S3f0721h20,S3g0728h20,S3h0918h01,S3h0918h02,S3h0918h03,S5j1115h05,S5j1115h21,S1b0131h19,S2aH8,S2c0314h23,S2d0316h19,S3g0728h05,S3g0728h21,S5j1115h01,S2d0316h01,S2e0317h02,S2e0317h19,S2e0317h22,S4aH8,S4i1006h24,S5j1115h19,S2c0314h01,S2c0314h21,S3f0721h05,S4i1006h22,S6aH8,S2c0314h02,S2d0316h03,S2d0316h05,S2e0317h05,S3f0721h19,S3g0728h02,S3g0728h06,S3g0728h23,S4aH1,S4i1006h01,S5j1115h02,S5j1115h24,S6aH1</t>
  </si>
  <si>
    <t>0910h01</t>
  </si>
  <si>
    <t>0910h02</t>
  </si>
  <si>
    <t>0910h03</t>
  </si>
  <si>
    <t>0910h04</t>
  </si>
  <si>
    <t>0910h05</t>
  </si>
  <si>
    <t>0910h06</t>
  </si>
  <si>
    <t>0910h07</t>
  </si>
  <si>
    <t>0910h08</t>
  </si>
  <si>
    <t>0910h09</t>
  </si>
  <si>
    <t>0910h10</t>
  </si>
  <si>
    <t>0910h11</t>
  </si>
  <si>
    <t>0910h12</t>
  </si>
  <si>
    <t>0910h13</t>
  </si>
  <si>
    <t>0910h14</t>
  </si>
  <si>
    <t>0910h15</t>
  </si>
  <si>
    <t>0910h16</t>
  </si>
  <si>
    <t>0910h17</t>
  </si>
  <si>
    <t>0910h18</t>
  </si>
  <si>
    <t>0910h19</t>
  </si>
  <si>
    <t>0910h20</t>
  </si>
  <si>
    <t>0910h21</t>
  </si>
  <si>
    <t>0910h22</t>
  </si>
  <si>
    <t>0910h23</t>
  </si>
  <si>
    <t>0910h24</t>
  </si>
  <si>
    <t>0911h01</t>
  </si>
  <si>
    <t>0911h02</t>
  </si>
  <si>
    <t>0911h03</t>
  </si>
  <si>
    <t>0911h04</t>
  </si>
  <si>
    <t>0911h05</t>
  </si>
  <si>
    <t>0911h06</t>
  </si>
  <si>
    <t>0911h07</t>
  </si>
  <si>
    <t>0911h08</t>
  </si>
  <si>
    <t>0911h09</t>
  </si>
  <si>
    <t>0911h10</t>
  </si>
  <si>
    <t>0911h11</t>
  </si>
  <si>
    <t>0911h12</t>
  </si>
  <si>
    <t>0911h13</t>
  </si>
  <si>
    <t>0911h14</t>
  </si>
  <si>
    <t>0911h15</t>
  </si>
  <si>
    <t>0911h16</t>
  </si>
  <si>
    <t>0911h17</t>
  </si>
  <si>
    <t>0911h18</t>
  </si>
  <si>
    <t>0911h19</t>
  </si>
  <si>
    <t>0911h20</t>
  </si>
  <si>
    <t>0911h21</t>
  </si>
  <si>
    <t>0911h22</t>
  </si>
  <si>
    <t>0911h23</t>
  </si>
  <si>
    <t>0911h24</t>
  </si>
  <si>
    <t>0912h01</t>
  </si>
  <si>
    <t>0912h02</t>
  </si>
  <si>
    <t>0912h03</t>
  </si>
  <si>
    <t>0912h04</t>
  </si>
  <si>
    <t>0912h05</t>
  </si>
  <si>
    <t>0912h06</t>
  </si>
  <si>
    <t>0912h07</t>
  </si>
  <si>
    <t>0912h08</t>
  </si>
  <si>
    <t>0912h09</t>
  </si>
  <si>
    <t>0912h10</t>
  </si>
  <si>
    <t>0912h11</t>
  </si>
  <si>
    <t>0912h12</t>
  </si>
  <si>
    <t>0912h13</t>
  </si>
  <si>
    <t>0912h14</t>
  </si>
  <si>
    <t>0912h15</t>
  </si>
  <si>
    <t>0912h16</t>
  </si>
  <si>
    <t>0912h17</t>
  </si>
  <si>
    <t>0912h18</t>
  </si>
  <si>
    <t>0912h19</t>
  </si>
  <si>
    <t>0912h20</t>
  </si>
  <si>
    <t>0912h21</t>
  </si>
  <si>
    <t>0912h22</t>
  </si>
  <si>
    <t>0912h23</t>
  </si>
  <si>
    <t>0912h24</t>
  </si>
  <si>
    <t>0913h01</t>
  </si>
  <si>
    <t>0913h02</t>
  </si>
  <si>
    <t>0913h03</t>
  </si>
  <si>
    <t>0913h04</t>
  </si>
  <si>
    <t>0913h05</t>
  </si>
  <si>
    <t>0913h06</t>
  </si>
  <si>
    <t>0913h07</t>
  </si>
  <si>
    <t>0913h08</t>
  </si>
  <si>
    <t>0913h09</t>
  </si>
  <si>
    <t>0913h10</t>
  </si>
  <si>
    <t>0913h11</t>
  </si>
  <si>
    <t>0913h12</t>
  </si>
  <si>
    <t>0913h13</t>
  </si>
  <si>
    <t>0913h14</t>
  </si>
  <si>
    <t>0913h15</t>
  </si>
  <si>
    <t>0913h16</t>
  </si>
  <si>
    <t>0913h17</t>
  </si>
  <si>
    <t>0913h18</t>
  </si>
  <si>
    <t>0913h19</t>
  </si>
  <si>
    <t>0913h20</t>
  </si>
  <si>
    <t>0913h21</t>
  </si>
  <si>
    <t>0913h22</t>
  </si>
  <si>
    <t>0913h23</t>
  </si>
  <si>
    <t>0913h24</t>
  </si>
  <si>
    <t>0914h01</t>
  </si>
  <si>
    <t>0914h02</t>
  </si>
  <si>
    <t>0914h03</t>
  </si>
  <si>
    <t>0914h04</t>
  </si>
  <si>
    <t>0914h05</t>
  </si>
  <si>
    <t>0914h06</t>
  </si>
  <si>
    <t>0914h07</t>
  </si>
  <si>
    <t>0914h08</t>
  </si>
  <si>
    <t>0914h09</t>
  </si>
  <si>
    <t>0914h10</t>
  </si>
  <si>
    <t>0914h11</t>
  </si>
  <si>
    <t>0914h12</t>
  </si>
  <si>
    <t>0914h13</t>
  </si>
  <si>
    <t>0914h14</t>
  </si>
  <si>
    <t>0914h15</t>
  </si>
  <si>
    <t>0914h16</t>
  </si>
  <si>
    <t>0914h17</t>
  </si>
  <si>
    <t>0914h18</t>
  </si>
  <si>
    <t>0914h19</t>
  </si>
  <si>
    <t>0914h20</t>
  </si>
  <si>
    <t>0914h21</t>
  </si>
  <si>
    <t>0914h22</t>
  </si>
  <si>
    <t>0914h23</t>
  </si>
  <si>
    <t>0914h24</t>
  </si>
  <si>
    <t>0915h01</t>
  </si>
  <si>
    <t>0915h02</t>
  </si>
  <si>
    <t>0915h03</t>
  </si>
  <si>
    <t>0915h04</t>
  </si>
  <si>
    <t>0915h05</t>
  </si>
  <si>
    <t>0915h06</t>
  </si>
  <si>
    <t>0915h07</t>
  </si>
  <si>
    <t>0915h08</t>
  </si>
  <si>
    <t>0915h09</t>
  </si>
  <si>
    <t>0915h10</t>
  </si>
  <si>
    <t>0915h11</t>
  </si>
  <si>
    <t>0915h12</t>
  </si>
  <si>
    <t>0915h13</t>
  </si>
  <si>
    <t>0915h14</t>
  </si>
  <si>
    <t>0915h15</t>
  </si>
  <si>
    <t>0915h16</t>
  </si>
  <si>
    <t>0915h17</t>
  </si>
  <si>
    <t>0915h18</t>
  </si>
  <si>
    <t>0915h19</t>
  </si>
  <si>
    <t>0915h20</t>
  </si>
  <si>
    <t>0915h21</t>
  </si>
  <si>
    <t>0915h22</t>
  </si>
  <si>
    <t>0915h23</t>
  </si>
  <si>
    <t>0915h24</t>
  </si>
  <si>
    <t>0916h01</t>
  </si>
  <si>
    <t>0916h02</t>
  </si>
  <si>
    <t>0916h03</t>
  </si>
  <si>
    <t>0916h04</t>
  </si>
  <si>
    <t>0916h05</t>
  </si>
  <si>
    <t>0916h06</t>
  </si>
  <si>
    <t>0916h07</t>
  </si>
  <si>
    <t>0916h08</t>
  </si>
  <si>
    <t>0916h09</t>
  </si>
  <si>
    <t>0916h10</t>
  </si>
  <si>
    <t>0916h11</t>
  </si>
  <si>
    <t>0916h12</t>
  </si>
  <si>
    <t>0916h13</t>
  </si>
  <si>
    <t>0916h14</t>
  </si>
  <si>
    <t>0916h15</t>
  </si>
  <si>
    <t>0916h16</t>
  </si>
  <si>
    <t>0916h17</t>
  </si>
  <si>
    <t>0916h18</t>
  </si>
  <si>
    <t>0916h19</t>
  </si>
  <si>
    <t>0916h20</t>
  </si>
  <si>
    <t>0916h21</t>
  </si>
  <si>
    <t>0916h22</t>
  </si>
  <si>
    <t>0916h23</t>
  </si>
  <si>
    <t>0916h24</t>
  </si>
  <si>
    <t>1119h01</t>
  </si>
  <si>
    <t>1119h02</t>
  </si>
  <si>
    <t>1119h03</t>
  </si>
  <si>
    <t>1119h04</t>
  </si>
  <si>
    <t>1119h05</t>
  </si>
  <si>
    <t>1119h06</t>
  </si>
  <si>
    <t>1119h07</t>
  </si>
  <si>
    <t>1119h08</t>
  </si>
  <si>
    <t>1119h09</t>
  </si>
  <si>
    <t>1119h10</t>
  </si>
  <si>
    <t>1119h11</t>
  </si>
  <si>
    <t>1119h12</t>
  </si>
  <si>
    <t>1119h13</t>
  </si>
  <si>
    <t>1119h14</t>
  </si>
  <si>
    <t>1119h15</t>
  </si>
  <si>
    <t>1119h16</t>
  </si>
  <si>
    <t>1119h17</t>
  </si>
  <si>
    <t>1119h18</t>
  </si>
  <si>
    <t>1119h19</t>
  </si>
  <si>
    <t>1119h20</t>
  </si>
  <si>
    <t>1119h21</t>
  </si>
  <si>
    <t>1119h22</t>
  </si>
  <si>
    <t>1119h23</t>
  </si>
  <si>
    <t>1119h24</t>
  </si>
  <si>
    <t>1120h01</t>
  </si>
  <si>
    <t>1120h02</t>
  </si>
  <si>
    <t>1120h03</t>
  </si>
  <si>
    <t>1120h04</t>
  </si>
  <si>
    <t>1120h05</t>
  </si>
  <si>
    <t>1120h06</t>
  </si>
  <si>
    <t>1120h07</t>
  </si>
  <si>
    <t>1120h08</t>
  </si>
  <si>
    <t>1120h09</t>
  </si>
  <si>
    <t>1120h10</t>
  </si>
  <si>
    <t>1120h11</t>
  </si>
  <si>
    <t>1120h12</t>
  </si>
  <si>
    <t>1120h13</t>
  </si>
  <si>
    <t>1120h14</t>
  </si>
  <si>
    <t>1120h15</t>
  </si>
  <si>
    <t>1120h16</t>
  </si>
  <si>
    <t>1120h17</t>
  </si>
  <si>
    <t>1120h18</t>
  </si>
  <si>
    <t>1120h19</t>
  </si>
  <si>
    <t>1120h20</t>
  </si>
  <si>
    <t>1120h21</t>
  </si>
  <si>
    <t>1120h22</t>
  </si>
  <si>
    <t>1120h23</t>
  </si>
  <si>
    <t>1120h24</t>
  </si>
  <si>
    <t>1121h01</t>
  </si>
  <si>
    <t>1121h02</t>
  </si>
  <si>
    <t>1121h03</t>
  </si>
  <si>
    <t>1121h04</t>
  </si>
  <si>
    <t>1121h05</t>
  </si>
  <si>
    <t>1121h06</t>
  </si>
  <si>
    <t>1121h07</t>
  </si>
  <si>
    <t>1121h08</t>
  </si>
  <si>
    <t>1121h09</t>
  </si>
  <si>
    <t>1121h10</t>
  </si>
  <si>
    <t>1121h11</t>
  </si>
  <si>
    <t>1121h12</t>
  </si>
  <si>
    <t>1121h13</t>
  </si>
  <si>
    <t>1121h14</t>
  </si>
  <si>
    <t>1121h15</t>
  </si>
  <si>
    <t>1121h16</t>
  </si>
  <si>
    <t>1121h17</t>
  </si>
  <si>
    <t>1121h18</t>
  </si>
  <si>
    <t>1121h19</t>
  </si>
  <si>
    <t>1121h20</t>
  </si>
  <si>
    <t>1121h21</t>
  </si>
  <si>
    <t>1121h22</t>
  </si>
  <si>
    <t>1121h23</t>
  </si>
  <si>
    <t>1121h24</t>
  </si>
  <si>
    <t>1122h01</t>
  </si>
  <si>
    <t>1122h02</t>
  </si>
  <si>
    <t>1122h03</t>
  </si>
  <si>
    <t>1122h04</t>
  </si>
  <si>
    <t>1122h05</t>
  </si>
  <si>
    <t>1122h06</t>
  </si>
  <si>
    <t>1122h07</t>
  </si>
  <si>
    <t>1122h08</t>
  </si>
  <si>
    <t>1122h09</t>
  </si>
  <si>
    <t>1122h10</t>
  </si>
  <si>
    <t>1122h11</t>
  </si>
  <si>
    <t>1122h12</t>
  </si>
  <si>
    <t>1122h13</t>
  </si>
  <si>
    <t>1122h14</t>
  </si>
  <si>
    <t>1122h15</t>
  </si>
  <si>
    <t>1122h16</t>
  </si>
  <si>
    <t>1122h17</t>
  </si>
  <si>
    <t>1122h18</t>
  </si>
  <si>
    <t>1122h19</t>
  </si>
  <si>
    <t>1122h20</t>
  </si>
  <si>
    <t>1122h21</t>
  </si>
  <si>
    <t>1122h22</t>
  </si>
  <si>
    <t>1122h23</t>
  </si>
  <si>
    <t>1122h24</t>
  </si>
  <si>
    <t>1123h01</t>
  </si>
  <si>
    <t>1123h02</t>
  </si>
  <si>
    <t>1123h03</t>
  </si>
  <si>
    <t>1123h04</t>
  </si>
  <si>
    <t>1123h05</t>
  </si>
  <si>
    <t>1123h06</t>
  </si>
  <si>
    <t>1123h07</t>
  </si>
  <si>
    <t>1123h08</t>
  </si>
  <si>
    <t>1123h09</t>
  </si>
  <si>
    <t>1123h10</t>
  </si>
  <si>
    <t>1123h11</t>
  </si>
  <si>
    <t>1123h12</t>
  </si>
  <si>
    <t>1123h13</t>
  </si>
  <si>
    <t>1123h14</t>
  </si>
  <si>
    <t>1123h15</t>
  </si>
  <si>
    <t>1123h16</t>
  </si>
  <si>
    <t>1123h17</t>
  </si>
  <si>
    <t>1123h18</t>
  </si>
  <si>
    <t>1123h19</t>
  </si>
  <si>
    <t>1123h20</t>
  </si>
  <si>
    <t>1123h21</t>
  </si>
  <si>
    <t>1123h22</t>
  </si>
  <si>
    <t>1123h23</t>
  </si>
  <si>
    <t>1123h24</t>
  </si>
  <si>
    <t>1124h01</t>
  </si>
  <si>
    <t>1124h02</t>
  </si>
  <si>
    <t>1124h03</t>
  </si>
  <si>
    <t>1124h04</t>
  </si>
  <si>
    <t>1124h05</t>
  </si>
  <si>
    <t>1124h06</t>
  </si>
  <si>
    <t>1124h07</t>
  </si>
  <si>
    <t>1124h08</t>
  </si>
  <si>
    <t>1124h09</t>
  </si>
  <si>
    <t>1124h10</t>
  </si>
  <si>
    <t>1124h11</t>
  </si>
  <si>
    <t>1124h12</t>
  </si>
  <si>
    <t>1124h13</t>
  </si>
  <si>
    <t>1124h14</t>
  </si>
  <si>
    <t>1124h15</t>
  </si>
  <si>
    <t>1124h16</t>
  </si>
  <si>
    <t>1124h17</t>
  </si>
  <si>
    <t>1124h18</t>
  </si>
  <si>
    <t>1124h19</t>
  </si>
  <si>
    <t>1124h20</t>
  </si>
  <si>
    <t>1124h21</t>
  </si>
  <si>
    <t>1124h22</t>
  </si>
  <si>
    <t>1124h23</t>
  </si>
  <si>
    <t>1124h24</t>
  </si>
  <si>
    <t>1125h01</t>
  </si>
  <si>
    <t>1125h02</t>
  </si>
  <si>
    <t>1125h03</t>
  </si>
  <si>
    <t>1125h04</t>
  </si>
  <si>
    <t>1125h05</t>
  </si>
  <si>
    <t>1125h06</t>
  </si>
  <si>
    <t>1125h07</t>
  </si>
  <si>
    <t>1125h08</t>
  </si>
  <si>
    <t>1125h09</t>
  </si>
  <si>
    <t>1125h10</t>
  </si>
  <si>
    <t>1125h11</t>
  </si>
  <si>
    <t>1125h12</t>
  </si>
  <si>
    <t>1125h13</t>
  </si>
  <si>
    <t>1125h14</t>
  </si>
  <si>
    <t>1125h15</t>
  </si>
  <si>
    <t>1125h16</t>
  </si>
  <si>
    <t>1125h17</t>
  </si>
  <si>
    <t>1125h18</t>
  </si>
  <si>
    <t>1125h19</t>
  </si>
  <si>
    <t>1125h20</t>
  </si>
  <si>
    <t>1125h21</t>
  </si>
  <si>
    <t>1125h22</t>
  </si>
  <si>
    <t>1125h23</t>
  </si>
  <si>
    <t>1125h24</t>
  </si>
  <si>
    <t>S3b0910h01</t>
  </si>
  <si>
    <t>S3b0910h02</t>
  </si>
  <si>
    <t>S3b0910h03</t>
  </si>
  <si>
    <t>S3b0910h04</t>
  </si>
  <si>
    <t>S3b0910h05</t>
  </si>
  <si>
    <t>S3b0910h06</t>
  </si>
  <si>
    <t>S3b0910h07</t>
  </si>
  <si>
    <t>S3b0910h08</t>
  </si>
  <si>
    <t>S3b0910h09</t>
  </si>
  <si>
    <t>S3b0910h10</t>
  </si>
  <si>
    <t>S3b0910h11</t>
  </si>
  <si>
    <t>S3b0910h12</t>
  </si>
  <si>
    <t>S3b0910h13</t>
  </si>
  <si>
    <t>S3b0910h14</t>
  </si>
  <si>
    <t>S3b0910h15</t>
  </si>
  <si>
    <t>S3b0910h16</t>
  </si>
  <si>
    <t>S3b0910h17</t>
  </si>
  <si>
    <t>S3b0910h18</t>
  </si>
  <si>
    <t>S3b0910h19</t>
  </si>
  <si>
    <t>S3b0910h20</t>
  </si>
  <si>
    <t>S3b0910h21</t>
  </si>
  <si>
    <t>S3b0910h22</t>
  </si>
  <si>
    <t>S3b0910h23</t>
  </si>
  <si>
    <t>S3b0910h24</t>
  </si>
  <si>
    <t>S3b0911h01</t>
  </si>
  <si>
    <t>S3b0911h02</t>
  </si>
  <si>
    <t>S3b0911h03</t>
  </si>
  <si>
    <t>S3b0911h04</t>
  </si>
  <si>
    <t>S3b0911h05</t>
  </si>
  <si>
    <t>S3b0911h06</t>
  </si>
  <si>
    <t>S3b0911h07</t>
  </si>
  <si>
    <t>S3b0911h08</t>
  </si>
  <si>
    <t>S3b0911h09</t>
  </si>
  <si>
    <t>S3b0911h10</t>
  </si>
  <si>
    <t>S3b0911h11</t>
  </si>
  <si>
    <t>S3b0911h12</t>
  </si>
  <si>
    <t>S3b0911h13</t>
  </si>
  <si>
    <t>S3b0911h14</t>
  </si>
  <si>
    <t>S3b0911h15</t>
  </si>
  <si>
    <t>S3b0911h16</t>
  </si>
  <si>
    <t>S3b0911h17</t>
  </si>
  <si>
    <t>S3b0911h18</t>
  </si>
  <si>
    <t>S3b0911h19</t>
  </si>
  <si>
    <t>S3b0911h20</t>
  </si>
  <si>
    <t>S3b0911h21</t>
  </si>
  <si>
    <t>S3b0911h22</t>
  </si>
  <si>
    <t>S3b0911h23</t>
  </si>
  <si>
    <t>S3b0911h24</t>
  </si>
  <si>
    <t>S3b0912h01</t>
  </si>
  <si>
    <t>S3b0912h02</t>
  </si>
  <si>
    <t>S3b0912h03</t>
  </si>
  <si>
    <t>S3b0912h04</t>
  </si>
  <si>
    <t>S3b0912h05</t>
  </si>
  <si>
    <t>S3b0912h06</t>
  </si>
  <si>
    <t>S3b0912h07</t>
  </si>
  <si>
    <t>S3b0912h08</t>
  </si>
  <si>
    <t>S3b0912h09</t>
  </si>
  <si>
    <t>S3b0912h10</t>
  </si>
  <si>
    <t>S3b0912h11</t>
  </si>
  <si>
    <t>S3b0912h12</t>
  </si>
  <si>
    <t>S3b0912h13</t>
  </si>
  <si>
    <t>S3b0912h14</t>
  </si>
  <si>
    <t>S3b0912h15</t>
  </si>
  <si>
    <t>S3b0912h16</t>
  </si>
  <si>
    <t>S3b0912h17</t>
  </si>
  <si>
    <t>S3b0912h18</t>
  </si>
  <si>
    <t>S3b0912h19</t>
  </si>
  <si>
    <t>S3b0912h20</t>
  </si>
  <si>
    <t>S3b0912h21</t>
  </si>
  <si>
    <t>S3b0912h22</t>
  </si>
  <si>
    <t>S3b0912h23</t>
  </si>
  <si>
    <t>S3b0912h24</t>
  </si>
  <si>
    <t>S3b0913h01</t>
  </si>
  <si>
    <t>S3b0913h02</t>
  </si>
  <si>
    <t>S3b0913h03</t>
  </si>
  <si>
    <t>S3b0913h04</t>
  </si>
  <si>
    <t>S3b0913h05</t>
  </si>
  <si>
    <t>S3b0913h06</t>
  </si>
  <si>
    <t>S3b0913h07</t>
  </si>
  <si>
    <t>S3b0913h08</t>
  </si>
  <si>
    <t>S3b0913h09</t>
  </si>
  <si>
    <t>S3b0913h10</t>
  </si>
  <si>
    <t>S3b0913h11</t>
  </si>
  <si>
    <t>S3b0913h12</t>
  </si>
  <si>
    <t>S3b0913h13</t>
  </si>
  <si>
    <t>S3b0913h14</t>
  </si>
  <si>
    <t>S3b0913h15</t>
  </si>
  <si>
    <t>S3b0913h16</t>
  </si>
  <si>
    <t>S3b0913h17</t>
  </si>
  <si>
    <t>S3b0913h18</t>
  </si>
  <si>
    <t>S3b0913h19</t>
  </si>
  <si>
    <t>S3b0913h20</t>
  </si>
  <si>
    <t>S3b0913h21</t>
  </si>
  <si>
    <t>S3b0913h22</t>
  </si>
  <si>
    <t>S3b0913h23</t>
  </si>
  <si>
    <t>S3b0913h24</t>
  </si>
  <si>
    <t>S3b0914h01</t>
  </si>
  <si>
    <t>S3b0914h02</t>
  </si>
  <si>
    <t>S3b0914h03</t>
  </si>
  <si>
    <t>S3b0914h04</t>
  </si>
  <si>
    <t>S3b0914h05</t>
  </si>
  <si>
    <t>S3b0914h06</t>
  </si>
  <si>
    <t>S3b0914h07</t>
  </si>
  <si>
    <t>S3b0914h08</t>
  </si>
  <si>
    <t>S3b0914h09</t>
  </si>
  <si>
    <t>S3b0914h10</t>
  </si>
  <si>
    <t>S3b0914h11</t>
  </si>
  <si>
    <t>S3b0914h12</t>
  </si>
  <si>
    <t>S3b0914h13</t>
  </si>
  <si>
    <t>S3b0914h14</t>
  </si>
  <si>
    <t>S3b0914h15</t>
  </si>
  <si>
    <t>S3b0914h16</t>
  </si>
  <si>
    <t>S3b0914h17</t>
  </si>
  <si>
    <t>S3b0914h18</t>
  </si>
  <si>
    <t>S3b0914h19</t>
  </si>
  <si>
    <t>S3b0914h20</t>
  </si>
  <si>
    <t>S3b0914h21</t>
  </si>
  <si>
    <t>S3b0914h22</t>
  </si>
  <si>
    <t>S3b0914h23</t>
  </si>
  <si>
    <t>S3b0914h24</t>
  </si>
  <si>
    <t>S3b0915h01</t>
  </si>
  <si>
    <t>S3b0915h02</t>
  </si>
  <si>
    <t>S3b0915h03</t>
  </si>
  <si>
    <t>S3b0915h04</t>
  </si>
  <si>
    <t>S3b0915h05</t>
  </si>
  <si>
    <t>S3b0915h06</t>
  </si>
  <si>
    <t>S3b0915h07</t>
  </si>
  <si>
    <t>S3b0915h08</t>
  </si>
  <si>
    <t>S3b0915h09</t>
  </si>
  <si>
    <t>S3b0915h10</t>
  </si>
  <si>
    <t>S3b0915h11</t>
  </si>
  <si>
    <t>S3b0915h12</t>
  </si>
  <si>
    <t>S3b0915h13</t>
  </si>
  <si>
    <t>S3b0915h14</t>
  </si>
  <si>
    <t>S3b0915h15</t>
  </si>
  <si>
    <t>S3b0915h16</t>
  </si>
  <si>
    <t>S3b0915h17</t>
  </si>
  <si>
    <t>S3b0915h18</t>
  </si>
  <si>
    <t>S3b0915h19</t>
  </si>
  <si>
    <t>S3b0915h20</t>
  </si>
  <si>
    <t>S3b0915h21</t>
  </si>
  <si>
    <t>S3b0915h22</t>
  </si>
  <si>
    <t>S3b0915h23</t>
  </si>
  <si>
    <t>S3b0915h24</t>
  </si>
  <si>
    <t>S3b0916h01</t>
  </si>
  <si>
    <t>S3b0916h02</t>
  </si>
  <si>
    <t>S3b0916h03</t>
  </si>
  <si>
    <t>S3b0916h04</t>
  </si>
  <si>
    <t>S3b0916h05</t>
  </si>
  <si>
    <t>S3b0916h06</t>
  </si>
  <si>
    <t>S3b0916h07</t>
  </si>
  <si>
    <t>S3b0916h08</t>
  </si>
  <si>
    <t>S3b0916h09</t>
  </si>
  <si>
    <t>S3b0916h10</t>
  </si>
  <si>
    <t>S3b0916h11</t>
  </si>
  <si>
    <t>S3b0916h12</t>
  </si>
  <si>
    <t>S3b0916h13</t>
  </si>
  <si>
    <t>S3b0916h14</t>
  </si>
  <si>
    <t>S3b0916h15</t>
  </si>
  <si>
    <t>S3b0916h16</t>
  </si>
  <si>
    <t>S3b0916h17</t>
  </si>
  <si>
    <t>S3b0916h18</t>
  </si>
  <si>
    <t>S3b0916h19</t>
  </si>
  <si>
    <t>S3b0916h20</t>
  </si>
  <si>
    <t>S3b0916h21</t>
  </si>
  <si>
    <t>S3b0916h22</t>
  </si>
  <si>
    <t>S3b0916h23</t>
  </si>
  <si>
    <t>S3b0916h24</t>
  </si>
  <si>
    <t>S5c1119h01</t>
  </si>
  <si>
    <t>S5c1119h02</t>
  </si>
  <si>
    <t>S5c1119h03</t>
  </si>
  <si>
    <t>S5c1119h04</t>
  </si>
  <si>
    <t>S5c1119h05</t>
  </si>
  <si>
    <t>S5c1119h06</t>
  </si>
  <si>
    <t>S5c1119h07</t>
  </si>
  <si>
    <t>S5c1119h08</t>
  </si>
  <si>
    <t>S5c1119h09</t>
  </si>
  <si>
    <t>S5c1119h10</t>
  </si>
  <si>
    <t>S5c1119h11</t>
  </si>
  <si>
    <t>S5c1119h12</t>
  </si>
  <si>
    <t>S5c1119h13</t>
  </si>
  <si>
    <t>S5c1119h14</t>
  </si>
  <si>
    <t>S5c1119h15</t>
  </si>
  <si>
    <t>S5c1119h16</t>
  </si>
  <si>
    <t>S5c1119h17</t>
  </si>
  <si>
    <t>S5c1119h18</t>
  </si>
  <si>
    <t>S5c1119h19</t>
  </si>
  <si>
    <t>S5c1119h20</t>
  </si>
  <si>
    <t>S5c1119h21</t>
  </si>
  <si>
    <t>S5c1119h22</t>
  </si>
  <si>
    <t>S5c1119h23</t>
  </si>
  <si>
    <t>S5c1119h24</t>
  </si>
  <si>
    <t>S5c1120h01</t>
  </si>
  <si>
    <t>S5c1120h02</t>
  </si>
  <si>
    <t>S5c1120h03</t>
  </si>
  <si>
    <t>S5c1120h04</t>
  </si>
  <si>
    <t>S5c1120h05</t>
  </si>
  <si>
    <t>S5c1120h06</t>
  </si>
  <si>
    <t>S5c1120h07</t>
  </si>
  <si>
    <t>S5c1120h08</t>
  </si>
  <si>
    <t>S5c1120h09</t>
  </si>
  <si>
    <t>S5c1120h10</t>
  </si>
  <si>
    <t>S5c1120h11</t>
  </si>
  <si>
    <t>S5c1120h12</t>
  </si>
  <si>
    <t>S5c1120h13</t>
  </si>
  <si>
    <t>S5c1120h14</t>
  </si>
  <si>
    <t>S5c1120h15</t>
  </si>
  <si>
    <t>S5c1120h16</t>
  </si>
  <si>
    <t>S5c1120h17</t>
  </si>
  <si>
    <t>S5c1120h18</t>
  </si>
  <si>
    <t>S5c1120h19</t>
  </si>
  <si>
    <t>S5c1120h20</t>
  </si>
  <si>
    <t>S5c1120h21</t>
  </si>
  <si>
    <t>S5c1120h22</t>
  </si>
  <si>
    <t>S5c1120h23</t>
  </si>
  <si>
    <t>S5c1120h24</t>
  </si>
  <si>
    <t>S5c1121h01</t>
  </si>
  <si>
    <t>S5c1121h02</t>
  </si>
  <si>
    <t>S5c1121h03</t>
  </si>
  <si>
    <t>S5c1121h04</t>
  </si>
  <si>
    <t>S5c1121h05</t>
  </si>
  <si>
    <t>S5c1121h06</t>
  </si>
  <si>
    <t>S5c1121h07</t>
  </si>
  <si>
    <t>S5c1121h08</t>
  </si>
  <si>
    <t>S5c1121h09</t>
  </si>
  <si>
    <t>S5c1121h10</t>
  </si>
  <si>
    <t>S5c1121h11</t>
  </si>
  <si>
    <t>S5c1121h12</t>
  </si>
  <si>
    <t>S5c1121h13</t>
  </si>
  <si>
    <t>S5c1121h14</t>
  </si>
  <si>
    <t>S5c1121h15</t>
  </si>
  <si>
    <t>S5c1121h16</t>
  </si>
  <si>
    <t>S5c1121h17</t>
  </si>
  <si>
    <t>S5c1121h18</t>
  </si>
  <si>
    <t>S5c1121h19</t>
  </si>
  <si>
    <t>S5c1121h20</t>
  </si>
  <si>
    <t>S5c1121h21</t>
  </si>
  <si>
    <t>S5c1121h22</t>
  </si>
  <si>
    <t>S5c1121h23</t>
  </si>
  <si>
    <t>S5c1121h24</t>
  </si>
  <si>
    <t>S5c1122h01</t>
  </si>
  <si>
    <t>S5c1122h02</t>
  </si>
  <si>
    <t>S5c1122h03</t>
  </si>
  <si>
    <t>S5c1122h04</t>
  </si>
  <si>
    <t>S5c1122h05</t>
  </si>
  <si>
    <t>S5c1122h06</t>
  </si>
  <si>
    <t>S5c1122h07</t>
  </si>
  <si>
    <t>S5c1122h08</t>
  </si>
  <si>
    <t>S5c1122h09</t>
  </si>
  <si>
    <t>S5c1122h10</t>
  </si>
  <si>
    <t>S5c1122h11</t>
  </si>
  <si>
    <t>S5c1122h12</t>
  </si>
  <si>
    <t>S5c1122h13</t>
  </si>
  <si>
    <t>S5c1122h14</t>
  </si>
  <si>
    <t>S5c1122h15</t>
  </si>
  <si>
    <t>S5c1122h16</t>
  </si>
  <si>
    <t>S5c1122h17</t>
  </si>
  <si>
    <t>S5c1122h18</t>
  </si>
  <si>
    <t>S5c1122h19</t>
  </si>
  <si>
    <t>S5c1122h20</t>
  </si>
  <si>
    <t>S5c1122h21</t>
  </si>
  <si>
    <t>S5c1122h22</t>
  </si>
  <si>
    <t>S5c1122h23</t>
  </si>
  <si>
    <t>S5c1122h24</t>
  </si>
  <si>
    <t>S5c1123h01</t>
  </si>
  <si>
    <t>S5c1123h02</t>
  </si>
  <si>
    <t>S5c1123h03</t>
  </si>
  <si>
    <t>S5c1123h04</t>
  </si>
  <si>
    <t>S5c1123h05</t>
  </si>
  <si>
    <t>S5c1123h06</t>
  </si>
  <si>
    <t>S5c1123h07</t>
  </si>
  <si>
    <t>S5c1123h08</t>
  </si>
  <si>
    <t>S5c1123h09</t>
  </si>
  <si>
    <t>S5c1123h10</t>
  </si>
  <si>
    <t>S5c1123h11</t>
  </si>
  <si>
    <t>S5c1123h12</t>
  </si>
  <si>
    <t>S5c1123h13</t>
  </si>
  <si>
    <t>S5c1123h14</t>
  </si>
  <si>
    <t>S5c1123h15</t>
  </si>
  <si>
    <t>S5c1123h16</t>
  </si>
  <si>
    <t>S5c1123h17</t>
  </si>
  <si>
    <t>S5c1123h18</t>
  </si>
  <si>
    <t>S5c1123h19</t>
  </si>
  <si>
    <t>S5c1123h20</t>
  </si>
  <si>
    <t>S5c1123h21</t>
  </si>
  <si>
    <t>S5c1123h22</t>
  </si>
  <si>
    <t>S5c1123h23</t>
  </si>
  <si>
    <t>S5c1123h24</t>
  </si>
  <si>
    <t>S5c1124h01</t>
  </si>
  <si>
    <t>S5c1124h02</t>
  </si>
  <si>
    <t>S5c1124h03</t>
  </si>
  <si>
    <t>S5c1124h04</t>
  </si>
  <si>
    <t>S5c1124h05</t>
  </si>
  <si>
    <t>S5c1124h06</t>
  </si>
  <si>
    <t>S5c1124h07</t>
  </si>
  <si>
    <t>S5c1124h08</t>
  </si>
  <si>
    <t>S5c1124h09</t>
  </si>
  <si>
    <t>S5c1124h10</t>
  </si>
  <si>
    <t>S5c1124h11</t>
  </si>
  <si>
    <t>S5c1124h12</t>
  </si>
  <si>
    <t>S5c1124h13</t>
  </si>
  <si>
    <t>S5c1124h14</t>
  </si>
  <si>
    <t>S5c1124h15</t>
  </si>
  <si>
    <t>S5c1124h16</t>
  </si>
  <si>
    <t>S5c1124h17</t>
  </si>
  <si>
    <t>S5c1124h18</t>
  </si>
  <si>
    <t>S5c1124h19</t>
  </si>
  <si>
    <t>S5c1124h20</t>
  </si>
  <si>
    <t>S5c1124h21</t>
  </si>
  <si>
    <t>S5c1124h22</t>
  </si>
  <si>
    <t>S5c1124h23</t>
  </si>
  <si>
    <t>S5c1124h24</t>
  </si>
  <si>
    <t>S5c1125h01</t>
  </si>
  <si>
    <t>S5c1125h02</t>
  </si>
  <si>
    <t>S5c1125h03</t>
  </si>
  <si>
    <t>S5c1125h04</t>
  </si>
  <si>
    <t>S5c1125h05</t>
  </si>
  <si>
    <t>S5c1125h06</t>
  </si>
  <si>
    <t>S5c1125h07</t>
  </si>
  <si>
    <t>S5c1125h08</t>
  </si>
  <si>
    <t>S5c1125h09</t>
  </si>
  <si>
    <t>S5c1125h10</t>
  </si>
  <si>
    <t>S5c1125h11</t>
  </si>
  <si>
    <t>S5c1125h12</t>
  </si>
  <si>
    <t>S5c1125h13</t>
  </si>
  <si>
    <t>S5c1125h14</t>
  </si>
  <si>
    <t>S5c1125h15</t>
  </si>
  <si>
    <t>S5c1125h16</t>
  </si>
  <si>
    <t>S5c1125h17</t>
  </si>
  <si>
    <t>S5c1125h18</t>
  </si>
  <si>
    <t>S5c1125h19</t>
  </si>
  <si>
    <t>S5c1125h20</t>
  </si>
  <si>
    <t>S5c1125h21</t>
  </si>
  <si>
    <t>S5c1125h22</t>
  </si>
  <si>
    <t>S5c1125h23</t>
  </si>
  <si>
    <t>S5c1125h24</t>
  </si>
  <si>
    <t>S3b0910h13,S3b0910h14,S3b0911h16,S3b0912h18,S3b0913h16,S3b0915h11,S3b0916h14,S3b0916h18,S4aH5,S5c1122h08,S5c1122h18,S5c1124h08,S5c1124h11,S5c1124h12,S1aH2,S1aH7,S2aH3,S3aH6,S3b0910h12,S3b0911h10,S3b0914h18,S3b0915h10,S4aH7,S5aH6,S5aH7,S5c1119h15,S5c1119h17,S5c1122h10,S5c1122h11,S5c1124h10,S6aH6,S1aH5,S2aH4,S2aH5,S3b0910h11,S3b0913h13,S3b0914h14,S3b0916h15,S3b0916h17,S5aH2,S5aH5,S5c1119h13,S5c1125h12,S6aH2,S3aH3,S3b0910h16,S3b0911h07,S3b0914h10,S3b0915h15,S3b0915h17,S5c1119h08,S5c1119h18,S5c1120h18,S5c1121h11,S5c1121h15,S5c1122h07,S5c1123h16,S5c1125h17,S3b0911h17,S3b0912h09,S3b0913h14,S3b0914h07,S3b0916h08,S3b0916h10,S4aH2,S5c1119h10,S5c1122h15,S5c1123h12,S5c1123h18,S5c1125h08,S5c1125h18,S3b0913h15,S3b0915h14,S5c1119h16,S5c1120h11,S5c1121h12,S5c1121h13,S5c1121h16,S5c1122h14,S5c1124h15,S5c1124h17,S5c1125h10,S5c1125h15,S6aH5,S3b0911h12,S3b0912h11,S3b0912h12,S3b0912h13,S3b0915h18,S3b0916h16,S5aH4,S5c1121h09,S5c1122h09,S5c1123h17,S5c1125h13,S6aH3,S6aH4,S3aH2,S3b0911h13,S3b0913h11,S3b0914h13,S5c1120h10,S5c1124h09,S1aH3,S3b0911h09,S3b0911h14,S3b0912h07,S3b0915h09,S5c1120h08,S5c1122h13,S5c1123h11,S5c1125h07,S3b0910h15,S3b0912h15,S3b0913h18,S3b0914h08,S3b0914h11,S3b0915h16,S3b0916h11,S5c1119h12,S5c1120h15,S5c1120h17,S5c1121h10,S5c1123h13,S5c1125h11,S2aH7,S3aH4,S3b0910h10,S3b0911h08,S3b0911h15,S3b0912h10,S3b0912h16,S3b0913h09,S3b0914h09,S3b0914h12,S4aH3,S4aH4,S5c1119h09,S5c1120h16,S5c1121h14,S5c1123h09,S5c1123h10,S5c1124h13,S5c1125h09,S1aH6,S3b0910h09,S3b0910h18,S3b0912h08,S3b0912h17,S5c1119h11,S5c1120h07,S5c1121h07,S5c1121h08,S5c1122h12,S5c1122h17,S5c1123h08,S5c1124h07,S5c1124h14,S5c1125h16,S3aH7,S3b0913h07,S3b0915h08,S3b0916h12,S5c1119h07,S5c1120h13,S5c1125h14,S2aH6,S3aH5,S3b0910h17,S3b0912h14,S3b0913h17,S3b0914h16,S5aH3,S5c1120h14,S5c1122h16,S5c1123h15,S1aH4,S2aH2,S3b0910h07,S3b0913h08,S3b0913h12,S3b0914h15,S3b0914h17,S3b0915h07,S3b0915h12,S3b0915h13,S4aH6,S5c1119h14,S5c1120h09,S5c1120h12,S5c1121h17,S5c1123h14,S5c1124h16,S3b0910h08,S3b0911h11,S3b0911h18,S3b0913h10,S3b0916h07,S3b0916h09,S3b0916h13,S5c1121h18,S5c1123h07,S5c1124h18,S6aH7</t>
  </si>
  <si>
    <t>S3b0910h03,S3b0910h21,S3b0914h01,S3b0915h06,S3b0916h21,S5c1119h23,S5c1121h03,S5c1122h22,S5c1124h03,S5c1124h06,S3b0910h06,S3b0914h03,S3b0914h19,S3b0915h21,S3b0916h01,S3b0916h06,S5c1119h05,S5c1119h24,S5c1120h19,S5c1121h05,S5c1121h23,S5c1123h01,S5c1124h02,S3b0911h04,S3b0914h02,S3b0914h21,S3b0915h03,S3b0915h23,S3b0916h02,S3b0916h23,S5c1120h21,S5c1122h01,S5c1122h24,S5c1125h03,S5c1125h23,S3b0910h01,S3b0912h02,S3b0912h24,S5c1119h20,S5c1120h01,S5c1122h04,S5c1123h06,S2aH1,S3b0911h05,S3b0911h23,S3b0912h22,S3b0913h19,S5aH8,S5c1120h03,S5c1120h04,S5c1121h02,S5c1123h23,S5c1125h05,S5c1125h19,S5c1125h21,S3b0912h19,S3b0914h04,S3b0915h04,S4aH8,S5c1119h19,S5c1119h21,S5c1120h24,S5c1122h05,S5c1122h21,S5c1123h02,S5c1123h22,S5c1124h24,S5c1125h20,S3b0910h04,S3b0910h20,S3b0911h01,S3b0911h20,S3b0912h03,S3b0912h05,S3b0912h21,S5c1120h22,S5c1122h03,S3aH8,S3b0910h19,S3b0911h06,S3b0913h02,S3b0914h05,S5c1119h02,S5c1119h06,S5c1121h01,S5c1121h20,S5c1124h20,S5c1125h06,S3b0912h06,S3b0914h24,S3b0915h02,S3b0916h04,S3b0916h19,S3b0916h24,S5c1120h05,S5c1122h02,S5c1122h19,S5c1123h03,S5c1123h20,S5c1125h02,S1aH1,S3b0910h24,S3b0911h02,S3b0912h04,S3b0913h20,S3b0916h03,S5c1120h20,S5c1121h04,S5c1122h06,S3b0911h19,S3b0912h01,S3b0912h23,S3b0913h23,S3b0914h06,S3b0915h24,S5c1122h20,S5c1124h23,S3b0910h23,S3b0911h21,S3b0913h03,S3b0913h22,S3b0914h23,S3b0915h20,S3b0915h22,S5c1120h06,S5c1123h04,S6aH8,S2aH8,S3b0910h22,S3b0911h24,S3b0913h21,S3b0913h24,S3b0914h20,S3b0916h05,S5c1119h04,S5c1119h22,S5c1123h24,S5c1125h24,S1aH8,S3b0912h20,S3b0915h01,S3b0916h22,S5aH1,S5c1119h01,S5c1120h23,S5c1121h21,S5c1123h19,S5c1124h01,S5c1125h01,S5c1125h04,S3b0913h04,S3b0913h06,S3b0914h22,S3b0915h05,S3b0915h19,S3b0916h20,S4aH1,S5c1121h19,S5c1122h23,S5c1123h05,S5c1125h22,S6aH1,S3aH1,S3b0910h02,S3b0910h05,S3b0911h03,S3b0911h22,S3b0913h01,S3b0913h05,S5c1119h03,S5c1120h02,S5c1121h06,S5c1121h22,S5c1121h24,S5c1123h21,S5c1124h04,S5c1124h05,S5c1124h19,S5c1124h21,S5c1124h22</t>
  </si>
  <si>
    <t>S2b0316h01</t>
  </si>
  <si>
    <t>S2b0316h02</t>
  </si>
  <si>
    <t>S2b0316h03</t>
  </si>
  <si>
    <t>S2b0316h04</t>
  </si>
  <si>
    <t>S2b0316h05</t>
  </si>
  <si>
    <t>S2b0316h06</t>
  </si>
  <si>
    <t>S2b0316h07</t>
  </si>
  <si>
    <t>S2b0316h08</t>
  </si>
  <si>
    <t>S2b0316h09</t>
  </si>
  <si>
    <t>S2b0316h10</t>
  </si>
  <si>
    <t>S2b0316h11</t>
  </si>
  <si>
    <t>S2b0316h12</t>
  </si>
  <si>
    <t>S2b0316h13</t>
  </si>
  <si>
    <t>S2b0316h14</t>
  </si>
  <si>
    <t>S2b0316h15</t>
  </si>
  <si>
    <t>S2b0316h16</t>
  </si>
  <si>
    <t>S2b0316h17</t>
  </si>
  <si>
    <t>S2b0316h18</t>
  </si>
  <si>
    <t>S2b0316h19</t>
  </si>
  <si>
    <t>S2b0316h20</t>
  </si>
  <si>
    <t>S2b0316h21</t>
  </si>
  <si>
    <t>S2b0316h22</t>
  </si>
  <si>
    <t>S2b0316h23</t>
  </si>
  <si>
    <t>S2b0316h24</t>
  </si>
  <si>
    <t>S2c0317h01</t>
  </si>
  <si>
    <t>S2c0317h02</t>
  </si>
  <si>
    <t>S2c0317h03</t>
  </si>
  <si>
    <t>S2c0317h04</t>
  </si>
  <si>
    <t>S2c0317h05</t>
  </si>
  <si>
    <t>S2c0317h06</t>
  </si>
  <si>
    <t>S2c0317h07</t>
  </si>
  <si>
    <t>S2c0317h08</t>
  </si>
  <si>
    <t>S2c0317h09</t>
  </si>
  <si>
    <t>S2c0317h10</t>
  </si>
  <si>
    <t>S2c0317h11</t>
  </si>
  <si>
    <t>S2c0317h12</t>
  </si>
  <si>
    <t>S2c0317h13</t>
  </si>
  <si>
    <t>S2c0317h14</t>
  </si>
  <si>
    <t>S2c0317h15</t>
  </si>
  <si>
    <t>S2c0317h16</t>
  </si>
  <si>
    <t>S2c0317h17</t>
  </si>
  <si>
    <t>S2c0317h18</t>
  </si>
  <si>
    <t>S2c0317h19</t>
  </si>
  <si>
    <t>S2c0317h20</t>
  </si>
  <si>
    <t>S2c0317h21</t>
  </si>
  <si>
    <t>S2c0317h22</t>
  </si>
  <si>
    <t>S2c0317h23</t>
  </si>
  <si>
    <t>S2c0317h24</t>
  </si>
  <si>
    <t>S3d0910h01</t>
  </si>
  <si>
    <t>S3d0910h02</t>
  </si>
  <si>
    <t>S3d0910h03</t>
  </si>
  <si>
    <t>S3d0910h04</t>
  </si>
  <si>
    <t>S3d0910h05</t>
  </si>
  <si>
    <t>S3d0910h06</t>
  </si>
  <si>
    <t>S3d0910h07</t>
  </si>
  <si>
    <t>S3d0910h08</t>
  </si>
  <si>
    <t>S3d0910h09</t>
  </si>
  <si>
    <t>S3d0910h10</t>
  </si>
  <si>
    <t>S3d0910h11</t>
  </si>
  <si>
    <t>S3d0910h12</t>
  </si>
  <si>
    <t>S3d0910h13</t>
  </si>
  <si>
    <t>S3d0910h14</t>
  </si>
  <si>
    <t>S3d0910h15</t>
  </si>
  <si>
    <t>S3d0910h16</t>
  </si>
  <si>
    <t>S3d0910h17</t>
  </si>
  <si>
    <t>S3d0910h18</t>
  </si>
  <si>
    <t>S3d0910h19</t>
  </si>
  <si>
    <t>S3d0910h20</t>
  </si>
  <si>
    <t>S3d0910h21</t>
  </si>
  <si>
    <t>S3d0910h22</t>
  </si>
  <si>
    <t>S3d0910h23</t>
  </si>
  <si>
    <t>S3d0910h24</t>
  </si>
  <si>
    <t>S3d0911h01</t>
  </si>
  <si>
    <t>S3d0911h02</t>
  </si>
  <si>
    <t>S3d0911h03</t>
  </si>
  <si>
    <t>S3d0911h04</t>
  </si>
  <si>
    <t>S3d0911h05</t>
  </si>
  <si>
    <t>S3d0911h06</t>
  </si>
  <si>
    <t>S3d0911h07</t>
  </si>
  <si>
    <t>S3d0911h08</t>
  </si>
  <si>
    <t>S3d0911h09</t>
  </si>
  <si>
    <t>S3d0911h10</t>
  </si>
  <si>
    <t>S3d0911h11</t>
  </si>
  <si>
    <t>S3d0911h12</t>
  </si>
  <si>
    <t>S3d0911h13</t>
  </si>
  <si>
    <t>S3d0911h14</t>
  </si>
  <si>
    <t>S3d0911h15</t>
  </si>
  <si>
    <t>S3d0911h16</t>
  </si>
  <si>
    <t>S3d0911h17</t>
  </si>
  <si>
    <t>S3d0911h18</t>
  </si>
  <si>
    <t>S3d0911h19</t>
  </si>
  <si>
    <t>S3d0911h20</t>
  </si>
  <si>
    <t>S3d0911h21</t>
  </si>
  <si>
    <t>S3d0911h22</t>
  </si>
  <si>
    <t>S3d0911h23</t>
  </si>
  <si>
    <t>S3d0911h24</t>
  </si>
  <si>
    <t>S3d0912h01</t>
  </si>
  <si>
    <t>S3d0912h02</t>
  </si>
  <si>
    <t>S3d0912h03</t>
  </si>
  <si>
    <t>S3d0912h04</t>
  </si>
  <si>
    <t>S3d0912h05</t>
  </si>
  <si>
    <t>S3d0912h06</t>
  </si>
  <si>
    <t>S3d0912h07</t>
  </si>
  <si>
    <t>S3d0912h08</t>
  </si>
  <si>
    <t>S3d0912h09</t>
  </si>
  <si>
    <t>S3d0912h10</t>
  </si>
  <si>
    <t>S3d0912h11</t>
  </si>
  <si>
    <t>S3d0912h12</t>
  </si>
  <si>
    <t>S3d0912h13</t>
  </si>
  <si>
    <t>S3d0912h14</t>
  </si>
  <si>
    <t>S3d0912h15</t>
  </si>
  <si>
    <t>S3d0912h16</t>
  </si>
  <si>
    <t>S3d0912h17</t>
  </si>
  <si>
    <t>S3d0912h18</t>
  </si>
  <si>
    <t>S3d0912h19</t>
  </si>
  <si>
    <t>S3d0912h20</t>
  </si>
  <si>
    <t>S3d0912h21</t>
  </si>
  <si>
    <t>S3d0912h22</t>
  </si>
  <si>
    <t>S3d0912h23</t>
  </si>
  <si>
    <t>S3d0912h24</t>
  </si>
  <si>
    <t>S3d0913h01</t>
  </si>
  <si>
    <t>S3d0913h02</t>
  </si>
  <si>
    <t>S3d0913h03</t>
  </si>
  <si>
    <t>S3d0913h04</t>
  </si>
  <si>
    <t>S3d0913h05</t>
  </si>
  <si>
    <t>S3d0913h06</t>
  </si>
  <si>
    <t>S3d0913h07</t>
  </si>
  <si>
    <t>S3d0913h08</t>
  </si>
  <si>
    <t>S3d0913h09</t>
  </si>
  <si>
    <t>S3d0913h10</t>
  </si>
  <si>
    <t>S3d0913h11</t>
  </si>
  <si>
    <t>S3d0913h12</t>
  </si>
  <si>
    <t>S3d0913h13</t>
  </si>
  <si>
    <t>S3d0913h14</t>
  </si>
  <si>
    <t>S3d0913h15</t>
  </si>
  <si>
    <t>S3d0913h16</t>
  </si>
  <si>
    <t>S3d0913h17</t>
  </si>
  <si>
    <t>S3d0913h18</t>
  </si>
  <si>
    <t>S3d0913h19</t>
  </si>
  <si>
    <t>S3d0913h20</t>
  </si>
  <si>
    <t>S3d0913h21</t>
  </si>
  <si>
    <t>S3d0913h22</t>
  </si>
  <si>
    <t>S3d0913h23</t>
  </si>
  <si>
    <t>S3d0913h24</t>
  </si>
  <si>
    <t>S3d0914h01</t>
  </si>
  <si>
    <t>S3d0914h02</t>
  </si>
  <si>
    <t>S3d0914h03</t>
  </si>
  <si>
    <t>S3d0914h04</t>
  </si>
  <si>
    <t>S3d0914h05</t>
  </si>
  <si>
    <t>S3d0914h06</t>
  </si>
  <si>
    <t>S3d0914h07</t>
  </si>
  <si>
    <t>S3d0914h08</t>
  </si>
  <si>
    <t>S3d0914h09</t>
  </si>
  <si>
    <t>S3d0914h10</t>
  </si>
  <si>
    <t>S3d0914h11</t>
  </si>
  <si>
    <t>S3d0914h12</t>
  </si>
  <si>
    <t>S3d0914h13</t>
  </si>
  <si>
    <t>S3d0914h14</t>
  </si>
  <si>
    <t>S3d0914h15</t>
  </si>
  <si>
    <t>S3d0914h16</t>
  </si>
  <si>
    <t>S3d0914h17</t>
  </si>
  <si>
    <t>S3d0914h18</t>
  </si>
  <si>
    <t>S3d0914h19</t>
  </si>
  <si>
    <t>S3d0914h20</t>
  </si>
  <si>
    <t>S3d0914h21</t>
  </si>
  <si>
    <t>S3d0914h22</t>
  </si>
  <si>
    <t>S3d0914h23</t>
  </si>
  <si>
    <t>S3d0914h24</t>
  </si>
  <si>
    <t>S3d0915h01</t>
  </si>
  <si>
    <t>S3d0915h02</t>
  </si>
  <si>
    <t>S3d0915h03</t>
  </si>
  <si>
    <t>S3d0915h04</t>
  </si>
  <si>
    <t>S3d0915h05</t>
  </si>
  <si>
    <t>S3d0915h06</t>
  </si>
  <si>
    <t>S3d0915h07</t>
  </si>
  <si>
    <t>S3d0915h08</t>
  </si>
  <si>
    <t>S3d0915h09</t>
  </si>
  <si>
    <t>S3d0915h10</t>
  </si>
  <si>
    <t>S3d0915h11</t>
  </si>
  <si>
    <t>S3d0915h12</t>
  </si>
  <si>
    <t>S3d0915h13</t>
  </si>
  <si>
    <t>S3d0915h14</t>
  </si>
  <si>
    <t>S3d0915h15</t>
  </si>
  <si>
    <t>S3d0915h16</t>
  </si>
  <si>
    <t>S3d0915h17</t>
  </si>
  <si>
    <t>S3d0915h18</t>
  </si>
  <si>
    <t>S3d0915h19</t>
  </si>
  <si>
    <t>S3d0915h20</t>
  </si>
  <si>
    <t>S3d0915h21</t>
  </si>
  <si>
    <t>S3d0915h22</t>
  </si>
  <si>
    <t>S3d0915h23</t>
  </si>
  <si>
    <t>S3d0915h24</t>
  </si>
  <si>
    <t>S3d0916h01</t>
  </si>
  <si>
    <t>S3d0916h02</t>
  </si>
  <si>
    <t>S3d0916h03</t>
  </si>
  <si>
    <t>S3d0916h04</t>
  </si>
  <si>
    <t>S3d0916h05</t>
  </si>
  <si>
    <t>S3d0916h06</t>
  </si>
  <si>
    <t>S3d0916h07</t>
  </si>
  <si>
    <t>S3d0916h08</t>
  </si>
  <si>
    <t>S3d0916h09</t>
  </si>
  <si>
    <t>S3d0916h10</t>
  </si>
  <si>
    <t>S3d0916h11</t>
  </si>
  <si>
    <t>S3d0916h12</t>
  </si>
  <si>
    <t>S3d0916h13</t>
  </si>
  <si>
    <t>S3d0916h14</t>
  </si>
  <si>
    <t>S3d0916h15</t>
  </si>
  <si>
    <t>S3d0916h16</t>
  </si>
  <si>
    <t>S3d0916h17</t>
  </si>
  <si>
    <t>S3d0916h18</t>
  </si>
  <si>
    <t>S3d0916h19</t>
  </si>
  <si>
    <t>S3d0916h20</t>
  </si>
  <si>
    <t>S3d0916h21</t>
  </si>
  <si>
    <t>S3d0916h22</t>
  </si>
  <si>
    <t>S3d0916h23</t>
  </si>
  <si>
    <t>S3d0916h24</t>
  </si>
  <si>
    <t>S5e1119h01</t>
  </si>
  <si>
    <t>S5e1119h02</t>
  </si>
  <si>
    <t>S5e1119h03</t>
  </si>
  <si>
    <t>S5e1119h04</t>
  </si>
  <si>
    <t>S5e1119h05</t>
  </si>
  <si>
    <t>S5e1119h06</t>
  </si>
  <si>
    <t>S5e1119h07</t>
  </si>
  <si>
    <t>S5e1119h08</t>
  </si>
  <si>
    <t>S5e1119h09</t>
  </si>
  <si>
    <t>S5e1119h10</t>
  </si>
  <si>
    <t>S5e1119h11</t>
  </si>
  <si>
    <t>S5e1119h12</t>
  </si>
  <si>
    <t>S5e1119h13</t>
  </si>
  <si>
    <t>S5e1119h14</t>
  </si>
  <si>
    <t>S5e1119h15</t>
  </si>
  <si>
    <t>S5e1119h16</t>
  </si>
  <si>
    <t>S5e1119h17</t>
  </si>
  <si>
    <t>S5e1119h18</t>
  </si>
  <si>
    <t>S5e1119h19</t>
  </si>
  <si>
    <t>S5e1119h20</t>
  </si>
  <si>
    <t>S5e1119h21</t>
  </si>
  <si>
    <t>S5e1119h22</t>
  </si>
  <si>
    <t>S5e1119h23</t>
  </si>
  <si>
    <t>S5e1119h24</t>
  </si>
  <si>
    <t>S5e1120h01</t>
  </si>
  <si>
    <t>S5e1120h02</t>
  </si>
  <si>
    <t>S5e1120h03</t>
  </si>
  <si>
    <t>S5e1120h04</t>
  </si>
  <si>
    <t>S5e1120h05</t>
  </si>
  <si>
    <t>S5e1120h06</t>
  </si>
  <si>
    <t>S5e1120h07</t>
  </si>
  <si>
    <t>S5e1120h08</t>
  </si>
  <si>
    <t>S5e1120h09</t>
  </si>
  <si>
    <t>S5e1120h10</t>
  </si>
  <si>
    <t>S5e1120h11</t>
  </si>
  <si>
    <t>S5e1120h12</t>
  </si>
  <si>
    <t>S5e1120h13</t>
  </si>
  <si>
    <t>S5e1120h14</t>
  </si>
  <si>
    <t>S5e1120h15</t>
  </si>
  <si>
    <t>S5e1120h16</t>
  </si>
  <si>
    <t>S5e1120h17</t>
  </si>
  <si>
    <t>S5e1120h18</t>
  </si>
  <si>
    <t>S5e1120h19</t>
  </si>
  <si>
    <t>S5e1120h20</t>
  </si>
  <si>
    <t>S5e1120h21</t>
  </si>
  <si>
    <t>S5e1120h22</t>
  </si>
  <si>
    <t>S5e1120h23</t>
  </si>
  <si>
    <t>S5e1120h24</t>
  </si>
  <si>
    <t>S5e1121h01</t>
  </si>
  <si>
    <t>S5e1121h02</t>
  </si>
  <si>
    <t>S5e1121h03</t>
  </si>
  <si>
    <t>S5e1121h04</t>
  </si>
  <si>
    <t>S5e1121h05</t>
  </si>
  <si>
    <t>S5e1121h06</t>
  </si>
  <si>
    <t>S5e1121h07</t>
  </si>
  <si>
    <t>S5e1121h08</t>
  </si>
  <si>
    <t>S5e1121h09</t>
  </si>
  <si>
    <t>S5e1121h10</t>
  </si>
  <si>
    <t>S5e1121h11</t>
  </si>
  <si>
    <t>S5e1121h12</t>
  </si>
  <si>
    <t>S5e1121h13</t>
  </si>
  <si>
    <t>S5e1121h14</t>
  </si>
  <si>
    <t>S5e1121h15</t>
  </si>
  <si>
    <t>S5e1121h16</t>
  </si>
  <si>
    <t>S5e1121h17</t>
  </si>
  <si>
    <t>S5e1121h18</t>
  </si>
  <si>
    <t>S5e1121h19</t>
  </si>
  <si>
    <t>S5e1121h20</t>
  </si>
  <si>
    <t>S5e1121h21</t>
  </si>
  <si>
    <t>S5e1121h22</t>
  </si>
  <si>
    <t>S5e1121h23</t>
  </si>
  <si>
    <t>S5e1121h24</t>
  </si>
  <si>
    <t>S5e1122h01</t>
  </si>
  <si>
    <t>S5e1122h02</t>
  </si>
  <si>
    <t>S5e1122h03</t>
  </si>
  <si>
    <t>S5e1122h04</t>
  </si>
  <si>
    <t>S5e1122h05</t>
  </si>
  <si>
    <t>S5e1122h06</t>
  </si>
  <si>
    <t>S5e1122h07</t>
  </si>
  <si>
    <t>S5e1122h08</t>
  </si>
  <si>
    <t>S5e1122h09</t>
  </si>
  <si>
    <t>S5e1122h10</t>
  </si>
  <si>
    <t>S5e1122h11</t>
  </si>
  <si>
    <t>S5e1122h12</t>
  </si>
  <si>
    <t>S5e1122h13</t>
  </si>
  <si>
    <t>S5e1122h14</t>
  </si>
  <si>
    <t>S5e1122h15</t>
  </si>
  <si>
    <t>S5e1122h16</t>
  </si>
  <si>
    <t>S5e1122h17</t>
  </si>
  <si>
    <t>S5e1122h18</t>
  </si>
  <si>
    <t>S5e1122h19</t>
  </si>
  <si>
    <t>S5e1122h20</t>
  </si>
  <si>
    <t>S5e1122h21</t>
  </si>
  <si>
    <t>S5e1122h22</t>
  </si>
  <si>
    <t>S5e1122h23</t>
  </si>
  <si>
    <t>S5e1122h24</t>
  </si>
  <si>
    <t>S5e1123h01</t>
  </si>
  <si>
    <t>S5e1123h02</t>
  </si>
  <si>
    <t>S5e1123h03</t>
  </si>
  <si>
    <t>S5e1123h04</t>
  </si>
  <si>
    <t>S5e1123h05</t>
  </si>
  <si>
    <t>S5e1123h06</t>
  </si>
  <si>
    <t>S5e1123h07</t>
  </si>
  <si>
    <t>S5e1123h08</t>
  </si>
  <si>
    <t>S5e1123h09</t>
  </si>
  <si>
    <t>S5e1123h10</t>
  </si>
  <si>
    <t>S5e1123h11</t>
  </si>
  <si>
    <t>S5e1123h12</t>
  </si>
  <si>
    <t>S5e1123h13</t>
  </si>
  <si>
    <t>S5e1123h14</t>
  </si>
  <si>
    <t>S5e1123h15</t>
  </si>
  <si>
    <t>S5e1123h16</t>
  </si>
  <si>
    <t>S5e1123h17</t>
  </si>
  <si>
    <t>S5e1123h18</t>
  </si>
  <si>
    <t>S5e1123h19</t>
  </si>
  <si>
    <t>S5e1123h20</t>
  </si>
  <si>
    <t>S5e1123h21</t>
  </si>
  <si>
    <t>S5e1123h22</t>
  </si>
  <si>
    <t>S5e1123h23</t>
  </si>
  <si>
    <t>S5e1123h24</t>
  </si>
  <si>
    <t>S5e1124h01</t>
  </si>
  <si>
    <t>S5e1124h02</t>
  </si>
  <si>
    <t>S5e1124h03</t>
  </si>
  <si>
    <t>S5e1124h04</t>
  </si>
  <si>
    <t>S5e1124h05</t>
  </si>
  <si>
    <t>S5e1124h06</t>
  </si>
  <si>
    <t>S5e1124h07</t>
  </si>
  <si>
    <t>S5e1124h08</t>
  </si>
  <si>
    <t>S5e1124h09</t>
  </si>
  <si>
    <t>S5e1124h10</t>
  </si>
  <si>
    <t>S5e1124h11</t>
  </si>
  <si>
    <t>S5e1124h12</t>
  </si>
  <si>
    <t>S5e1124h13</t>
  </si>
  <si>
    <t>S5e1124h14</t>
  </si>
  <si>
    <t>S5e1124h15</t>
  </si>
  <si>
    <t>S5e1124h16</t>
  </si>
  <si>
    <t>S5e1124h17</t>
  </si>
  <si>
    <t>S5e1124h18</t>
  </si>
  <si>
    <t>S5e1124h19</t>
  </si>
  <si>
    <t>S5e1124h20</t>
  </si>
  <si>
    <t>S5e1124h21</t>
  </si>
  <si>
    <t>S5e1124h22</t>
  </si>
  <si>
    <t>S5e1124h23</t>
  </si>
  <si>
    <t>S5e1124h24</t>
  </si>
  <si>
    <t>S5e1125h01</t>
  </si>
  <si>
    <t>S5e1125h02</t>
  </si>
  <si>
    <t>S5e1125h03</t>
  </si>
  <si>
    <t>S5e1125h04</t>
  </si>
  <si>
    <t>S5e1125h05</t>
  </si>
  <si>
    <t>S5e1125h06</t>
  </si>
  <si>
    <t>S5e1125h07</t>
  </si>
  <si>
    <t>S5e1125h08</t>
  </si>
  <si>
    <t>S5e1125h09</t>
  </si>
  <si>
    <t>S5e1125h10</t>
  </si>
  <si>
    <t>S5e1125h11</t>
  </si>
  <si>
    <t>S5e1125h12</t>
  </si>
  <si>
    <t>S5e1125h13</t>
  </si>
  <si>
    <t>S5e1125h14</t>
  </si>
  <si>
    <t>S5e1125h15</t>
  </si>
  <si>
    <t>S5e1125h16</t>
  </si>
  <si>
    <t>S5e1125h17</t>
  </si>
  <si>
    <t>S5e1125h18</t>
  </si>
  <si>
    <t>S5e1125h19</t>
  </si>
  <si>
    <t>S5e1125h20</t>
  </si>
  <si>
    <t>S5e1125h21</t>
  </si>
  <si>
    <t>S5e1125h22</t>
  </si>
  <si>
    <t>S5e1125h23</t>
  </si>
  <si>
    <t>S5e1125h24</t>
  </si>
  <si>
    <t>S2b0316h10,S2c0317h09,S3d0911h14,S3d0912h08,S3d0916h10,S4aH2,S5e1119h09,S5e1119h15,S5e1121h09,S5e1123h10,S5e1125h12,S2b0316h12,S3d0910h11,S3d0910h14,S3d0910h17,S3d0911h08,S3d0911h12,S3d0914h15,S3d0915h10,S3d0915h11,S3d0916h14,S5e1119h08,S5e1122h17,S5e1124h13,S5e1125h11,S5e1125h16,S6aH5,S2aH6,S2c0317h17,S3aH5,S3d0911h15,S3d0912h12,S3d0912h13,S3d0912h17,S3d0912h18,S3d0913h13,S3d0915h14,S3d0915h18,S5aH3,S5e1119h17,S5e1122h11,S5e1122h16,S5e1123h18,S5e1124h18,S2b0316h13,S2b0316h15,S2b0316h18,S2c0317h10,S3aH2,S3d0912h11,S3d0913h17,S3d0914h08,S5e1120h12,S5e1121h14,S5e1122h10,S5e1123h11,S5e1123h17,S5e1124h12,S2b0316h07,S2c0317h08,S3d0910h16,S3d0913h09,S3d0913h10,S3d0914h11,S3d0916h15,S3d0916h16,S5aH4,S5e1119h12,S5e1120h15,S5e1121h15,S5e1121h17,S5e1122h07,S5e1125h07,S6aH3,S6aH4,S2c0317h14,S2c0317h18,S3d0910h12,S3d0910h13,S3d0911h10,S3d0911h17,S3d0911h18,S3d0913h12,S3d0915h16,S4aH5,S5e1120h09,S5e1121h10,S5e1122h08,S5e1123h15,S5e1124h17,S5e1125h10,S2b0316h16,S3aH3,S3d0915h09,S3d0916h09,S5e1119h10,S5e1119h11,S5e1120h13,S5e1120h14,S5e1120h18,S5e1121h08,S5e1122h15,S5e1124h08,S5e1125h08,S1aH2,S1aH7,S2aH3,S3aH6,S3d0913h16,S3d0914h07,S3d0914h12,S3d0914h17,S3d0916h13,S3d0916h17,S3d0916h18,S4aH7,S5aH6,S5aH7,S5e1121h07,S5e1121h12,S5e1122h18,S5e1123h07,S5e1124h09,S6aH6,S2b0316h09,S3d0911h09,S3d0914h10,S3d0914h18,S3d0915h17,S5e1120h10,S5e1122h14,S1aH3,S3d0910h08,S3d0910h10,S3d0912h15,S3d0912h16,S3d0915h15,S3d0916h08,S3d0916h11,S5e1120h11,S5e1122h12,S5e1123h12,S1aH6,S2c0317h13,S2c0317h15,S3d0911h11,S3d0913h15,S3d0916h07,S3d0916h12,S5e1119h07,S5e1120h07,S5e1120h08,S5e1121h13,S5e1121h16,S5e1124h16,S5e1125h18,S3d0911h13,S3d0914h09,S5e1120h16,S5e1121h11,S5e1123h16,S5e1124h10,S6aH7,S1aH4,S2aH2,S2b0316h08,S3d0910h09,S3d0912h14,S3d0913h14,S3d0914h13,S3d0914h14,S4aH6,S5e1119h13,S5e1124h15,S2aH7,S2b0316h11,S2b0316h17,S2c0317h11,S3aH4,S3d0910h18,S3d0912h07,S3d0912h10,S3d0914h16,S4aH3,S4aH4,S5e1119h14,S5e1122h09,S5e1123h09,S5e1123h13,S5e1124h07,S5e1125h14,S2c0317h16,S3aH7,S3d0910h07,S3d0910h15,S3d0911h07,S3d0911h16,S3d0915h12,S3d0915h13,S5e1120h17,S5e1122h13,S5e1125h13,S1aH5,S2aH4,S2aH5,S2b0316h14,S2c0317h07,S2c0317h12,S3d0912h09,S3d0913h07,S3d0913h08,S3d0913h11,S3d0913h18,S3d0915h07,S3d0915h08,S5aH2,S5aH5,S5e1119h16,S5e1119h18,S5e1121h18,S5e1123h08,S5e1123h14,S5e1124h11,S5e1124h14,S5e1125h09,S5e1125h15,S5e1125h17,S6aH2</t>
  </si>
  <si>
    <t>S2aH1,S3d0916h02,S3d0916h04,S3d0916h23,S5aH8,S5e1119h03,S5e1119h20,S5e1120h05,S5e1121h02,S2c0317h23,S2c0317h24,S3d0911h21,S3d0913h01,S3d0913h04,S3d0913h19,S3d0913h23,S3d0913h24,S3d0914h05,S4aH8,S5e1122h05,S5e1122h19,S5e1125h23,S1aH8,S3d0910h03,S3d0910h06,S3d0910h20,S3d0912h01,S3d0913h06,S3d0914h24,S3d0916h21,S5aH1,S5e1119h04,S5e1120h06,S5e1120h20,S5e1121h19,S5e1121h20,S5e1123h21,S5e1123h24,S5e1124h03,S5e1125h20,S2c0317h21,S3aH8,S3d0910h21,S3d0911h23,S3d0913h02,S3d0913h20,S3d0915h01,S3d0915h02,S3d0916h24,S2b0316h02,S2b0316h03,S2c0317h04,S2c0317h22,S3d0910h05,S3d0910h19,S3d0911h02,S3d0912h20,S3d0914h20,S3d0914h22,S3d0915h04,S3d0915h06,S3d0915h23,S3d0916h03,S3d0916h19,S5e1120h04,S5e1121h01,S5e1121h03,S5e1122h24,S5e1124h01,S5e1124h19,S5e1124h23,S2b0316h01,S2b0316h06,S3d0910h24,S3d0911h01,S3d0912h24,S3d0914h23,S3d0915h05,S5e1119h05,S5e1121h22,S5e1124h21,S5e1125h04,S3d0910h01,S3d0910h04,S3d0911h04,S3d0911h06,S3d0913h22,S3d0914h02,S3d0914h03,S5e1120h03,S5e1120h19,S5e1120h23,S5e1122h01,S5e1123h01,S5e1123h05,S2b0316h20,S2c0317h19,S3d0911h22,S3d0912h06,S3d0914h21,S5e1120h24,S5e1122h04,S5e1123h22,S5e1124h24,S1aH1,S2c0317h05,S3d0910h23,S3d0912h23,S3d0913h05,S3d0914h01,S3d0915h03,S3d0915h19,S5e1119h22,S5e1121h23,S5e1122h02,S5e1122h03,S5e1122h06,S5e1124h04,S5e1125h01,S2b0316h21,S2c0317h02,S3d0911h05,S3d0912h04,S3d0912h19,S3d0913h21,S3d0915h20,S3d0915h24,S3d0916h06,S5e1120h01,S5e1120h22,S5e1121h04,S5e1121h06,S5e1121h24,S5e1123h03,S5e1123h06,S5e1124h20,S5e1124h22,S3d0912h22,S3d0913h03,S3d0915h22,S5e1120h02,S5e1123h04,S5e1125h24,S6aH8,S2b0316h05,S2b0316h22,S2b0316h24,S2c0317h06,S3aH1,S3d0910h02,S3d0912h02,S3d0912h03,S3d0916h05,S5e1122h23,S5e1123h02,S5e1123h20,S5e1123h23,S5e1124h05,S5e1124h06,S5e1125h06,S5e1125h22,S2b0316h19,S2b0316h23,S2c0317h03,S3d0911h20,S3d0916h20,S4aH1,S5e1121h05,S5e1121h21,S5e1122h22,S6aH1,S3d0912h21,S3d0914h06,S3d0914h19,S3d0915h21,S5e1119h24,S5e1122h20,S5e1125h03,S5e1125h05,S2aH8,S2b0316h04,S3d0911h03,S3d0911h19,S3d0916h01,S5e1119h19,S5e1119h23,S5e1120h21,S5e1123h19,S5e1125h21,S2c0317h01,S2c0317h20,S3d0910h22,S3d0911h24,S3d0912h05,S3d0914h04,S3d0916h22,S5e1119h01,S5e1119h02,S5e1119h06,S5e1119h21,S5e1122h21,S5e1124h02,S5e1125h02,S5e1125h19</t>
  </si>
  <si>
    <t>S1,S2,S3</t>
  </si>
  <si>
    <t>S3aH2,S3aH4,S1aH3,S1aH2,S2aH3,S3aH3,S2aH4,S1aH4,S2aH2</t>
  </si>
  <si>
    <t>S1aH5,S2aH5,S3aH1,S3aH5,S2aH1,S1aH1</t>
  </si>
  <si>
    <t>S2aH8,S4aH2,S2aH6,S3aH5,S3aH2,S3aH7,S1aH3,S3aH8,S4aH5,S1aH2,S1aH7,S2aH3,S3aH6,S4aH7,S4aH8,S3aH3,S1aH6,S1aH8,S1aH5,S2aH4,S2aH5,S1aH4,S2aH2,S4aH6,S2aH7,S3aH4,S4aH3,S4aH4</t>
  </si>
  <si>
    <t>S2aH1,S2aH9,S1aH1,S3aH1,S4aH9,S1aH9,S4aH1,S3aH9</t>
  </si>
  <si>
    <t>S4aH5,S3aH7,S1aH6,S1aH2,S1aH7,S2aH3,S3aH6,S4aH7,S5aH6,S5aH7,S6aH6,S1aH4,S2aH2,S4aH6,S1aH5,S2aH4,S2aH5,S5aH2,S5aH5,S6aH2,S4aH2,S6aH7,S1aH3,S6aH5,S2aH7,S3aH4,S4aH3,S4aH4,S3aH2,S2aH6,S3aH5,S5aH3,S3aH3,S5aH4,S6aH3,S6aH4</t>
  </si>
  <si>
    <t>S2aH8,S6aH8,S4aH1,S6aH1,S1aH1,S2aH1,S5aH8,S3aH1,S4aH8,S3aH8,S1aH8,S5aH1</t>
  </si>
  <si>
    <t>0107h01</t>
  </si>
  <si>
    <t>0107h02</t>
  </si>
  <si>
    <t>0107h03</t>
  </si>
  <si>
    <t>0107h04</t>
  </si>
  <si>
    <t>0107h05</t>
  </si>
  <si>
    <t>0107h06</t>
  </si>
  <si>
    <t>0107h07</t>
  </si>
  <si>
    <t>0107h08</t>
  </si>
  <si>
    <t>0107h09</t>
  </si>
  <si>
    <t>0107h10</t>
  </si>
  <si>
    <t>k</t>
  </si>
  <si>
    <t>0107h11</t>
  </si>
  <si>
    <t>l</t>
  </si>
  <si>
    <t>0107h12</t>
  </si>
  <si>
    <t>m</t>
  </si>
  <si>
    <t>0107h13</t>
  </si>
  <si>
    <t>n</t>
  </si>
  <si>
    <t>0107h14</t>
  </si>
  <si>
    <t>o</t>
  </si>
  <si>
    <t>0107h15</t>
  </si>
  <si>
    <t>p</t>
  </si>
  <si>
    <t>0107h16</t>
  </si>
  <si>
    <t>0107h17</t>
  </si>
  <si>
    <t>0107h18</t>
  </si>
  <si>
    <t>0107h19</t>
  </si>
  <si>
    <t>0107h20</t>
  </si>
  <si>
    <t>0107h21</t>
  </si>
  <si>
    <t>0107h22</t>
  </si>
  <si>
    <t>0107h23</t>
  </si>
  <si>
    <t>0107h24</t>
  </si>
  <si>
    <t>0307h01</t>
  </si>
  <si>
    <t>0307h02</t>
  </si>
  <si>
    <t>0307h03</t>
  </si>
  <si>
    <t>0307h04</t>
  </si>
  <si>
    <t>0307h05</t>
  </si>
  <si>
    <t>0307h06</t>
  </si>
  <si>
    <t>0307h07</t>
  </si>
  <si>
    <t>0307h08</t>
  </si>
  <si>
    <t>0307h09</t>
  </si>
  <si>
    <t>0307h10</t>
  </si>
  <si>
    <t>0307h11</t>
  </si>
  <si>
    <t>0307h12</t>
  </si>
  <si>
    <t>0307h13</t>
  </si>
  <si>
    <t>0307h14</t>
  </si>
  <si>
    <t>0307h15</t>
  </si>
  <si>
    <t>0307h16</t>
  </si>
  <si>
    <t>0307h17</t>
  </si>
  <si>
    <t>0307h18</t>
  </si>
  <si>
    <t>0307h19</t>
  </si>
  <si>
    <t>0307h20</t>
  </si>
  <si>
    <t>0307h21</t>
  </si>
  <si>
    <t>0307h22</t>
  </si>
  <si>
    <t>0307h23</t>
  </si>
  <si>
    <t>0307h24</t>
  </si>
  <si>
    <t>0308h01</t>
  </si>
  <si>
    <t>0308h02</t>
  </si>
  <si>
    <t>0308h03</t>
  </si>
  <si>
    <t>0308h04</t>
  </si>
  <si>
    <t>0308h05</t>
  </si>
  <si>
    <t>0308h06</t>
  </si>
  <si>
    <t>0308h07</t>
  </si>
  <si>
    <t>0308h08</t>
  </si>
  <si>
    <t>0308h09</t>
  </si>
  <si>
    <t>0308h10</t>
  </si>
  <si>
    <t>0308h11</t>
  </si>
  <si>
    <t>0308h12</t>
  </si>
  <si>
    <t>0308h13</t>
  </si>
  <si>
    <t>0308h14</t>
  </si>
  <si>
    <t>0308h15</t>
  </si>
  <si>
    <t>0308h16</t>
  </si>
  <si>
    <t>0308h17</t>
  </si>
  <si>
    <t>0308h18</t>
  </si>
  <si>
    <t>0308h19</t>
  </si>
  <si>
    <t>0308h20</t>
  </si>
  <si>
    <t>0308h21</t>
  </si>
  <si>
    <t>0308h22</t>
  </si>
  <si>
    <t>0308h23</t>
  </si>
  <si>
    <t>0308h24</t>
  </si>
  <si>
    <t>0401h01</t>
  </si>
  <si>
    <t>0401h02</t>
  </si>
  <si>
    <t>0401h03</t>
  </si>
  <si>
    <t>0401h04</t>
  </si>
  <si>
    <t>0401h05</t>
  </si>
  <si>
    <t>0401h06</t>
  </si>
  <si>
    <t>0401h07</t>
  </si>
  <si>
    <t>0401h08</t>
  </si>
  <si>
    <t>0401h09</t>
  </si>
  <si>
    <t>0401h10</t>
  </si>
  <si>
    <t>0401h11</t>
  </si>
  <si>
    <t>0401h12</t>
  </si>
  <si>
    <t>0401h13</t>
  </si>
  <si>
    <t>0401h14</t>
  </si>
  <si>
    <t>0401h15</t>
  </si>
  <si>
    <t>0401h16</t>
  </si>
  <si>
    <t>0401h17</t>
  </si>
  <si>
    <t>0401h18</t>
  </si>
  <si>
    <t>0401h19</t>
  </si>
  <si>
    <t>0401h20</t>
  </si>
  <si>
    <t>0401h21</t>
  </si>
  <si>
    <t>0401h22</t>
  </si>
  <si>
    <t>0401h23</t>
  </si>
  <si>
    <t>0401h24</t>
  </si>
  <si>
    <t>0722h01</t>
  </si>
  <si>
    <t>0722h02</t>
  </si>
  <si>
    <t>0722h03</t>
  </si>
  <si>
    <t>0722h04</t>
  </si>
  <si>
    <t>0722h05</t>
  </si>
  <si>
    <t>0722h06</t>
  </si>
  <si>
    <t>0722h07</t>
  </si>
  <si>
    <t>0722h08</t>
  </si>
  <si>
    <t>0722h09</t>
  </si>
  <si>
    <t>0722h10</t>
  </si>
  <si>
    <t>0722h11</t>
  </si>
  <si>
    <t>0722h12</t>
  </si>
  <si>
    <t>0722h13</t>
  </si>
  <si>
    <t>0722h14</t>
  </si>
  <si>
    <t>0722h15</t>
  </si>
  <si>
    <t>0722h16</t>
  </si>
  <si>
    <t>0722h17</t>
  </si>
  <si>
    <t>0722h18</t>
  </si>
  <si>
    <t>0722h19</t>
  </si>
  <si>
    <t>0722h20</t>
  </si>
  <si>
    <t>0722h21</t>
  </si>
  <si>
    <t>0722h22</t>
  </si>
  <si>
    <t>0722h23</t>
  </si>
  <si>
    <t>0722h24</t>
  </si>
  <si>
    <t>S1b0107h01</t>
  </si>
  <si>
    <t>S1b0107h02</t>
  </si>
  <si>
    <t>S1b0107h03</t>
  </si>
  <si>
    <t>S1b0107h04</t>
  </si>
  <si>
    <t>S1b0107h05</t>
  </si>
  <si>
    <t>S1b0107h06</t>
  </si>
  <si>
    <t>S1b0107h07</t>
  </si>
  <si>
    <t>S1b0107h08</t>
  </si>
  <si>
    <t>S1b0107h09</t>
  </si>
  <si>
    <t>S1b0107h10</t>
  </si>
  <si>
    <t>S1b0107h11</t>
  </si>
  <si>
    <t>S1b0107h12</t>
  </si>
  <si>
    <t>S1b0107h13</t>
  </si>
  <si>
    <t>S1b0107h14</t>
  </si>
  <si>
    <t>S1b0107h15</t>
  </si>
  <si>
    <t>S1b0107h16</t>
  </si>
  <si>
    <t>S1b0107h17</t>
  </si>
  <si>
    <t>S1b0107h18</t>
  </si>
  <si>
    <t>S1b0107h19</t>
  </si>
  <si>
    <t>S1b0107h20</t>
  </si>
  <si>
    <t>S1b0107h21</t>
  </si>
  <si>
    <t>S1b0107h22</t>
  </si>
  <si>
    <t>S1b0107h23</t>
  </si>
  <si>
    <t>S1b0107h24</t>
  </si>
  <si>
    <t>S1c0131h01</t>
  </si>
  <si>
    <t>S1c0131h02</t>
  </si>
  <si>
    <t>S1c0131h03</t>
  </si>
  <si>
    <t>S1c0131h04</t>
  </si>
  <si>
    <t>S1c0131h05</t>
  </si>
  <si>
    <t>S1c0131h06</t>
  </si>
  <si>
    <t>S1c0131h07</t>
  </si>
  <si>
    <t>S1c0131h08</t>
  </si>
  <si>
    <t>S1c0131h09</t>
  </si>
  <si>
    <t>S1c0131h10</t>
  </si>
  <si>
    <t>S1c0131h11</t>
  </si>
  <si>
    <t>S1c0131h12</t>
  </si>
  <si>
    <t>S1c0131h13</t>
  </si>
  <si>
    <t>S1c0131h14</t>
  </si>
  <si>
    <t>S1c0131h15</t>
  </si>
  <si>
    <t>S1c0131h16</t>
  </si>
  <si>
    <t>S1c0131h17</t>
  </si>
  <si>
    <t>S1c0131h18</t>
  </si>
  <si>
    <t>S1c0131h19</t>
  </si>
  <si>
    <t>S1c0131h20</t>
  </si>
  <si>
    <t>S1c0131h21</t>
  </si>
  <si>
    <t>S1c0131h22</t>
  </si>
  <si>
    <t>S1c0131h23</t>
  </si>
  <si>
    <t>S1c0131h24</t>
  </si>
  <si>
    <t>S2d0307h01</t>
  </si>
  <si>
    <t>S2d0307h02</t>
  </si>
  <si>
    <t>S2d0307h03</t>
  </si>
  <si>
    <t>S2d0307h04</t>
  </si>
  <si>
    <t>S2d0307h05</t>
  </si>
  <si>
    <t>S2d0307h06</t>
  </si>
  <si>
    <t>S2d0307h07</t>
  </si>
  <si>
    <t>S2d0307h08</t>
  </si>
  <si>
    <t>S2d0307h09</t>
  </si>
  <si>
    <t>S2d0307h10</t>
  </si>
  <si>
    <t>S2d0307h11</t>
  </si>
  <si>
    <t>S2d0307h12</t>
  </si>
  <si>
    <t>S2d0307h13</t>
  </si>
  <si>
    <t>S2d0307h14</t>
  </si>
  <si>
    <t>S2d0307h15</t>
  </si>
  <si>
    <t>S2d0307h16</t>
  </si>
  <si>
    <t>S2d0307h17</t>
  </si>
  <si>
    <t>S2d0307h18</t>
  </si>
  <si>
    <t>S2d0307h19</t>
  </si>
  <si>
    <t>S2d0307h20</t>
  </si>
  <si>
    <t>S2d0307h21</t>
  </si>
  <si>
    <t>S2d0307h22</t>
  </si>
  <si>
    <t>S2d0307h23</t>
  </si>
  <si>
    <t>S2d0307h24</t>
  </si>
  <si>
    <t>S2e0308h01</t>
  </si>
  <si>
    <t>S2e0308h02</t>
  </si>
  <si>
    <t>S2e0308h03</t>
  </si>
  <si>
    <t>S2e0308h04</t>
  </si>
  <si>
    <t>S2e0308h05</t>
  </si>
  <si>
    <t>S2e0308h06</t>
  </si>
  <si>
    <t>S2e0308h07</t>
  </si>
  <si>
    <t>S2e0308h08</t>
  </si>
  <si>
    <t>S2e0308h09</t>
  </si>
  <si>
    <t>S2e0308h10</t>
  </si>
  <si>
    <t>S2e0308h11</t>
  </si>
  <si>
    <t>S2e0308h12</t>
  </si>
  <si>
    <t>S2e0308h13</t>
  </si>
  <si>
    <t>S2e0308h14</t>
  </si>
  <si>
    <t>S2e0308h15</t>
  </si>
  <si>
    <t>S2e0308h16</t>
  </si>
  <si>
    <t>S2e0308h17</t>
  </si>
  <si>
    <t>S2e0308h18</t>
  </si>
  <si>
    <t>S2e0308h19</t>
  </si>
  <si>
    <t>S2e0308h20</t>
  </si>
  <si>
    <t>S2e0308h21</t>
  </si>
  <si>
    <t>S2e0308h22</t>
  </si>
  <si>
    <t>S2e0308h23</t>
  </si>
  <si>
    <t>S2e0308h24</t>
  </si>
  <si>
    <t>S2f0314h01</t>
  </si>
  <si>
    <t>S2f0314h02</t>
  </si>
  <si>
    <t>S2f0314h03</t>
  </si>
  <si>
    <t>S2f0314h04</t>
  </si>
  <si>
    <t>S2f0314h05</t>
  </si>
  <si>
    <t>S2f0314h06</t>
  </si>
  <si>
    <t>S2f0314h07</t>
  </si>
  <si>
    <t>S2f0314h08</t>
  </si>
  <si>
    <t>S2f0314h09</t>
  </si>
  <si>
    <t>S2f0314h10</t>
  </si>
  <si>
    <t>S2f0314h11</t>
  </si>
  <si>
    <t>S2f0314h12</t>
  </si>
  <si>
    <t>S2f0314h13</t>
  </si>
  <si>
    <t>S2f0314h14</t>
  </si>
  <si>
    <t>S2f0314h15</t>
  </si>
  <si>
    <t>S2f0314h16</t>
  </si>
  <si>
    <t>S2f0314h17</t>
  </si>
  <si>
    <t>S2f0314h18</t>
  </si>
  <si>
    <t>S2f0314h19</t>
  </si>
  <si>
    <t>S2f0314h20</t>
  </si>
  <si>
    <t>S2f0314h21</t>
  </si>
  <si>
    <t>S2f0314h22</t>
  </si>
  <si>
    <t>S2f0314h23</t>
  </si>
  <si>
    <t>S2f0314h24</t>
  </si>
  <si>
    <t>S2g0316h01</t>
  </si>
  <si>
    <t>S2g0316h02</t>
  </si>
  <si>
    <t>S2g0316h03</t>
  </si>
  <si>
    <t>S2g0316h04</t>
  </si>
  <si>
    <t>S2g0316h05</t>
  </si>
  <si>
    <t>S2g0316h06</t>
  </si>
  <si>
    <t>S2g0316h07</t>
  </si>
  <si>
    <t>S2g0316h08</t>
  </si>
  <si>
    <t>S2g0316h09</t>
  </si>
  <si>
    <t>S2g0316h10</t>
  </si>
  <si>
    <t>S2g0316h11</t>
  </si>
  <si>
    <t>S2g0316h12</t>
  </si>
  <si>
    <t>S2g0316h13</t>
  </si>
  <si>
    <t>S2g0316h14</t>
  </si>
  <si>
    <t>S2g0316h15</t>
  </si>
  <si>
    <t>S2g0316h16</t>
  </si>
  <si>
    <t>S2g0316h17</t>
  </si>
  <si>
    <t>S2g0316h18</t>
  </si>
  <si>
    <t>S2g0316h19</t>
  </si>
  <si>
    <t>S2g0316h20</t>
  </si>
  <si>
    <t>S2g0316h21</t>
  </si>
  <si>
    <t>S2g0316h22</t>
  </si>
  <si>
    <t>S2g0316h23</t>
  </si>
  <si>
    <t>S2g0316h24</t>
  </si>
  <si>
    <t>S2h0317h01</t>
  </si>
  <si>
    <t>S2h0317h02</t>
  </si>
  <si>
    <t>S2h0317h03</t>
  </si>
  <si>
    <t>S2h0317h04</t>
  </si>
  <si>
    <t>S2h0317h05</t>
  </si>
  <si>
    <t>S2h0317h06</t>
  </si>
  <si>
    <t>S2h0317h07</t>
  </si>
  <si>
    <t>S2h0317h08</t>
  </si>
  <si>
    <t>S2h0317h09</t>
  </si>
  <si>
    <t>S2h0317h10</t>
  </si>
  <si>
    <t>S2h0317h11</t>
  </si>
  <si>
    <t>S2h0317h12</t>
  </si>
  <si>
    <t>S2h0317h13</t>
  </si>
  <si>
    <t>S2h0317h14</t>
  </si>
  <si>
    <t>S2h0317h15</t>
  </si>
  <si>
    <t>S2h0317h16</t>
  </si>
  <si>
    <t>S2h0317h17</t>
  </si>
  <si>
    <t>S2h0317h18</t>
  </si>
  <si>
    <t>S2h0317h19</t>
  </si>
  <si>
    <t>S2h0317h20</t>
  </si>
  <si>
    <t>S2h0317h21</t>
  </si>
  <si>
    <t>S2h0317h22</t>
  </si>
  <si>
    <t>S2h0317h23</t>
  </si>
  <si>
    <t>S2h0317h24</t>
  </si>
  <si>
    <t>S2i0401h01</t>
  </si>
  <si>
    <t>S2i0401h02</t>
  </si>
  <si>
    <t>S2i0401h03</t>
  </si>
  <si>
    <t>S2i0401h04</t>
  </si>
  <si>
    <t>S2i0401h05</t>
  </si>
  <si>
    <t>S2i0401h06</t>
  </si>
  <si>
    <t>S2i0401h07</t>
  </si>
  <si>
    <t>S2i0401h08</t>
  </si>
  <si>
    <t>S2i0401h09</t>
  </si>
  <si>
    <t>S2i0401h10</t>
  </si>
  <si>
    <t>S2i0401h11</t>
  </si>
  <si>
    <t>S2i0401h12</t>
  </si>
  <si>
    <t>S2i0401h13</t>
  </si>
  <si>
    <t>S2i0401h14</t>
  </si>
  <si>
    <t>S2i0401h15</t>
  </si>
  <si>
    <t>S2i0401h16</t>
  </si>
  <si>
    <t>S2i0401h17</t>
  </si>
  <si>
    <t>S2i0401h18</t>
  </si>
  <si>
    <t>S2i0401h19</t>
  </si>
  <si>
    <t>S2i0401h20</t>
  </si>
  <si>
    <t>S2i0401h21</t>
  </si>
  <si>
    <t>S2i0401h22</t>
  </si>
  <si>
    <t>S2i0401h23</t>
  </si>
  <si>
    <t>S2i0401h24</t>
  </si>
  <si>
    <t>S3j0721h01</t>
  </si>
  <si>
    <t>S3j0721h02</t>
  </si>
  <si>
    <t>S3j0721h03</t>
  </si>
  <si>
    <t>S3j0721h04</t>
  </si>
  <si>
    <t>S3j0721h05</t>
  </si>
  <si>
    <t>S3j0721h06</t>
  </si>
  <si>
    <t>S3j0721h07</t>
  </si>
  <si>
    <t>S3j0721h08</t>
  </si>
  <si>
    <t>S3j0721h09</t>
  </si>
  <si>
    <t>S3j0721h10</t>
  </si>
  <si>
    <t>S3j0721h11</t>
  </si>
  <si>
    <t>S3j0721h12</t>
  </si>
  <si>
    <t>S3j0721h13</t>
  </si>
  <si>
    <t>S3j0721h14</t>
  </si>
  <si>
    <t>S3j0721h15</t>
  </si>
  <si>
    <t>S3j0721h16</t>
  </si>
  <si>
    <t>S3j0721h17</t>
  </si>
  <si>
    <t>S3j0721h18</t>
  </si>
  <si>
    <t>S3j0721h19</t>
  </si>
  <si>
    <t>S3j0721h20</t>
  </si>
  <si>
    <t>S3j0721h21</t>
  </si>
  <si>
    <t>S3j0721h22</t>
  </si>
  <si>
    <t>S3j0721h23</t>
  </si>
  <si>
    <t>S3j0721h24</t>
  </si>
  <si>
    <t>S3k0722h01</t>
  </si>
  <si>
    <t>S3k0722h02</t>
  </si>
  <si>
    <t>S3k0722h03</t>
  </si>
  <si>
    <t>S3k0722h04</t>
  </si>
  <si>
    <t>S3k0722h05</t>
  </si>
  <si>
    <t>S3k0722h06</t>
  </si>
  <si>
    <t>S3k0722h07</t>
  </si>
  <si>
    <t>S3k0722h08</t>
  </si>
  <si>
    <t>S3k0722h09</t>
  </si>
  <si>
    <t>S3k0722h10</t>
  </si>
  <si>
    <t>S3k0722h11</t>
  </si>
  <si>
    <t>S3k0722h12</t>
  </si>
  <si>
    <t>S3k0722h13</t>
  </si>
  <si>
    <t>S3k0722h14</t>
  </si>
  <si>
    <t>S3k0722h15</t>
  </si>
  <si>
    <t>S3k0722h16</t>
  </si>
  <si>
    <t>S3k0722h17</t>
  </si>
  <si>
    <t>S3k0722h18</t>
  </si>
  <si>
    <t>S3k0722h19</t>
  </si>
  <si>
    <t>S3k0722h20</t>
  </si>
  <si>
    <t>S3k0722h21</t>
  </si>
  <si>
    <t>S3k0722h22</t>
  </si>
  <si>
    <t>S3k0722h23</t>
  </si>
  <si>
    <t>S3k0722h24</t>
  </si>
  <si>
    <t>S3l0728h01</t>
  </si>
  <si>
    <t>S3l0728h02</t>
  </si>
  <si>
    <t>S3l0728h03</t>
  </si>
  <si>
    <t>S3l0728h04</t>
  </si>
  <si>
    <t>S3l0728h05</t>
  </si>
  <si>
    <t>S3l0728h06</t>
  </si>
  <si>
    <t>S3l0728h07</t>
  </si>
  <si>
    <t>S3l0728h08</t>
  </si>
  <si>
    <t>S3l0728h09</t>
  </si>
  <si>
    <t>S3l0728h10</t>
  </si>
  <si>
    <t>S3l0728h11</t>
  </si>
  <si>
    <t>S3l0728h12</t>
  </si>
  <si>
    <t>S3l0728h13</t>
  </si>
  <si>
    <t>S3l0728h14</t>
  </si>
  <si>
    <t>S3l0728h15</t>
  </si>
  <si>
    <t>S3l0728h16</t>
  </si>
  <si>
    <t>S3l0728h17</t>
  </si>
  <si>
    <t>S3l0728h18</t>
  </si>
  <si>
    <t>S3l0728h19</t>
  </si>
  <si>
    <t>S3l0728h20</t>
  </si>
  <si>
    <t>S3l0728h21</t>
  </si>
  <si>
    <t>S3l0728h22</t>
  </si>
  <si>
    <t>S3l0728h23</t>
  </si>
  <si>
    <t>S3l0728h24</t>
  </si>
  <si>
    <t>S3m0918h01</t>
  </si>
  <si>
    <t>S3m0918h02</t>
  </si>
  <si>
    <t>S3m0918h03</t>
  </si>
  <si>
    <t>S3m0918h04</t>
  </si>
  <si>
    <t>S3m0918h05</t>
  </si>
  <si>
    <t>S3m0918h06</t>
  </si>
  <si>
    <t>S3m0918h07</t>
  </si>
  <si>
    <t>S3m0918h08</t>
  </si>
  <si>
    <t>S3m0918h09</t>
  </si>
  <si>
    <t>S3m0918h10</t>
  </si>
  <si>
    <t>S3m0918h11</t>
  </si>
  <si>
    <t>S3m0918h12</t>
  </si>
  <si>
    <t>S3m0918h13</t>
  </si>
  <si>
    <t>S3m0918h14</t>
  </si>
  <si>
    <t>S3m0918h15</t>
  </si>
  <si>
    <t>S3m0918h16</t>
  </si>
  <si>
    <t>S3m0918h17</t>
  </si>
  <si>
    <t>S3m0918h18</t>
  </si>
  <si>
    <t>S3m0918h19</t>
  </si>
  <si>
    <t>S3m0918h20</t>
  </si>
  <si>
    <t>S3m0918h21</t>
  </si>
  <si>
    <t>S3m0918h22</t>
  </si>
  <si>
    <t>S3m0918h23</t>
  </si>
  <si>
    <t>S3m0918h24</t>
  </si>
  <si>
    <t>S4n1006h01</t>
  </si>
  <si>
    <t>S4n1006h02</t>
  </si>
  <si>
    <t>S4n1006h03</t>
  </si>
  <si>
    <t>S4n1006h04</t>
  </si>
  <si>
    <t>S4n1006h05</t>
  </si>
  <si>
    <t>S4n1006h06</t>
  </si>
  <si>
    <t>S4n1006h07</t>
  </si>
  <si>
    <t>S4n1006h08</t>
  </si>
  <si>
    <t>S4n1006h09</t>
  </si>
  <si>
    <t>S4n1006h10</t>
  </si>
  <si>
    <t>S4n1006h11</t>
  </si>
  <si>
    <t>S4n1006h12</t>
  </si>
  <si>
    <t>S4n1006h13</t>
  </si>
  <si>
    <t>S4n1006h14</t>
  </si>
  <si>
    <t>S4n1006h15</t>
  </si>
  <si>
    <t>S4n1006h16</t>
  </si>
  <si>
    <t>S4n1006h17</t>
  </si>
  <si>
    <t>S4n1006h18</t>
  </si>
  <si>
    <t>S4n1006h19</t>
  </si>
  <si>
    <t>S4n1006h20</t>
  </si>
  <si>
    <t>S4n1006h21</t>
  </si>
  <si>
    <t>S4n1006h22</t>
  </si>
  <si>
    <t>S4n1006h23</t>
  </si>
  <si>
    <t>S4n1006h24</t>
  </si>
  <si>
    <t>S5o1115h01</t>
  </si>
  <si>
    <t>S5o1115h02</t>
  </si>
  <si>
    <t>S5o1115h03</t>
  </si>
  <si>
    <t>S5o1115h04</t>
  </si>
  <si>
    <t>S5o1115h05</t>
  </si>
  <si>
    <t>S5o1115h06</t>
  </si>
  <si>
    <t>S5o1115h07</t>
  </si>
  <si>
    <t>S5o1115h08</t>
  </si>
  <si>
    <t>S5o1115h09</t>
  </si>
  <si>
    <t>S5o1115h10</t>
  </si>
  <si>
    <t>S5o1115h11</t>
  </si>
  <si>
    <t>S5o1115h12</t>
  </si>
  <si>
    <t>S5o1115h13</t>
  </si>
  <si>
    <t>S5o1115h14</t>
  </si>
  <si>
    <t>S5o1115h15</t>
  </si>
  <si>
    <t>S5o1115h16</t>
  </si>
  <si>
    <t>S5o1115h17</t>
  </si>
  <si>
    <t>S5o1115h18</t>
  </si>
  <si>
    <t>S5o1115h19</t>
  </si>
  <si>
    <t>S5o1115h20</t>
  </si>
  <si>
    <t>S5o1115h21</t>
  </si>
  <si>
    <t>S5o1115h22</t>
  </si>
  <si>
    <t>S5o1115h23</t>
  </si>
  <si>
    <t>S5o1115h24</t>
  </si>
  <si>
    <t>S5p1123h01</t>
  </si>
  <si>
    <t>S5p1123h02</t>
  </si>
  <si>
    <t>S5p1123h03</t>
  </si>
  <si>
    <t>S5p1123h04</t>
  </si>
  <si>
    <t>S5p1123h05</t>
  </si>
  <si>
    <t>S5p1123h06</t>
  </si>
  <si>
    <t>S5p1123h07</t>
  </si>
  <si>
    <t>S5p1123h08</t>
  </si>
  <si>
    <t>S5p1123h09</t>
  </si>
  <si>
    <t>S5p1123h10</t>
  </si>
  <si>
    <t>S5p1123h11</t>
  </si>
  <si>
    <t>S5p1123h12</t>
  </si>
  <si>
    <t>S5p1123h13</t>
  </si>
  <si>
    <t>S5p1123h14</t>
  </si>
  <si>
    <t>S5p1123h15</t>
  </si>
  <si>
    <t>S5p1123h16</t>
  </si>
  <si>
    <t>S5p1123h17</t>
  </si>
  <si>
    <t>S5p1123h18</t>
  </si>
  <si>
    <t>S5p1123h19</t>
  </si>
  <si>
    <t>S5p1123h20</t>
  </si>
  <si>
    <t>S5p1123h21</t>
  </si>
  <si>
    <t>S5p1123h22</t>
  </si>
  <si>
    <t>S5p1123h23</t>
  </si>
  <si>
    <t>S5p1123h24</t>
  </si>
  <si>
    <t>S1b0107h09,S1c0131h09,S2e0308h15,S2f0314h08,S2f0314h13,S2i0401h07,S2i0401h18,S3aH7,S3j0721h11,S5o1115h09,S5o1115h12,S5o1115h15,S1c0131h15,S2d0307h16,S2e0308h08,S2g0316h08,S2g0316h11,S2h0317h16,S2i0401h13,S3aH2,S3j0721h07,S3k0722h07,S3k0722h13,S3k0722h14,S3l0728h09,S3l0728h12,S3m0918h08,S3m0918h10,S4n1006h07,S4n1006h10,S4n1006h12,S4n1006h13,S5o1115h13,S5p1123h14,S1b0107h07,S1c0131h08,S2e0308h12,S2f0314h07,S2f0314h14,S2g0316h12,S2h0317h08,S3aH3,S3k0722h15,S3m0918h11,S4n1006h11,S1aH2,S1aH7,S2aH3,S2e0308h13,S2f0314h15,S2g0316h15,S3aH6,S3j0721h16,S3l0728h14,S4aH7,S5aH6,S5aH7,S5o1115h07,S5p1123h13,S5p1123h15,S5p1123h18,S6aH6,S1b0107h10,S1c0131h12,S2d0307h07,S2g0316h18,S2h0317h18,S3j0721h17,S6aH7,S2aH7,S2d0307h09,S2d0307h10,S2d0307h14,S2e0308h16,S2i0401h12,S3aH4,S3k0722h10,S3k0722h16,S3m0918h15,S4aH3,S4aH4,S1b0107h15,S1c0131h07,S2f0314h18,S2i0401h16,S3k0722h12,S4aH5,S4n1006h09,S1c0131h11,S2d0307h08,S2f0314h17,S2g0316h17,S2h0317h10,S2h0317h15,S3j0721h14,S3k0722h18,S3l0728h07,S3l0728h10,S3l0728h17,S5p1123h08,S1aH5,S1b0107h17,S2aH4,S2aH5,S2e0308h10,S2f0314h10,S2g0316h09,S2g0316h14,S2h0317h13,S3k0722h17,S3l0728h11,S3l0728h13,S3l0728h15,S3m0918h12,S3m0918h17,S4n1006h16,S5aH2,S5aH5,S5o1115h08,S6aH2,S1aH4,S1c0131h10,S2aH2,S2h0317h09,S2h0317h17,S3l0728h18,S3m0918h09,S3m0918h16,S4aH6,S5p1123h12,S1aH3,S2d0307h12,S2e0308h14,S2f0314h09,S2f0314h12,S2f0314h16,S2i0401h11,S3j0721h18,S3k0722h09,S3m0918h18,S4n1006h15,S1aH6,S2e0308h09,S2g0316h07,S2i0401h14,S3k0722h11,S3m0918h07,S5p1123h11,S1c0131h14,S1c0131h17,S2aH6,S2h0317h11,S3aH5,S3j0721h09,S3k0722h08,S4n1006h14,S5aH3,S5o1115h11,S5p1123h07,S5p1123h17,S1b0107h12,S1b0107h13,S1c0131h18,S2d0307h17,S2e0308h07,S2g0316h13,S2h0317h07,S2h0317h14,S2i0401h17,S3j0721h10,S4n1006h08,S5o1115h10,S5o1115h17,S5o1115h18,S5p1123h09,S5p1123h10,S5p1123h16,S6aH5,S1b0107h18,S1c0131h16,S2d0307h13,S2e0308h11,S2e0308h18,S2f0314h11,S2h0317h12,S2i0401h10,S3j0721h13,S3l0728h08,S3l0728h16,S3m0918h14,S4aH2,S4n1006h18,S5o1115h14,S1b0107h08,S1b0107h11,S1b0107h14,S1b0107h16,S1c0131h13,S2d0307h11,S2d0307h15,S2d0307h18,S2e0308h17,S2g0316h10,S2g0316h16,S2i0401h08,S2i0401h09,S2i0401h15,S3j0721h08,S3j0721h12,S3j0721h15,S3m0918h13,S4n1006h17,S5aH4,S5o1115h16,S6aH3,S6aH4</t>
  </si>
  <si>
    <t>S1b0107h02,S1b0107h06,S2aH8,S2d0307h02,S2d0307h04,S2g0316h03,S3l0728h06,S3m0918h06,S4n1006h03,S5p1123h06,S5p1123h20,S1c0131h01,S1c0131h19,S2d0307h24,S2e0308h20,S2f0314h21,S2g0316h20,S2h0317h01,S2h0317h02,S2h0317h20,S2h0317h21,S2h0317h24,S3aH8,S3k0722h02,S5o1115h05,S5o1115h19,S5p1123h03,S1c0131h23,S2f0314h05,S2i0401h02,S2i0401h19,S3l0728h01,S3l0728h02,S5o1115h04,S5o1115h06,S5p1123h04,S2e0308h21,S2h0317h22,S3l0728h22,S3m0918h01,S3m0918h20,S4n1006h22,S5o1115h21,S5o1115h22,S2d0307h05,S2d0307h19,S2e0308h19,S2f0314h03,S2f0314h22,S2g0316h22,S2i0401h21,S3aH1,S3j0721h06,S3k0722h01,S4n1006h24,S5o1115h01,S5o1115h20,S1b0107h19,S1b0107h22,S1b0107h24,S2d0307h21,S2e0308h02,S2e0308h05,S2f0314h06,S2f0314h23,S2g0316h23,S2h0317h04,S2i0401h06,S3j0721h21,S3k0722h05,S3k0722h19,S3l0728h21,S3m0918h22,S4n1006h05,S5p1123h24,S1c0131h21,S2e0308h06,S2g0316h02,S3j0721h03,S3j0721h05,S3j0721h22,S3k0722h04,S4n1006h21,S5p1123h01,S1aH1,S1b0107h04,S2e0308h03,S2f0314h04,S2i0401h03,S3j0721h02,S3k0722h03,S3k0722h20,S3k0722h22,S3k0722h23,S4n1006h20,S1b0107h20,S1c0131h03,S2d0307h03,S2g0316h06,S3j0721h01,S3l0728h03,S3l0728h23,S4n1006h01,S4n1006h19,S1b0107h05,S2d0307h06,S2g0316h01,S2i0401h22,S3j0721h24,S4aH1,S4n1006h04,S5p1123h22,S6aH1,S1c0131h22,S2d0307h01,S2g0316h05,S2g0316h24,S2h0317h05,S2i0401h01,S2i0401h20,S3j0721h20,S3j0721h23,S3l0728h20,S3m0918h21,S3m0918h23,S4n1006h02,S5o1115h24,S1b0107h03,S2e0308h04,S2e0308h23,S2f0314h02,S2f0314h24,S2g0316h04,S2h0317h03,S3j0721h04,S3k0722h06,S6aH8,S1aH8,S1b0107h01,S1c0131h05,S1c0131h20,S2d0307h20,S2d0307h23,S2g0316h19,S2i0401h04,S2i0401h05,S3j0721h19,S3k0722h24,S3l0728h24,S5aH1,S5p1123h05,S5p1123h21,S1b0107h21,S1c0131h02,S2e0308h22,S2e0308h24,S2f0314h01,S2f0314h19,S2h0317h06,S2h0317h19,S2h0317h23,S2i0401h23,S3l0728h04,S3m0918h02,S3m0918h04,S3m0918h19,S4aH8,S4n1006h06,S4n1006h23,S5o1115h02,S5o1115h03,S5p1123h19,S5p1123h23,S1b0107h23,S1c0131h06,S1c0131h24,S2aH1,S2d0307h22,S2f0314h20,S3l0728h05,S3l0728h19,S3m0918h05,S3m0918h24,S5aH8,S5o1115h23,S5p1123h02,S1c0131h04,S2e0308h01,S2g0316h21,S2i0401h24,S3k0722h21,S3m0918h03</t>
  </si>
  <si>
    <t>S2b1006h01</t>
  </si>
  <si>
    <t>S2b1006h02</t>
  </si>
  <si>
    <t>S2b1006h03</t>
  </si>
  <si>
    <t>S2b1006h04</t>
  </si>
  <si>
    <t>S2b1006h05</t>
  </si>
  <si>
    <t>S2b1006h06</t>
  </si>
  <si>
    <t>S2b1006h07</t>
  </si>
  <si>
    <t>S2b1006h08</t>
  </si>
  <si>
    <t>S2b1006h09</t>
  </si>
  <si>
    <t>S2b1006h10</t>
  </si>
  <si>
    <t>S2b1006h11</t>
  </si>
  <si>
    <t>S2b1006h12</t>
  </si>
  <si>
    <t>S2b1006h13</t>
  </si>
  <si>
    <t>S2b1006h14</t>
  </si>
  <si>
    <t>S2b1006h15</t>
  </si>
  <si>
    <t>S2b1006h16</t>
  </si>
  <si>
    <t>S2b1006h17</t>
  </si>
  <si>
    <t>S2b1006h18</t>
  </si>
  <si>
    <t>S2b1006h19</t>
  </si>
  <si>
    <t>S2b1006h20</t>
  </si>
  <si>
    <t>S2b1006h21</t>
  </si>
  <si>
    <t>S2b1006h22</t>
  </si>
  <si>
    <t>S2b1006h23</t>
  </si>
  <si>
    <t>S2b1006h24</t>
  </si>
  <si>
    <t>S1aH3,S2b1006h09,S2b1006h07,S3aH3,S1aH4,S2aH2,S2b1006h14,S4aH6,S1aH8,S2b1006h13,S2b1006h15,S2b1006h17,S4aH8,S3aH2,S2aH7,S3aH4,S4aH3,S4aH4,S2b1006h10,S2b1006h16,S3aH8,S4aH5,S2aH8,S4aH2,S1aH6,S2b1006h08,S2b1006h18,S1aH2,S1aH7,S2aH3,S2b1006h11,S3aH6,S4aH7,S2aH6,S3aH5,S2b1006h12,S3aH7,S1aH5,S2aH4,S2aH5</t>
  </si>
  <si>
    <t>S2b1006h01,S2b1006h22,S2b1006h03,S1aH9,S2b1006h23,S4aH1,S2b1006h04,S2b1006h24,S3aH1,S4aH9,S1aH1,S2b1006h19,S2b1006h02,S2b1006h21,S2b1006h06,S3aH9,S2aH1,S2aH9,S2b1006h05,S2b1006h20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</si>
  <si>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</si>
  <si>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</si>
  <si>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</si>
  <si>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</si>
  <si>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</si>
  <si>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</si>
  <si>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</si>
  <si>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</si>
  <si>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</si>
  <si>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</si>
  <si>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</si>
  <si>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</si>
  <si>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</si>
  <si>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</si>
  <si>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</si>
  <si>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</si>
  <si>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</si>
  <si>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</si>
  <si>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</si>
  <si>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</si>
  <si>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</si>
  <si>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SaD,FaD,FaP,SaP,RaP,RaD,WaP,WaD</t>
  </si>
  <si>
    <t>FaP,SaP,FaN,RaP,WaP,SaN,WaN,RaN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</si>
</sst>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8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17" fontId="0" fillId="0" borderId="0" xfId="0" quotePrefix="1" applyNumberFormat="1"/>
    <xf numFmtId="0" fontId="9" fillId="0" borderId="0" xfId="0" applyFon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547.04999999999995</c:v>
                </c:pt>
                <c:pt idx="1">
                  <c:v>563.4615</c:v>
                </c:pt>
                <c:pt idx="2">
                  <c:v>650.98949999999991</c:v>
                </c:pt>
                <c:pt idx="3">
                  <c:v>782.28149999999994</c:v>
                </c:pt>
                <c:pt idx="4">
                  <c:v>902.63249999999982</c:v>
                </c:pt>
                <c:pt idx="5">
                  <c:v>990.16049999999996</c:v>
                </c:pt>
                <c:pt idx="6">
                  <c:v>1055.8064999999999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241.69</c:v>
                </c:pt>
                <c:pt idx="3">
                  <c:v>339.03</c:v>
                </c:pt>
                <c:pt idx="4">
                  <c:v>410.28</c:v>
                </c:pt>
                <c:pt idx="5">
                  <c:v>494.2</c:v>
                </c:pt>
                <c:pt idx="6">
                  <c:v>635.42999999999995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3"/>
  <sheetViews>
    <sheetView workbookViewId="0">
      <selection activeCell="B14" sqref="B14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</cols>
  <sheetData>
    <row r="1" spans="1:38" x14ac:dyDescent="0.45">
      <c r="G1" s="16" t="s">
        <v>114</v>
      </c>
    </row>
    <row r="2" spans="1:38" x14ac:dyDescent="0.45">
      <c r="D2" s="1" t="str">
        <f>"~Inputcell: "&amp;_xlfn.TEXTJOIN(",",TRUE,G1:EE1)</f>
        <v>~Inputcell: 1-55</v>
      </c>
    </row>
    <row r="3" spans="1:38" x14ac:dyDescent="0.45">
      <c r="D3" s="9">
        <v>3</v>
      </c>
    </row>
    <row r="5" spans="1:38" x14ac:dyDescent="0.45">
      <c r="D5" s="1" t="str">
        <f>VLOOKUP(D3,$C$9:$E$1001,2,FALSE)</f>
        <v>s2_w</v>
      </c>
      <c r="E5" s="1" t="str">
        <f>VLOOKUP(D3,$C$9:$E$1001,3,FALSE)</f>
        <v>C1</v>
      </c>
    </row>
    <row r="7" spans="1:38" x14ac:dyDescent="0.45">
      <c r="B7" s="17" t="s">
        <v>131</v>
      </c>
    </row>
    <row r="8" spans="1:38" ht="14.65" thickBot="1" x14ac:dyDescent="0.5">
      <c r="A8" s="4" t="s">
        <v>136</v>
      </c>
      <c r="B8" s="4" t="s">
        <v>132</v>
      </c>
      <c r="C8" s="4" t="s">
        <v>133</v>
      </c>
      <c r="D8" s="4" t="s">
        <v>134</v>
      </c>
      <c r="E8" s="4" t="s">
        <v>135</v>
      </c>
    </row>
    <row r="9" spans="1:38" x14ac:dyDescent="0.45">
      <c r="A9">
        <v>5</v>
      </c>
      <c r="B9" t="str">
        <f>VLOOKUP(E9,$AK$9:$AL$15,2,FALSE)&amp;"."&amp;VLOOKUP(D9,$AH$9:$AI$19,2,FALSE)</f>
        <v>e 1.5 deg no OS.e3d</v>
      </c>
      <c r="C9">
        <v>1</v>
      </c>
      <c r="D9" t="s">
        <v>102</v>
      </c>
      <c r="E9" t="s">
        <v>0</v>
      </c>
      <c r="G9" t="s">
        <v>1</v>
      </c>
      <c r="AH9" t="s">
        <v>102</v>
      </c>
      <c r="AI9" t="s">
        <v>115</v>
      </c>
      <c r="AK9" t="s">
        <v>0</v>
      </c>
      <c r="AL9" t="s">
        <v>116</v>
      </c>
    </row>
    <row r="10" spans="1:38" x14ac:dyDescent="0.45">
      <c r="A10">
        <v>5</v>
      </c>
      <c r="B10" t="str">
        <f t="shared" ref="B10:B63" si="0">VLOOKUP(E10,$AK$9:$AL$15,2,FALSE)&amp;"."&amp;VLOOKUP(D10,$AH$9:$AI$19,2,FALSE)</f>
        <v>e 1.5 deg no OS.d9d</v>
      </c>
      <c r="C10">
        <v>2</v>
      </c>
      <c r="D10" t="s">
        <v>103</v>
      </c>
      <c r="E10" t="s">
        <v>0</v>
      </c>
      <c r="G10" t="s">
        <v>3</v>
      </c>
      <c r="S10" t="s">
        <v>4</v>
      </c>
      <c r="AH10" t="s">
        <v>103</v>
      </c>
      <c r="AI10" t="s">
        <v>117</v>
      </c>
      <c r="AK10" t="s">
        <v>2</v>
      </c>
      <c r="AL10" t="s">
        <v>118</v>
      </c>
    </row>
    <row r="11" spans="1:38" x14ac:dyDescent="0.45">
      <c r="A11">
        <v>5</v>
      </c>
      <c r="B11" t="str">
        <f t="shared" si="0"/>
        <v>e 1.5 deg no OS.b2w</v>
      </c>
      <c r="C11">
        <v>3</v>
      </c>
      <c r="D11" t="s">
        <v>104</v>
      </c>
      <c r="E11" t="s">
        <v>0</v>
      </c>
      <c r="G11" t="s">
        <v>6</v>
      </c>
      <c r="S11" s="1">
        <v>2022</v>
      </c>
      <c r="AH11" t="s">
        <v>104</v>
      </c>
      <c r="AI11" t="s">
        <v>119</v>
      </c>
      <c r="AK11" t="s">
        <v>5</v>
      </c>
      <c r="AL11" t="s">
        <v>120</v>
      </c>
    </row>
    <row r="12" spans="1:38" ht="14.65" customHeight="1" thickBot="1" x14ac:dyDescent="0.5">
      <c r="A12">
        <v>5</v>
      </c>
      <c r="B12" t="str">
        <f t="shared" si="0"/>
        <v>e 1.5 deg no OS.a2w2d</v>
      </c>
      <c r="C12">
        <v>4</v>
      </c>
      <c r="D12" t="s">
        <v>105</v>
      </c>
      <c r="E12" t="s">
        <v>0</v>
      </c>
      <c r="G12" t="s">
        <v>8</v>
      </c>
      <c r="S12" s="3">
        <f>SUMIFS(iea_data!I3:I9999,iea_data!$B$3:$B$9999,Veda!$S$11)+T28-T29</f>
        <v>547.04999999999995</v>
      </c>
      <c r="T12" s="2" t="s">
        <v>57</v>
      </c>
      <c r="AH12" t="s">
        <v>105</v>
      </c>
      <c r="AI12" t="s">
        <v>121</v>
      </c>
      <c r="AK12" t="s">
        <v>7</v>
      </c>
      <c r="AL12" t="s">
        <v>122</v>
      </c>
    </row>
    <row r="13" spans="1:38" ht="14.65" customHeight="1" thickTop="1" x14ac:dyDescent="0.45">
      <c r="A13">
        <v>5</v>
      </c>
      <c r="B13" t="str">
        <f t="shared" si="0"/>
        <v>e 1.5 deg no OS.hTS12c</v>
      </c>
      <c r="C13">
        <v>5</v>
      </c>
      <c r="D13" t="s">
        <v>106</v>
      </c>
      <c r="E13" t="s">
        <v>0</v>
      </c>
      <c r="G13" t="s">
        <v>10</v>
      </c>
      <c r="AH13" t="s">
        <v>106</v>
      </c>
      <c r="AI13" t="s">
        <v>123</v>
      </c>
      <c r="AK13" t="s">
        <v>9</v>
      </c>
      <c r="AL13" t="s">
        <v>124</v>
      </c>
    </row>
    <row r="14" spans="1:38" x14ac:dyDescent="0.45">
      <c r="A14">
        <v>5</v>
      </c>
      <c r="B14" t="str">
        <f t="shared" si="0"/>
        <v>e 1.5 deg no OS.gTS24c</v>
      </c>
      <c r="C14">
        <v>6</v>
      </c>
      <c r="D14" t="s">
        <v>107</v>
      </c>
      <c r="E14" t="str">
        <f t="shared" ref="E14:E63" si="1">E13</f>
        <v>C1</v>
      </c>
      <c r="T14" s="8">
        <f>S12</f>
        <v>547.04999999999995</v>
      </c>
      <c r="U14" s="8">
        <f t="shared" ref="U14:Z14" si="2">$S$12*J15</f>
        <v>563.4615</v>
      </c>
      <c r="V14" s="8">
        <f t="shared" si="2"/>
        <v>650.98949999999991</v>
      </c>
      <c r="W14" s="8">
        <f t="shared" si="2"/>
        <v>782.28149999999994</v>
      </c>
      <c r="X14" s="8">
        <f t="shared" si="2"/>
        <v>902.63249999999982</v>
      </c>
      <c r="Y14" s="8">
        <f t="shared" si="2"/>
        <v>990.16049999999996</v>
      </c>
      <c r="Z14" s="8">
        <f t="shared" si="2"/>
        <v>1055.8064999999999</v>
      </c>
      <c r="AH14" t="s">
        <v>107</v>
      </c>
      <c r="AI14" t="s">
        <v>125</v>
      </c>
    </row>
    <row r="15" spans="1:38" x14ac:dyDescent="0.45">
      <c r="A15">
        <v>5</v>
      </c>
      <c r="B15" t="str">
        <f t="shared" si="0"/>
        <v>e 1.5 deg no OS.fTS48c</v>
      </c>
      <c r="C15">
        <v>7</v>
      </c>
      <c r="D15" t="s">
        <v>108</v>
      </c>
      <c r="E15" t="str">
        <f t="shared" si="1"/>
        <v>C1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1.03</v>
      </c>
      <c r="K15" s="11">
        <f>SUMIFS(ar6_r10!$F$2:$F$999,ar6_r10!$A$2:$A$999,Veda!$E$5,ar6_r10!$C$2:$C$999,Veda!K$17,ar6_r10!$M$2:$M$999,Veda!$G15)</f>
        <v>1.19</v>
      </c>
      <c r="L15" s="11">
        <f>SUMIFS(ar6_r10!$F$2:$F$999,ar6_r10!$A$2:$A$999,Veda!$E$5,ar6_r10!$C$2:$C$999,Veda!L$17,ar6_r10!$M$2:$M$999,Veda!$G15)</f>
        <v>1.43</v>
      </c>
      <c r="M15" s="11">
        <f>SUMIFS(ar6_r10!$F$2:$F$999,ar6_r10!$A$2:$A$999,Veda!$E$5,ar6_r10!$C$2:$C$999,Veda!M$17,ar6_r10!$M$2:$M$999,Veda!$G15)</f>
        <v>1.65</v>
      </c>
      <c r="N15" s="11">
        <f>SUMIFS(ar6_r10!$F$2:$F$999,ar6_r10!$A$2:$A$999,Veda!$E$5,ar6_r10!$C$2:$C$999,Veda!N$17,ar6_r10!$M$2:$M$999,Veda!$G15)</f>
        <v>1.81</v>
      </c>
      <c r="O15" s="11">
        <f>SUMIFS(ar6_r10!$F$2:$F$999,ar6_r10!$A$2:$A$999,Veda!$E$5,ar6_r10!$C$2:$C$999,Veda!O$17,ar6_r10!$M$2:$M$999,Veda!$G15)</f>
        <v>1.93</v>
      </c>
      <c r="AH15" t="s">
        <v>108</v>
      </c>
      <c r="AI15" t="s">
        <v>126</v>
      </c>
    </row>
    <row r="16" spans="1:38" ht="17.649999999999999" customHeight="1" thickBot="1" x14ac:dyDescent="0.6">
      <c r="A16">
        <v>5</v>
      </c>
      <c r="B16" t="str">
        <f t="shared" si="0"/>
        <v>e 1.5 deg no OS.c15d</v>
      </c>
      <c r="C16">
        <v>8</v>
      </c>
      <c r="D16" t="s">
        <v>109</v>
      </c>
      <c r="E16" t="str">
        <f t="shared" si="1"/>
        <v>C1</v>
      </c>
      <c r="S16" s="5" t="s">
        <v>12</v>
      </c>
      <c r="AH16" t="s">
        <v>109</v>
      </c>
      <c r="AI16" t="s">
        <v>127</v>
      </c>
    </row>
    <row r="17" spans="1:35" ht="15" customHeight="1" thickTop="1" thickBot="1" x14ac:dyDescent="0.5">
      <c r="A17">
        <v>5</v>
      </c>
      <c r="B17" t="str">
        <f t="shared" si="0"/>
        <v>e 1.5 deg no OS.f1d</v>
      </c>
      <c r="C17">
        <v>9</v>
      </c>
      <c r="D17" t="s">
        <v>110</v>
      </c>
      <c r="E17" t="str">
        <f t="shared" si="1"/>
        <v>C1</v>
      </c>
      <c r="I17" s="7">
        <v>2020</v>
      </c>
      <c r="J17" s="7">
        <f t="shared" ref="J17:O17" si="3">U17</f>
        <v>2025</v>
      </c>
      <c r="K17" s="7">
        <f t="shared" si="3"/>
        <v>2030</v>
      </c>
      <c r="L17" s="7">
        <f t="shared" si="3"/>
        <v>2035</v>
      </c>
      <c r="M17" s="7">
        <f t="shared" si="3"/>
        <v>2040</v>
      </c>
      <c r="N17" s="7">
        <f t="shared" si="3"/>
        <v>2045</v>
      </c>
      <c r="O17" s="7">
        <f t="shared" si="3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H17" t="s">
        <v>112</v>
      </c>
      <c r="AI17" t="s">
        <v>128</v>
      </c>
    </row>
    <row r="18" spans="1:35" x14ac:dyDescent="0.45">
      <c r="A18">
        <v>5</v>
      </c>
      <c r="B18" t="str">
        <f t="shared" si="0"/>
        <v>e 1.5 deg no OS.jAnn</v>
      </c>
      <c r="C18">
        <v>10</v>
      </c>
      <c r="D18" t="s">
        <v>111</v>
      </c>
      <c r="E18" t="str">
        <f t="shared" si="1"/>
        <v>C1</v>
      </c>
      <c r="G18" t="s">
        <v>15</v>
      </c>
      <c r="I18" s="11">
        <f>SUMIFS(ar6_r10!$F$2:$F$999,ar6_r10!$A$2:$A$999,Veda!$E$5,ar6_r10!$C$2:$C$999,Veda!I$17,ar6_r10!$M$2:$M$999,Veda!$G18)</f>
        <v>0.01</v>
      </c>
      <c r="J18" s="11">
        <f>SUMIFS(ar6_r10!$F$2:$F$999,ar6_r10!$A$2:$A$999,Veda!$E$5,ar6_r10!$C$2:$C$999,Veda!J$17,ar6_r10!$M$2:$M$999,Veda!$G18)</f>
        <v>0.01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0.03</v>
      </c>
      <c r="M18" s="11">
        <f>SUMIFS(ar6_r10!$F$2:$F$999,ar6_r10!$A$2:$A$999,Veda!$E$5,ar6_r10!$C$2:$C$999,Veda!M$17,ar6_r10!$M$2:$M$999,Veda!$G18)</f>
        <v>0.03</v>
      </c>
      <c r="N18" s="11">
        <f>SUMIFS(ar6_r10!$F$2:$F$999,ar6_r10!$A$2:$A$999,Veda!$E$5,ar6_r10!$C$2:$C$999,Veda!N$17,ar6_r10!$M$2:$M$999,Veda!$G18)</f>
        <v>0.04</v>
      </c>
      <c r="O18" s="11">
        <f>SUMIFS(ar6_r10!$F$2:$F$999,ar6_r10!$A$2:$A$999,Veda!$E$5,ar6_r10!$C$2:$C$999,Veda!O$17,ar6_r10!$M$2:$M$999,Veda!$G18)</f>
        <v>0.05</v>
      </c>
      <c r="S18" s="10" t="s">
        <v>16</v>
      </c>
      <c r="T18" s="6">
        <f t="shared" ref="T18:Z20" si="4">I18*T$14</f>
        <v>5.4704999999999995</v>
      </c>
      <c r="U18" s="6">
        <f t="shared" si="4"/>
        <v>5.6346150000000002</v>
      </c>
      <c r="V18" s="6">
        <f t="shared" si="4"/>
        <v>6.5098949999999993</v>
      </c>
      <c r="W18" s="6">
        <f t="shared" si="4"/>
        <v>23.468444999999996</v>
      </c>
      <c r="X18" s="6">
        <f t="shared" si="4"/>
        <v>27.078974999999993</v>
      </c>
      <c r="Y18" s="6">
        <f t="shared" si="4"/>
        <v>39.60642</v>
      </c>
      <c r="Z18" s="6">
        <f t="shared" si="4"/>
        <v>52.790324999999996</v>
      </c>
      <c r="AA18" t="s">
        <v>17</v>
      </c>
      <c r="AC18" s="2"/>
      <c r="AH18" t="s">
        <v>111</v>
      </c>
      <c r="AI18" t="s">
        <v>129</v>
      </c>
    </row>
    <row r="19" spans="1:35" x14ac:dyDescent="0.45">
      <c r="A19">
        <v>5</v>
      </c>
      <c r="B19" t="str">
        <f t="shared" si="0"/>
        <v>e 1.5 deg no OS.iTS12</v>
      </c>
      <c r="C19">
        <v>11</v>
      </c>
      <c r="D19" t="s">
        <v>112</v>
      </c>
      <c r="E19" t="str">
        <f t="shared" si="1"/>
        <v>C1</v>
      </c>
      <c r="G19" t="s">
        <v>18</v>
      </c>
      <c r="I19" s="11">
        <f>SUMIFS(ar6_r10!$F$2:$F$999,ar6_r10!$A$2:$A$999,Veda!$E$5,ar6_r10!$C$2:$C$999,Veda!I$17,ar6_r10!$M$2:$M$999,Veda!$G19)</f>
        <v>0.35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0.3</v>
      </c>
      <c r="O19" s="11">
        <f>SUMIFS(ar6_r10!$F$2:$F$999,ar6_r10!$A$2:$A$999,Veda!$E$5,ar6_r10!$C$2:$C$999,Veda!O$17,ar6_r10!$M$2:$M$999,Veda!$G19)</f>
        <v>0.31</v>
      </c>
      <c r="S19" s="10" t="s">
        <v>19</v>
      </c>
      <c r="T19" s="6">
        <f t="shared" si="4"/>
        <v>191.46749999999997</v>
      </c>
      <c r="U19" s="6">
        <f t="shared" si="4"/>
        <v>180.30768</v>
      </c>
      <c r="V19" s="6">
        <f t="shared" si="4"/>
        <v>195.29684999999998</v>
      </c>
      <c r="W19" s="6">
        <f t="shared" si="4"/>
        <v>226.86163499999998</v>
      </c>
      <c r="X19" s="6">
        <f t="shared" si="4"/>
        <v>261.76342499999993</v>
      </c>
      <c r="Y19" s="6">
        <f t="shared" si="4"/>
        <v>297.04814999999996</v>
      </c>
      <c r="Z19" s="6">
        <f t="shared" si="4"/>
        <v>327.30001499999997</v>
      </c>
      <c r="AA19" t="s">
        <v>17</v>
      </c>
      <c r="AH19" t="s">
        <v>110</v>
      </c>
      <c r="AI19" t="s">
        <v>130</v>
      </c>
    </row>
    <row r="20" spans="1:35" x14ac:dyDescent="0.45">
      <c r="A20">
        <v>5</v>
      </c>
      <c r="B20" t="str">
        <f t="shared" si="0"/>
        <v>d 1.5 deg OS.e3d</v>
      </c>
      <c r="C20">
        <v>12</v>
      </c>
      <c r="D20" t="str">
        <f>D9</f>
        <v>s1p1v1_d</v>
      </c>
      <c r="E20" t="s">
        <v>2</v>
      </c>
      <c r="G20" t="s">
        <v>21</v>
      </c>
      <c r="I20" s="11">
        <f>SUMIFS(ar6_r10!$F$2:$F$999,ar6_r10!$A$2:$A$999,Veda!$E$5,ar6_r10!$C$2:$C$999,Veda!I$17,ar6_r10!$M$2:$M$999,Veda!$G20)</f>
        <v>0.61</v>
      </c>
      <c r="J20" s="11">
        <f>SUMIFS(ar6_r10!$F$2:$F$999,ar6_r10!$A$2:$A$999,Veda!$E$5,ar6_r10!$C$2:$C$999,Veda!J$17,ar6_r10!$M$2:$M$999,Veda!$G20)</f>
        <v>0.62</v>
      </c>
      <c r="K20" s="11">
        <f>SUMIFS(ar6_r10!$F$2:$F$999,ar6_r10!$A$2:$A$999,Veda!$E$5,ar6_r10!$C$2:$C$999,Veda!K$17,ar6_r10!$M$2:$M$999,Veda!$G20)</f>
        <v>0.59</v>
      </c>
      <c r="L20" s="11">
        <f>SUMIFS(ar6_r10!$F$2:$F$999,ar6_r10!$A$2:$A$999,Veda!$E$5,ar6_r10!$C$2:$C$999,Veda!L$17,ar6_r10!$M$2:$M$999,Veda!$G20)</f>
        <v>0.56000000000000005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0.53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4"/>
        <v>333.70049999999998</v>
      </c>
      <c r="U20" s="6">
        <f t="shared" si="4"/>
        <v>349.34613000000002</v>
      </c>
      <c r="V20" s="6">
        <f t="shared" si="4"/>
        <v>384.08380499999993</v>
      </c>
      <c r="W20" s="6">
        <f t="shared" si="4"/>
        <v>438.07764000000003</v>
      </c>
      <c r="X20" s="6">
        <f t="shared" si="4"/>
        <v>487.42154999999991</v>
      </c>
      <c r="Y20" s="6">
        <f t="shared" si="4"/>
        <v>524.78506500000003</v>
      </c>
      <c r="Z20" s="6">
        <f t="shared" si="4"/>
        <v>559.57744500000001</v>
      </c>
      <c r="AA20" t="s">
        <v>17</v>
      </c>
    </row>
    <row r="21" spans="1:35" x14ac:dyDescent="0.45">
      <c r="A21">
        <v>5</v>
      </c>
      <c r="B21" t="str">
        <f t="shared" si="0"/>
        <v>d 1.5 deg OS.d9d</v>
      </c>
      <c r="C21">
        <v>13</v>
      </c>
      <c r="D21" t="str">
        <f t="shared" ref="D21:D63" si="5">D10</f>
        <v>s3p3v3_d</v>
      </c>
      <c r="E21" t="str">
        <f t="shared" si="1"/>
        <v>C2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0.1</v>
      </c>
      <c r="L21" s="11">
        <f>SUMIFS(ar6_r10!$F$2:$F$999,ar6_r10!$A$2:$A$999,Veda!$E$5,ar6_r10!$C$2:$C$999,Veda!L$17,ar6_r10!$M$2:$M$999,Veda!$G21)</f>
        <v>0.14000000000000001</v>
      </c>
      <c r="M21" s="11">
        <f>SUMIFS(ar6_r10!$F$2:$F$999,ar6_r10!$A$2:$A$999,Veda!$E$5,ar6_r10!$C$2:$C$999,Veda!M$17,ar6_r10!$M$2:$M$999,Veda!$G21)</f>
        <v>0.17</v>
      </c>
      <c r="N21" s="11">
        <f>SUMIFS(ar6_r10!$F$2:$F$999,ar6_r10!$A$2:$A$999,Veda!$E$5,ar6_r10!$C$2:$C$999,Veda!N$17,ar6_r10!$M$2:$M$999,Veda!$G21)</f>
        <v>0.19</v>
      </c>
      <c r="O21" s="11">
        <f>SUMIFS(ar6_r10!$F$2:$F$999,ar6_r10!$A$2:$A$999,Veda!$E$5,ar6_r10!$C$2:$C$999,Veda!O$17,ar6_r10!$M$2:$M$999,Veda!$G21)</f>
        <v>0.2</v>
      </c>
      <c r="S21" s="10" t="s">
        <v>24</v>
      </c>
      <c r="T21" s="6">
        <f>I21*T$14</f>
        <v>16.411499999999997</v>
      </c>
      <c r="U21" s="6">
        <f t="shared" ref="U21:Z21" si="6">T21</f>
        <v>16.411499999999997</v>
      </c>
      <c r="V21" s="6">
        <f t="shared" si="6"/>
        <v>16.411499999999997</v>
      </c>
      <c r="W21" s="6">
        <f t="shared" si="6"/>
        <v>16.411499999999997</v>
      </c>
      <c r="X21" s="6">
        <f t="shared" si="6"/>
        <v>16.411499999999997</v>
      </c>
      <c r="Y21" s="6">
        <f t="shared" si="6"/>
        <v>16.411499999999997</v>
      </c>
      <c r="Z21" s="6">
        <f t="shared" si="6"/>
        <v>16.411499999999997</v>
      </c>
      <c r="AA21" t="s">
        <v>17</v>
      </c>
      <c r="AC21" s="2" t="s">
        <v>20</v>
      </c>
    </row>
    <row r="22" spans="1:35" x14ac:dyDescent="0.45">
      <c r="A22">
        <v>5</v>
      </c>
      <c r="B22" t="str">
        <f t="shared" si="0"/>
        <v>d 1.5 deg OS.b2w</v>
      </c>
      <c r="C22">
        <v>14</v>
      </c>
      <c r="D22" t="str">
        <f t="shared" si="5"/>
        <v>s2_w</v>
      </c>
      <c r="E22" t="str">
        <f t="shared" si="1"/>
        <v>C2</v>
      </c>
      <c r="S22" s="10" t="s">
        <v>25</v>
      </c>
      <c r="T22" s="6">
        <f t="shared" ref="T22:Z22" si="7">T14-SUM(T19:T21)</f>
        <v>5.4705000000000155</v>
      </c>
      <c r="U22" s="6">
        <f t="shared" si="7"/>
        <v>17.396189999999933</v>
      </c>
      <c r="V22" s="6">
        <f t="shared" si="7"/>
        <v>55.197344999999927</v>
      </c>
      <c r="W22" s="6">
        <f t="shared" si="7"/>
        <v>100.93072499999994</v>
      </c>
      <c r="X22" s="6">
        <f t="shared" si="7"/>
        <v>137.03602499999988</v>
      </c>
      <c r="Y22" s="6">
        <f t="shared" si="7"/>
        <v>151.91578499999991</v>
      </c>
      <c r="Z22" s="6">
        <f t="shared" si="7"/>
        <v>152.51753999999994</v>
      </c>
      <c r="AA22" t="s">
        <v>17</v>
      </c>
    </row>
    <row r="23" spans="1:35" x14ac:dyDescent="0.45">
      <c r="A23">
        <v>5</v>
      </c>
      <c r="B23" t="str">
        <f t="shared" si="0"/>
        <v>d 1.5 deg OS.a2w2d</v>
      </c>
      <c r="C23">
        <v>15</v>
      </c>
      <c r="D23" t="str">
        <f t="shared" si="5"/>
        <v>s2_w_p2_d</v>
      </c>
      <c r="E23" t="str">
        <f t="shared" si="1"/>
        <v>C2</v>
      </c>
      <c r="S23" t="s">
        <v>26</v>
      </c>
    </row>
    <row r="24" spans="1:35" ht="14.65" customHeight="1" x14ac:dyDescent="0.45">
      <c r="A24">
        <v>5</v>
      </c>
      <c r="B24" t="str">
        <f t="shared" si="0"/>
        <v>d 1.5 deg OS.hTS12c</v>
      </c>
      <c r="C24">
        <v>16</v>
      </c>
      <c r="D24" t="str">
        <f t="shared" si="5"/>
        <v>ts12_clu</v>
      </c>
      <c r="E24" t="str">
        <f t="shared" si="1"/>
        <v>C2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241.69</v>
      </c>
      <c r="L24" s="8">
        <f>SUMIFS(ar6_r10!$F$2:$F$999,ar6_r10!$A$2:$A$999,Veda!$E$5,ar6_r10!$C$2:$C$999,Veda!L$17,ar6_r10!$M$2:$M$999,Veda!$G24)</f>
        <v>339.03</v>
      </c>
      <c r="M24" s="8">
        <f>SUMIFS(ar6_r10!$F$2:$F$999,ar6_r10!$A$2:$A$999,Veda!$E$5,ar6_r10!$C$2:$C$999,Veda!M$17,ar6_r10!$M$2:$M$999,Veda!$G24)</f>
        <v>410.28</v>
      </c>
      <c r="N24" s="8">
        <f>SUMIFS(ar6_r10!$F$2:$F$999,ar6_r10!$A$2:$A$999,Veda!$E$5,ar6_r10!$C$2:$C$999,Veda!N$17,ar6_r10!$M$2:$M$999,Veda!$G24)</f>
        <v>494.2</v>
      </c>
      <c r="O24" s="8">
        <f>SUMIFS(ar6_r10!$F$2:$F$999,ar6_r10!$A$2:$A$999,Veda!$E$5,ar6_r10!$C$2:$C$999,Veda!O$17,ar6_r10!$M$2:$M$999,Veda!$G24)</f>
        <v>635.42999999999995</v>
      </c>
      <c r="S24" t="s">
        <v>28</v>
      </c>
      <c r="U24">
        <v>0</v>
      </c>
      <c r="V24" s="11">
        <f>K24/1000</f>
        <v>0.24168999999999999</v>
      </c>
      <c r="W24" s="11">
        <f>L24/1000</f>
        <v>0.33903</v>
      </c>
      <c r="X24" s="11">
        <f>M24/1000</f>
        <v>0.41027999999999998</v>
      </c>
      <c r="Y24" s="11">
        <f>N24/1000</f>
        <v>0.49419999999999997</v>
      </c>
      <c r="Z24" s="11">
        <f>O24/1000</f>
        <v>0.63542999999999994</v>
      </c>
      <c r="AA24" t="s">
        <v>29</v>
      </c>
    </row>
    <row r="25" spans="1:35" ht="14.65" customHeight="1" x14ac:dyDescent="0.45">
      <c r="A25">
        <v>5</v>
      </c>
      <c r="B25" t="str">
        <f t="shared" si="0"/>
        <v>d 1.5 deg OS.gTS24c</v>
      </c>
      <c r="C25">
        <v>17</v>
      </c>
      <c r="D25" t="str">
        <f t="shared" si="5"/>
        <v>ts24_clu</v>
      </c>
      <c r="E25" t="str">
        <f t="shared" si="1"/>
        <v>C2</v>
      </c>
    </row>
    <row r="26" spans="1:35" ht="17.649999999999999" customHeight="1" thickBot="1" x14ac:dyDescent="0.6">
      <c r="A26">
        <v>5</v>
      </c>
      <c r="B26" t="str">
        <f t="shared" si="0"/>
        <v>d 1.5 deg OS.fTS48c</v>
      </c>
      <c r="C26">
        <v>18</v>
      </c>
      <c r="D26" t="str">
        <f t="shared" si="5"/>
        <v>ts48_clu</v>
      </c>
      <c r="E26" t="str">
        <f t="shared" si="1"/>
        <v>C2</v>
      </c>
      <c r="S26" s="5" t="s">
        <v>12</v>
      </c>
    </row>
    <row r="27" spans="1:35" ht="15" customHeight="1" thickTop="1" thickBot="1" x14ac:dyDescent="0.5">
      <c r="A27">
        <v>5</v>
      </c>
      <c r="B27" t="str">
        <f t="shared" si="0"/>
        <v>d 1.5 deg OS.c15d</v>
      </c>
      <c r="C27">
        <v>19</v>
      </c>
      <c r="D27" t="str">
        <f t="shared" si="5"/>
        <v>s5p5v5_d</v>
      </c>
      <c r="E27" t="str">
        <f t="shared" si="1"/>
        <v>C2</v>
      </c>
      <c r="S27" s="4" t="s">
        <v>30</v>
      </c>
      <c r="T27" s="4">
        <f t="shared" ref="T27:Z27" si="8">T17</f>
        <v>2022</v>
      </c>
      <c r="U27" s="4">
        <f t="shared" si="8"/>
        <v>2025</v>
      </c>
      <c r="V27" s="4">
        <f t="shared" si="8"/>
        <v>2030</v>
      </c>
      <c r="W27" s="4">
        <f t="shared" si="8"/>
        <v>2035</v>
      </c>
      <c r="X27" s="4">
        <f t="shared" si="8"/>
        <v>2040</v>
      </c>
      <c r="Y27" s="4">
        <f t="shared" si="8"/>
        <v>2045</v>
      </c>
      <c r="Z27" s="4">
        <f t="shared" si="8"/>
        <v>2050</v>
      </c>
      <c r="AA27" s="4" t="s">
        <v>14</v>
      </c>
      <c r="AB27" s="4" t="s">
        <v>31</v>
      </c>
    </row>
    <row r="28" spans="1:35" ht="14.65" customHeight="1" thickBot="1" x14ac:dyDescent="0.5">
      <c r="A28">
        <v>5</v>
      </c>
      <c r="B28" t="str">
        <f t="shared" si="0"/>
        <v>d 1.5 deg OS.f1d</v>
      </c>
      <c r="C28">
        <v>20</v>
      </c>
      <c r="D28" t="str">
        <f t="shared" si="5"/>
        <v>s1_d</v>
      </c>
      <c r="E28" t="str">
        <f t="shared" si="1"/>
        <v>C2</v>
      </c>
      <c r="Q28" s="3">
        <f>SUMIFS(iea_data!G3:G9999,iea_data!$B$3:$B$9999,Veda!$S$11)</f>
        <v>49.33</v>
      </c>
      <c r="S28" t="s">
        <v>32</v>
      </c>
      <c r="T28" s="3">
        <f>Q28</f>
        <v>49.33</v>
      </c>
      <c r="V28" s="6"/>
      <c r="W28" s="6"/>
      <c r="X28" s="6"/>
      <c r="Y28" s="6"/>
      <c r="Z28" s="6"/>
      <c r="AA28" t="s">
        <v>33</v>
      </c>
      <c r="AB28" t="s">
        <v>34</v>
      </c>
    </row>
    <row r="29" spans="1:35" ht="15" customHeight="1" thickTop="1" thickBot="1" x14ac:dyDescent="0.5">
      <c r="A29">
        <v>5</v>
      </c>
      <c r="B29" t="str">
        <f t="shared" si="0"/>
        <v>d 1.5 deg OS.jAnn</v>
      </c>
      <c r="C29">
        <v>21</v>
      </c>
      <c r="D29" t="str">
        <f t="shared" si="5"/>
        <v>ts_annual</v>
      </c>
      <c r="E29" t="str">
        <f t="shared" si="1"/>
        <v>C2</v>
      </c>
      <c r="Q29" s="3">
        <f>SUMIFS(iea_data!H3:H9999,iea_data!$B$3:$B$9999,Veda!$S$11)</f>
        <v>-76.59</v>
      </c>
      <c r="S29" t="s">
        <v>35</v>
      </c>
      <c r="T29" s="3">
        <f>-1*Q29</f>
        <v>76.59</v>
      </c>
      <c r="V29" s="6"/>
      <c r="W29" s="6"/>
      <c r="X29" s="6"/>
      <c r="Y29" s="6"/>
      <c r="Z29" s="6"/>
      <c r="AA29" t="s">
        <v>33</v>
      </c>
      <c r="AB29" t="s">
        <v>34</v>
      </c>
    </row>
    <row r="30" spans="1:35" ht="14.65" customHeight="1" thickTop="1" x14ac:dyDescent="0.45">
      <c r="A30">
        <v>5</v>
      </c>
      <c r="B30" t="str">
        <f t="shared" si="0"/>
        <v>d 1.5 deg OS.iTS12</v>
      </c>
      <c r="C30">
        <v>22</v>
      </c>
      <c r="D30" t="str">
        <f t="shared" si="5"/>
        <v>ts_12</v>
      </c>
      <c r="E30" t="str">
        <f t="shared" si="1"/>
        <v>C2</v>
      </c>
    </row>
    <row r="31" spans="1:35" x14ac:dyDescent="0.45">
      <c r="A31">
        <v>5</v>
      </c>
      <c r="B31" t="str">
        <f t="shared" si="0"/>
        <v>c 2 deg (67%).e3d</v>
      </c>
      <c r="C31">
        <v>23</v>
      </c>
      <c r="D31" t="str">
        <f t="shared" si="5"/>
        <v>s1p1v1_d</v>
      </c>
      <c r="E31" t="s">
        <v>5</v>
      </c>
    </row>
    <row r="32" spans="1:35" x14ac:dyDescent="0.45">
      <c r="A32">
        <v>5</v>
      </c>
      <c r="B32" t="str">
        <f t="shared" si="0"/>
        <v>c 2 deg (67%).d9d</v>
      </c>
      <c r="C32">
        <v>24</v>
      </c>
      <c r="D32" t="str">
        <f t="shared" si="5"/>
        <v>s3p3v3_d</v>
      </c>
      <c r="E32" t="str">
        <f t="shared" si="1"/>
        <v>C3</v>
      </c>
    </row>
    <row r="33" spans="1:19" x14ac:dyDescent="0.45">
      <c r="A33">
        <v>5</v>
      </c>
      <c r="B33" t="str">
        <f t="shared" si="0"/>
        <v>c 2 deg (67%).b2w</v>
      </c>
      <c r="C33">
        <v>25</v>
      </c>
      <c r="D33" t="str">
        <f t="shared" si="5"/>
        <v>s2_w</v>
      </c>
      <c r="E33" t="str">
        <f t="shared" si="1"/>
        <v>C3</v>
      </c>
    </row>
    <row r="34" spans="1:19" x14ac:dyDescent="0.45">
      <c r="A34">
        <v>5</v>
      </c>
      <c r="B34" t="str">
        <f t="shared" si="0"/>
        <v>c 2 deg (67%).a2w2d</v>
      </c>
      <c r="C34">
        <v>26</v>
      </c>
      <c r="D34" t="str">
        <f t="shared" si="5"/>
        <v>s2_w_p2_d</v>
      </c>
      <c r="E34" t="str">
        <f t="shared" si="1"/>
        <v>C3</v>
      </c>
    </row>
    <row r="35" spans="1:19" x14ac:dyDescent="0.45">
      <c r="A35">
        <v>5</v>
      </c>
      <c r="B35" t="str">
        <f t="shared" si="0"/>
        <v>c 2 deg (67%).hTS12c</v>
      </c>
      <c r="C35">
        <v>27</v>
      </c>
      <c r="D35" t="str">
        <f t="shared" si="5"/>
        <v>ts12_clu</v>
      </c>
      <c r="E35" t="str">
        <f t="shared" si="1"/>
        <v>C3</v>
      </c>
    </row>
    <row r="36" spans="1:19" x14ac:dyDescent="0.45">
      <c r="A36">
        <v>5</v>
      </c>
      <c r="B36" t="str">
        <f t="shared" si="0"/>
        <v>c 2 deg (67%).gTS24c</v>
      </c>
      <c r="C36">
        <v>28</v>
      </c>
      <c r="D36" t="str">
        <f t="shared" si="5"/>
        <v>ts24_clu</v>
      </c>
      <c r="E36" t="str">
        <f t="shared" si="1"/>
        <v>C3</v>
      </c>
      <c r="G36" s="2" t="s">
        <v>9</v>
      </c>
    </row>
    <row r="37" spans="1:19" x14ac:dyDescent="0.45">
      <c r="A37">
        <v>5</v>
      </c>
      <c r="B37" t="str">
        <f t="shared" si="0"/>
        <v>c 2 deg (67%).fTS48c</v>
      </c>
      <c r="C37">
        <v>29</v>
      </c>
      <c r="D37" t="str">
        <f t="shared" si="5"/>
        <v>ts48_clu</v>
      </c>
      <c r="E37" t="str">
        <f t="shared" si="1"/>
        <v>C3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</row>
    <row r="38" spans="1:19" x14ac:dyDescent="0.45">
      <c r="A38">
        <v>5</v>
      </c>
      <c r="B38" t="str">
        <f t="shared" si="0"/>
        <v>c 2 deg (67%).c15d</v>
      </c>
      <c r="C38">
        <v>30</v>
      </c>
      <c r="D38" t="str">
        <f t="shared" si="5"/>
        <v>s5p5v5_d</v>
      </c>
      <c r="E38" t="str">
        <f t="shared" si="1"/>
        <v>C3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</row>
    <row r="39" spans="1:19" x14ac:dyDescent="0.45">
      <c r="A39">
        <v>5</v>
      </c>
      <c r="B39" t="str">
        <f t="shared" si="0"/>
        <v>c 2 deg (67%).f1d</v>
      </c>
      <c r="C39">
        <v>31</v>
      </c>
      <c r="D39" t="str">
        <f t="shared" si="5"/>
        <v>s1_d</v>
      </c>
      <c r="E39" t="str">
        <f t="shared" si="1"/>
        <v>C3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</row>
    <row r="40" spans="1:19" x14ac:dyDescent="0.45">
      <c r="A40">
        <v>5</v>
      </c>
      <c r="B40" t="str">
        <f t="shared" si="0"/>
        <v>c 2 deg (67%).jAnn</v>
      </c>
      <c r="C40">
        <v>32</v>
      </c>
      <c r="D40" t="str">
        <f t="shared" si="5"/>
        <v>ts_annual</v>
      </c>
      <c r="E40" t="str">
        <f t="shared" si="1"/>
        <v>C3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</row>
    <row r="41" spans="1:19" x14ac:dyDescent="0.45">
      <c r="A41">
        <v>5</v>
      </c>
      <c r="B41" t="str">
        <f t="shared" si="0"/>
        <v>c 2 deg (67%).iTS12</v>
      </c>
      <c r="C41">
        <v>33</v>
      </c>
      <c r="D41" t="str">
        <f t="shared" si="5"/>
        <v>ts_12</v>
      </c>
      <c r="E41" t="str">
        <f t="shared" si="1"/>
        <v>C3</v>
      </c>
    </row>
    <row r="42" spans="1:19" x14ac:dyDescent="0.45">
      <c r="A42">
        <v>5</v>
      </c>
      <c r="B42" t="str">
        <f t="shared" si="0"/>
        <v>b 2 deg (50%).e3d</v>
      </c>
      <c r="C42">
        <v>34</v>
      </c>
      <c r="D42" t="str">
        <f t="shared" si="5"/>
        <v>s1p1v1_d</v>
      </c>
      <c r="E42" t="s">
        <v>7</v>
      </c>
    </row>
    <row r="43" spans="1:19" x14ac:dyDescent="0.45">
      <c r="A43">
        <v>5</v>
      </c>
      <c r="B43" t="str">
        <f t="shared" si="0"/>
        <v>b 2 deg (50%).d9d</v>
      </c>
      <c r="C43">
        <v>35</v>
      </c>
      <c r="D43" t="str">
        <f t="shared" si="5"/>
        <v>s3p3v3_d</v>
      </c>
      <c r="E43" t="str">
        <f t="shared" si="1"/>
        <v>C4</v>
      </c>
      <c r="G43" t="s">
        <v>84</v>
      </c>
    </row>
    <row r="44" spans="1:19" x14ac:dyDescent="0.45">
      <c r="A44">
        <v>5</v>
      </c>
      <c r="B44" t="str">
        <f t="shared" si="0"/>
        <v>b 2 deg (50%).b2w</v>
      </c>
      <c r="C44">
        <v>36</v>
      </c>
      <c r="D44" t="str">
        <f t="shared" si="5"/>
        <v>s2_w</v>
      </c>
      <c r="E44" t="str">
        <f t="shared" si="1"/>
        <v>C4</v>
      </c>
      <c r="G44" t="s">
        <v>13</v>
      </c>
      <c r="H44" t="s">
        <v>113</v>
      </c>
      <c r="I44">
        <v>2022</v>
      </c>
      <c r="J44">
        <f>J17</f>
        <v>2025</v>
      </c>
      <c r="K44">
        <f t="shared" ref="K44:O44" si="9">K17</f>
        <v>2030</v>
      </c>
      <c r="L44">
        <f t="shared" si="9"/>
        <v>2035</v>
      </c>
      <c r="M44">
        <f t="shared" si="9"/>
        <v>2040</v>
      </c>
      <c r="N44">
        <f t="shared" si="9"/>
        <v>2045</v>
      </c>
      <c r="O44">
        <f t="shared" si="9"/>
        <v>2050</v>
      </c>
      <c r="R44" t="s">
        <v>82</v>
      </c>
      <c r="S44" t="s">
        <v>83</v>
      </c>
    </row>
    <row r="45" spans="1:19" x14ac:dyDescent="0.45">
      <c r="A45">
        <v>5</v>
      </c>
      <c r="B45" t="str">
        <f t="shared" si="0"/>
        <v>b 2 deg (50%).a2w2d</v>
      </c>
      <c r="C45">
        <v>37</v>
      </c>
      <c r="D45" t="str">
        <f t="shared" si="5"/>
        <v>s2_w_p2_d</v>
      </c>
      <c r="E45" t="str">
        <f t="shared" si="1"/>
        <v>C4</v>
      </c>
      <c r="G45" t="s">
        <v>78</v>
      </c>
      <c r="H45" t="str">
        <f>G45</f>
        <v>Gas</v>
      </c>
      <c r="I45">
        <f t="shared" ref="I45:O48" si="10">AVERAGE($R45:$S45)*I37</f>
        <v>35.1</v>
      </c>
      <c r="J45">
        <f t="shared" si="10"/>
        <v>37.557000000000002</v>
      </c>
      <c r="K45">
        <f t="shared" si="10"/>
        <v>43.524000000000001</v>
      </c>
      <c r="L45">
        <f t="shared" si="10"/>
        <v>40.365000000000002</v>
      </c>
      <c r="M45">
        <f t="shared" si="10"/>
        <v>43.875</v>
      </c>
      <c r="N45">
        <f t="shared" si="10"/>
        <v>41.067</v>
      </c>
      <c r="O45">
        <f t="shared" si="10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</row>
    <row r="46" spans="1:19" x14ac:dyDescent="0.45">
      <c r="A46">
        <v>5</v>
      </c>
      <c r="B46" t="str">
        <f t="shared" si="0"/>
        <v>b 2 deg (50%).hTS12c</v>
      </c>
      <c r="C46">
        <v>38</v>
      </c>
      <c r="D46" t="str">
        <f t="shared" si="5"/>
        <v>ts12_clu</v>
      </c>
      <c r="E46" t="str">
        <f t="shared" si="1"/>
        <v>C4</v>
      </c>
      <c r="G46" t="s">
        <v>79</v>
      </c>
      <c r="H46" t="str">
        <f t="shared" ref="H46:H48" si="11">G46</f>
        <v>Coal</v>
      </c>
      <c r="I46">
        <f t="shared" si="10"/>
        <v>15.2</v>
      </c>
      <c r="J46">
        <f t="shared" si="10"/>
        <v>15.504</v>
      </c>
      <c r="K46">
        <f t="shared" si="10"/>
        <v>16.111999999999998</v>
      </c>
      <c r="L46">
        <f t="shared" si="10"/>
        <v>16.263999999999999</v>
      </c>
      <c r="M46">
        <f t="shared" si="10"/>
        <v>16.416</v>
      </c>
      <c r="N46">
        <f t="shared" si="10"/>
        <v>16.72</v>
      </c>
      <c r="O46">
        <f t="shared" si="10"/>
        <v>17.024000000000001</v>
      </c>
      <c r="R46">
        <f>HLOOKUP($G46&amp;"_"&amp;R$44,fuel_prices!$B$10:$I$11,2,FALSE)</f>
        <v>13.7</v>
      </c>
      <c r="S46">
        <f>HLOOKUP($G46&amp;"_"&amp;S$44,fuel_prices!$B$10:$I$11,2,FALSE)</f>
        <v>16.7</v>
      </c>
    </row>
    <row r="47" spans="1:19" x14ac:dyDescent="0.45">
      <c r="A47">
        <v>5</v>
      </c>
      <c r="B47" t="str">
        <f t="shared" si="0"/>
        <v>b 2 deg (50%).gTS24c</v>
      </c>
      <c r="C47">
        <v>39</v>
      </c>
      <c r="D47" t="str">
        <f t="shared" si="5"/>
        <v>ts24_clu</v>
      </c>
      <c r="E47" t="str">
        <f t="shared" si="1"/>
        <v>C4</v>
      </c>
      <c r="G47" t="s">
        <v>80</v>
      </c>
      <c r="H47" t="str">
        <f t="shared" si="11"/>
        <v>Oil</v>
      </c>
      <c r="I47">
        <f t="shared" si="10"/>
        <v>53</v>
      </c>
      <c r="J47">
        <f t="shared" si="10"/>
        <v>53.53</v>
      </c>
      <c r="K47">
        <f t="shared" si="10"/>
        <v>58.830000000000005</v>
      </c>
      <c r="L47">
        <f t="shared" si="10"/>
        <v>53.53</v>
      </c>
      <c r="M47">
        <f t="shared" si="10"/>
        <v>53.53</v>
      </c>
      <c r="N47">
        <f t="shared" si="10"/>
        <v>55.120000000000005</v>
      </c>
      <c r="O47">
        <f t="shared" si="10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</row>
    <row r="48" spans="1:19" x14ac:dyDescent="0.45">
      <c r="A48">
        <v>5</v>
      </c>
      <c r="B48" t="str">
        <f t="shared" si="0"/>
        <v>b 2 deg (50%).fTS48c</v>
      </c>
      <c r="C48">
        <v>40</v>
      </c>
      <c r="D48" t="str">
        <f t="shared" si="5"/>
        <v>ts48_clu</v>
      </c>
      <c r="E48" t="str">
        <f t="shared" si="1"/>
        <v>C4</v>
      </c>
      <c r="G48" t="s">
        <v>81</v>
      </c>
      <c r="H48" t="str">
        <f t="shared" si="11"/>
        <v>Bioenergy</v>
      </c>
      <c r="I48">
        <f t="shared" si="10"/>
        <v>28</v>
      </c>
      <c r="J48">
        <f t="shared" si="10"/>
        <v>26.88</v>
      </c>
      <c r="K48">
        <f t="shared" si="10"/>
        <v>29.12</v>
      </c>
      <c r="L48">
        <f t="shared" si="10"/>
        <v>29.12</v>
      </c>
      <c r="M48">
        <f t="shared" si="10"/>
        <v>27.439999999999998</v>
      </c>
      <c r="N48">
        <f t="shared" si="10"/>
        <v>27.72</v>
      </c>
      <c r="O48">
        <f t="shared" si="10"/>
        <v>28</v>
      </c>
      <c r="R48">
        <f>HLOOKUP($G48&amp;"_"&amp;R$44,fuel_prices!$B$10:$I$11,2,FALSE)</f>
        <v>24</v>
      </c>
      <c r="S48">
        <f>HLOOKUP($G48&amp;"_"&amp;S$44,fuel_prices!$B$10:$I$11,2,FALSE)</f>
        <v>32</v>
      </c>
    </row>
    <row r="49" spans="1:5" x14ac:dyDescent="0.45">
      <c r="A49">
        <v>5</v>
      </c>
      <c r="B49" t="str">
        <f t="shared" si="0"/>
        <v>b 2 deg (50%).c15d</v>
      </c>
      <c r="C49">
        <v>41</v>
      </c>
      <c r="D49" t="str">
        <f t="shared" si="5"/>
        <v>s5p5v5_d</v>
      </c>
      <c r="E49" t="str">
        <f t="shared" si="1"/>
        <v>C4</v>
      </c>
    </row>
    <row r="50" spans="1:5" x14ac:dyDescent="0.45">
      <c r="A50">
        <v>5</v>
      </c>
      <c r="B50" t="str">
        <f t="shared" si="0"/>
        <v>b 2 deg (50%).f1d</v>
      </c>
      <c r="C50">
        <v>42</v>
      </c>
      <c r="D50" t="str">
        <f t="shared" si="5"/>
        <v>s1_d</v>
      </c>
      <c r="E50" t="str">
        <f t="shared" si="1"/>
        <v>C4</v>
      </c>
    </row>
    <row r="51" spans="1:5" x14ac:dyDescent="0.45">
      <c r="A51">
        <v>5</v>
      </c>
      <c r="B51" t="str">
        <f t="shared" si="0"/>
        <v>b 2 deg (50%).jAnn</v>
      </c>
      <c r="C51">
        <v>43</v>
      </c>
      <c r="D51" t="str">
        <f t="shared" si="5"/>
        <v>ts_annual</v>
      </c>
      <c r="E51" t="str">
        <f t="shared" si="1"/>
        <v>C4</v>
      </c>
    </row>
    <row r="52" spans="1:5" x14ac:dyDescent="0.45">
      <c r="A52">
        <v>5</v>
      </c>
      <c r="B52" t="str">
        <f t="shared" si="0"/>
        <v>b 2 deg (50%).iTS12</v>
      </c>
      <c r="C52">
        <v>44</v>
      </c>
      <c r="D52" t="str">
        <f t="shared" si="5"/>
        <v>ts_12</v>
      </c>
      <c r="E52" t="str">
        <f t="shared" si="1"/>
        <v>C4</v>
      </c>
    </row>
    <row r="53" spans="1:5" x14ac:dyDescent="0.45">
      <c r="A53">
        <v>5</v>
      </c>
      <c r="B53" t="str">
        <f t="shared" si="0"/>
        <v>a 3 deg.e3d</v>
      </c>
      <c r="C53">
        <v>45</v>
      </c>
      <c r="D53" t="str">
        <f t="shared" si="5"/>
        <v>s1p1v1_d</v>
      </c>
      <c r="E53" t="s">
        <v>9</v>
      </c>
    </row>
    <row r="54" spans="1:5" x14ac:dyDescent="0.45">
      <c r="A54">
        <v>5</v>
      </c>
      <c r="B54" t="str">
        <f t="shared" si="0"/>
        <v>a 3 deg.d9d</v>
      </c>
      <c r="C54">
        <v>46</v>
      </c>
      <c r="D54" t="str">
        <f t="shared" si="5"/>
        <v>s3p3v3_d</v>
      </c>
      <c r="E54" t="str">
        <f t="shared" si="1"/>
        <v>C7</v>
      </c>
    </row>
    <row r="55" spans="1:5" x14ac:dyDescent="0.45">
      <c r="A55">
        <v>5</v>
      </c>
      <c r="B55" t="str">
        <f t="shared" si="0"/>
        <v>a 3 deg.b2w</v>
      </c>
      <c r="C55">
        <v>47</v>
      </c>
      <c r="D55" t="str">
        <f t="shared" si="5"/>
        <v>s2_w</v>
      </c>
      <c r="E55" t="str">
        <f t="shared" si="1"/>
        <v>C7</v>
      </c>
    </row>
    <row r="56" spans="1:5" x14ac:dyDescent="0.45">
      <c r="A56">
        <v>5</v>
      </c>
      <c r="B56" t="str">
        <f t="shared" si="0"/>
        <v>a 3 deg.a2w2d</v>
      </c>
      <c r="C56">
        <v>48</v>
      </c>
      <c r="D56" t="str">
        <f t="shared" si="5"/>
        <v>s2_w_p2_d</v>
      </c>
      <c r="E56" t="str">
        <f t="shared" si="1"/>
        <v>C7</v>
      </c>
    </row>
    <row r="57" spans="1:5" x14ac:dyDescent="0.45">
      <c r="A57">
        <v>5</v>
      </c>
      <c r="B57" t="str">
        <f t="shared" si="0"/>
        <v>a 3 deg.hTS12c</v>
      </c>
      <c r="C57">
        <v>49</v>
      </c>
      <c r="D57" t="str">
        <f t="shared" si="5"/>
        <v>ts12_clu</v>
      </c>
      <c r="E57" t="str">
        <f t="shared" si="1"/>
        <v>C7</v>
      </c>
    </row>
    <row r="58" spans="1:5" x14ac:dyDescent="0.45">
      <c r="A58">
        <v>5</v>
      </c>
      <c r="B58" t="str">
        <f t="shared" si="0"/>
        <v>a 3 deg.gTS24c</v>
      </c>
      <c r="C58">
        <v>50</v>
      </c>
      <c r="D58" t="str">
        <f t="shared" si="5"/>
        <v>ts24_clu</v>
      </c>
      <c r="E58" t="str">
        <f t="shared" si="1"/>
        <v>C7</v>
      </c>
    </row>
    <row r="59" spans="1:5" x14ac:dyDescent="0.45">
      <c r="A59">
        <v>5</v>
      </c>
      <c r="B59" t="str">
        <f t="shared" si="0"/>
        <v>a 3 deg.fTS48c</v>
      </c>
      <c r="C59">
        <v>51</v>
      </c>
      <c r="D59" t="str">
        <f t="shared" si="5"/>
        <v>ts48_clu</v>
      </c>
      <c r="E59" t="str">
        <f t="shared" si="1"/>
        <v>C7</v>
      </c>
    </row>
    <row r="60" spans="1:5" x14ac:dyDescent="0.45">
      <c r="A60">
        <v>5</v>
      </c>
      <c r="B60" t="str">
        <f t="shared" si="0"/>
        <v>a 3 deg.c15d</v>
      </c>
      <c r="C60">
        <v>52</v>
      </c>
      <c r="D60" t="str">
        <f t="shared" si="5"/>
        <v>s5p5v5_d</v>
      </c>
      <c r="E60" t="str">
        <f t="shared" si="1"/>
        <v>C7</v>
      </c>
    </row>
    <row r="61" spans="1:5" x14ac:dyDescent="0.45">
      <c r="A61">
        <v>5</v>
      </c>
      <c r="B61" t="str">
        <f t="shared" si="0"/>
        <v>a 3 deg.f1d</v>
      </c>
      <c r="C61">
        <v>53</v>
      </c>
      <c r="D61" t="str">
        <f t="shared" si="5"/>
        <v>s1_d</v>
      </c>
      <c r="E61" t="str">
        <f t="shared" si="1"/>
        <v>C7</v>
      </c>
    </row>
    <row r="62" spans="1:5" x14ac:dyDescent="0.45">
      <c r="A62">
        <v>5</v>
      </c>
      <c r="B62" t="str">
        <f t="shared" si="0"/>
        <v>a 3 deg.jAnn</v>
      </c>
      <c r="C62">
        <v>54</v>
      </c>
      <c r="D62" t="str">
        <f t="shared" si="5"/>
        <v>ts_annual</v>
      </c>
      <c r="E62" t="str">
        <f t="shared" si="1"/>
        <v>C7</v>
      </c>
    </row>
    <row r="63" spans="1:5" x14ac:dyDescent="0.45">
      <c r="A63">
        <v>5</v>
      </c>
      <c r="B63" t="str">
        <f t="shared" si="0"/>
        <v>a 3 deg.iTS12</v>
      </c>
      <c r="C63">
        <v>55</v>
      </c>
      <c r="D63" t="str">
        <f t="shared" si="5"/>
        <v>ts_12</v>
      </c>
      <c r="E63" t="str">
        <f t="shared" si="1"/>
        <v>C7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137</v>
      </c>
      <c r="B11">
        <v>29.1</v>
      </c>
      <c r="C11">
        <v>41.1</v>
      </c>
      <c r="D11">
        <v>13.7</v>
      </c>
      <c r="E11">
        <v>16.7</v>
      </c>
      <c r="F11">
        <v>48</v>
      </c>
      <c r="G11">
        <v>58</v>
      </c>
      <c r="H11">
        <v>24</v>
      </c>
      <c r="I11">
        <v>32</v>
      </c>
      <c r="J11" t="s">
        <v>139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137</v>
      </c>
      <c r="B11">
        <v>2000</v>
      </c>
      <c r="C11">
        <v>296.72000000000003</v>
      </c>
      <c r="D11">
        <v>255.95</v>
      </c>
      <c r="E11">
        <v>15.91</v>
      </c>
      <c r="F11">
        <v>0</v>
      </c>
      <c r="G11">
        <v>45.13</v>
      </c>
      <c r="H11">
        <v>-42.08</v>
      </c>
      <c r="I11">
        <v>572.30999999999995</v>
      </c>
    </row>
    <row r="12" spans="1:9" x14ac:dyDescent="0.45">
      <c r="A12" t="s">
        <v>137</v>
      </c>
      <c r="B12">
        <v>2001</v>
      </c>
      <c r="C12">
        <v>302.91000000000003</v>
      </c>
      <c r="D12">
        <v>259.64</v>
      </c>
      <c r="E12">
        <v>16.399999999999999</v>
      </c>
      <c r="F12">
        <v>0</v>
      </c>
      <c r="G12">
        <v>45.78</v>
      </c>
      <c r="H12">
        <v>-42.12</v>
      </c>
      <c r="I12">
        <v>581.89</v>
      </c>
    </row>
    <row r="13" spans="1:9" x14ac:dyDescent="0.45">
      <c r="A13" t="s">
        <v>137</v>
      </c>
      <c r="B13">
        <v>2002</v>
      </c>
      <c r="C13">
        <v>297.20999999999998</v>
      </c>
      <c r="D13">
        <v>271.74</v>
      </c>
      <c r="E13">
        <v>16.190000000000001</v>
      </c>
      <c r="F13">
        <v>0</v>
      </c>
      <c r="G13">
        <v>48.37</v>
      </c>
      <c r="H13">
        <v>-38.369999999999997</v>
      </c>
      <c r="I13">
        <v>581.95000000000005</v>
      </c>
    </row>
    <row r="14" spans="1:9" x14ac:dyDescent="0.45">
      <c r="A14" t="s">
        <v>137</v>
      </c>
      <c r="B14">
        <v>2003</v>
      </c>
      <c r="C14">
        <v>299.02999999999997</v>
      </c>
      <c r="D14">
        <v>281.33</v>
      </c>
      <c r="E14">
        <v>13.04</v>
      </c>
      <c r="F14">
        <v>0.02</v>
      </c>
      <c r="G14">
        <v>49.11</v>
      </c>
      <c r="H14">
        <v>-52.38</v>
      </c>
      <c r="I14">
        <v>604.67999999999995</v>
      </c>
    </row>
    <row r="15" spans="1:9" x14ac:dyDescent="0.45">
      <c r="A15" t="s">
        <v>137</v>
      </c>
      <c r="B15">
        <v>2004</v>
      </c>
      <c r="C15">
        <v>306.79000000000002</v>
      </c>
      <c r="D15">
        <v>281.62</v>
      </c>
      <c r="E15">
        <v>12.88</v>
      </c>
      <c r="F15">
        <v>0.02</v>
      </c>
      <c r="G15">
        <v>48.19</v>
      </c>
      <c r="H15">
        <v>-50.81</v>
      </c>
      <c r="I15">
        <v>612.36</v>
      </c>
    </row>
    <row r="16" spans="1:9" x14ac:dyDescent="0.45">
      <c r="A16" t="s">
        <v>137</v>
      </c>
      <c r="B16">
        <v>2005</v>
      </c>
      <c r="C16">
        <v>312.43</v>
      </c>
      <c r="D16">
        <v>278.70999999999998</v>
      </c>
      <c r="E16">
        <v>13.12</v>
      </c>
      <c r="F16">
        <v>0.02</v>
      </c>
      <c r="G16">
        <v>56.86</v>
      </c>
      <c r="H16">
        <v>-61.43</v>
      </c>
      <c r="I16">
        <v>616.34</v>
      </c>
    </row>
    <row r="17" spans="1:9" x14ac:dyDescent="0.45">
      <c r="A17" t="s">
        <v>137</v>
      </c>
      <c r="B17">
        <v>2006</v>
      </c>
      <c r="C17">
        <v>312.93</v>
      </c>
      <c r="D17">
        <v>283.64999999999998</v>
      </c>
      <c r="E17">
        <v>12.67</v>
      </c>
      <c r="F17">
        <v>0.02</v>
      </c>
      <c r="G17">
        <v>48.46</v>
      </c>
      <c r="H17">
        <v>-65.44</v>
      </c>
      <c r="I17">
        <v>633.35</v>
      </c>
    </row>
    <row r="18" spans="1:9" x14ac:dyDescent="0.45">
      <c r="A18" t="s">
        <v>137</v>
      </c>
      <c r="B18">
        <v>2007</v>
      </c>
      <c r="C18">
        <v>320.33</v>
      </c>
      <c r="D18">
        <v>277.98</v>
      </c>
      <c r="E18">
        <v>12.22</v>
      </c>
      <c r="F18">
        <v>0.02</v>
      </c>
      <c r="G18">
        <v>45.95</v>
      </c>
      <c r="H18">
        <v>-62.51</v>
      </c>
      <c r="I18">
        <v>634.44000000000005</v>
      </c>
    </row>
    <row r="19" spans="1:9" x14ac:dyDescent="0.45">
      <c r="A19" t="s">
        <v>137</v>
      </c>
      <c r="B19">
        <v>2008</v>
      </c>
      <c r="C19">
        <v>315.16000000000003</v>
      </c>
      <c r="D19">
        <v>281.69</v>
      </c>
      <c r="E19">
        <v>11.09</v>
      </c>
      <c r="F19">
        <v>0.02</v>
      </c>
      <c r="G19">
        <v>41.67</v>
      </c>
      <c r="H19">
        <v>-61.77</v>
      </c>
      <c r="I19">
        <v>635.20000000000005</v>
      </c>
    </row>
    <row r="20" spans="1:9" x14ac:dyDescent="0.45">
      <c r="A20" t="s">
        <v>137</v>
      </c>
      <c r="B20">
        <v>2009</v>
      </c>
      <c r="C20">
        <v>276.39</v>
      </c>
      <c r="D20">
        <v>283.85000000000002</v>
      </c>
      <c r="E20">
        <v>11.58</v>
      </c>
      <c r="F20">
        <v>0.02</v>
      </c>
      <c r="G20">
        <v>41.86</v>
      </c>
      <c r="H20">
        <v>-54.13</v>
      </c>
      <c r="I20">
        <v>590.82000000000005</v>
      </c>
    </row>
    <row r="21" spans="1:9" x14ac:dyDescent="0.45">
      <c r="A21" t="s">
        <v>137</v>
      </c>
      <c r="B21">
        <v>2010</v>
      </c>
      <c r="C21">
        <v>301.16000000000003</v>
      </c>
      <c r="D21">
        <v>291.42</v>
      </c>
      <c r="E21">
        <v>12.06</v>
      </c>
      <c r="F21">
        <v>0.02</v>
      </c>
      <c r="G21">
        <v>42.96</v>
      </c>
      <c r="H21">
        <v>-57.92</v>
      </c>
      <c r="I21">
        <v>626.72</v>
      </c>
    </row>
    <row r="22" spans="1:9" x14ac:dyDescent="0.45">
      <c r="A22" t="s">
        <v>137</v>
      </c>
      <c r="B22">
        <v>2011</v>
      </c>
      <c r="C22">
        <v>306.11</v>
      </c>
      <c r="D22">
        <v>278.54000000000002</v>
      </c>
      <c r="E22">
        <v>12.08</v>
      </c>
      <c r="F22">
        <v>0.02</v>
      </c>
      <c r="G22">
        <v>51</v>
      </c>
      <c r="H22">
        <v>-54.77</v>
      </c>
      <c r="I22">
        <v>607.28</v>
      </c>
    </row>
    <row r="23" spans="1:9" x14ac:dyDescent="0.45">
      <c r="A23" t="s">
        <v>137</v>
      </c>
      <c r="B23">
        <v>2012</v>
      </c>
      <c r="C23">
        <v>300.92</v>
      </c>
      <c r="D23">
        <v>281.91000000000003</v>
      </c>
      <c r="E23">
        <v>12</v>
      </c>
      <c r="F23">
        <v>0.03</v>
      </c>
      <c r="G23">
        <v>46.27</v>
      </c>
      <c r="H23">
        <v>-66.81</v>
      </c>
      <c r="I23">
        <v>622.22</v>
      </c>
    </row>
    <row r="24" spans="1:9" x14ac:dyDescent="0.45">
      <c r="A24" t="s">
        <v>137</v>
      </c>
      <c r="B24">
        <v>2013</v>
      </c>
      <c r="C24">
        <v>299.36</v>
      </c>
      <c r="D24">
        <v>282.54000000000002</v>
      </c>
      <c r="E24">
        <v>11.89</v>
      </c>
      <c r="F24">
        <v>0.04</v>
      </c>
      <c r="G24">
        <v>39.22</v>
      </c>
      <c r="H24">
        <v>-71.42</v>
      </c>
      <c r="I24">
        <v>632.91999999999996</v>
      </c>
    </row>
    <row r="25" spans="1:9" x14ac:dyDescent="0.45">
      <c r="A25" t="s">
        <v>137</v>
      </c>
      <c r="B25">
        <v>2014</v>
      </c>
      <c r="C25">
        <v>302.14</v>
      </c>
      <c r="D25">
        <v>267.37</v>
      </c>
      <c r="E25">
        <v>11.47</v>
      </c>
      <c r="F25">
        <v>0.05</v>
      </c>
      <c r="G25">
        <v>40.44</v>
      </c>
      <c r="H25">
        <v>-74.319999999999993</v>
      </c>
      <c r="I25">
        <v>621.95000000000005</v>
      </c>
    </row>
    <row r="26" spans="1:9" x14ac:dyDescent="0.45">
      <c r="A26" t="s">
        <v>137</v>
      </c>
      <c r="B26">
        <v>2015</v>
      </c>
      <c r="C26">
        <v>300.43</v>
      </c>
      <c r="D26">
        <v>274.98</v>
      </c>
      <c r="E26">
        <v>11.07</v>
      </c>
      <c r="F26">
        <v>0.08</v>
      </c>
      <c r="G26">
        <v>37.01</v>
      </c>
      <c r="H26">
        <v>-85.29</v>
      </c>
      <c r="I26">
        <v>642.39</v>
      </c>
    </row>
    <row r="27" spans="1:9" x14ac:dyDescent="0.45">
      <c r="A27" t="s">
        <v>137</v>
      </c>
      <c r="B27">
        <v>2016</v>
      </c>
      <c r="C27">
        <v>300.37</v>
      </c>
      <c r="D27">
        <v>275.24</v>
      </c>
      <c r="E27">
        <v>11.63</v>
      </c>
      <c r="F27">
        <v>0.11</v>
      </c>
      <c r="G27">
        <v>28.34</v>
      </c>
      <c r="H27">
        <v>-78.86</v>
      </c>
      <c r="I27">
        <v>644.86</v>
      </c>
    </row>
    <row r="28" spans="1:9" x14ac:dyDescent="0.45">
      <c r="A28" t="s">
        <v>137</v>
      </c>
      <c r="B28">
        <v>2017</v>
      </c>
      <c r="C28">
        <v>301.43</v>
      </c>
      <c r="D28">
        <v>274.77</v>
      </c>
      <c r="E28">
        <v>11.8</v>
      </c>
      <c r="F28">
        <v>0.16</v>
      </c>
      <c r="G28">
        <v>27.84</v>
      </c>
      <c r="H28">
        <v>-80.3</v>
      </c>
      <c r="I28">
        <v>647.72</v>
      </c>
    </row>
    <row r="29" spans="1:9" x14ac:dyDescent="0.45">
      <c r="A29" t="s">
        <v>137</v>
      </c>
      <c r="B29">
        <v>2018</v>
      </c>
      <c r="C29">
        <v>299.7</v>
      </c>
      <c r="D29">
        <v>266.49</v>
      </c>
      <c r="E29">
        <v>11.86</v>
      </c>
      <c r="F29">
        <v>0.23</v>
      </c>
      <c r="G29">
        <v>31.73</v>
      </c>
      <c r="H29">
        <v>-80.459999999999994</v>
      </c>
      <c r="I29">
        <v>634.29999999999995</v>
      </c>
    </row>
    <row r="30" spans="1:9" x14ac:dyDescent="0.45">
      <c r="A30" t="s">
        <v>137</v>
      </c>
      <c r="B30">
        <v>2019</v>
      </c>
      <c r="C30">
        <v>288.64999999999998</v>
      </c>
      <c r="D30">
        <v>261.57</v>
      </c>
      <c r="E30">
        <v>11.27</v>
      </c>
      <c r="F30">
        <v>0.34</v>
      </c>
      <c r="G30">
        <v>40.130000000000003</v>
      </c>
      <c r="H30">
        <v>-72.790000000000006</v>
      </c>
      <c r="I30">
        <v>600.98</v>
      </c>
    </row>
    <row r="31" spans="1:9" x14ac:dyDescent="0.45">
      <c r="A31" t="s">
        <v>137</v>
      </c>
      <c r="B31">
        <v>2020</v>
      </c>
      <c r="C31">
        <v>273.14999999999998</v>
      </c>
      <c r="D31">
        <v>259.02</v>
      </c>
      <c r="E31">
        <v>10.87</v>
      </c>
      <c r="F31">
        <v>0.66</v>
      </c>
      <c r="G31">
        <v>47.85</v>
      </c>
      <c r="H31">
        <v>-66.88</v>
      </c>
      <c r="I31">
        <v>568.91</v>
      </c>
    </row>
    <row r="32" spans="1:9" x14ac:dyDescent="0.45">
      <c r="A32" t="s">
        <v>137</v>
      </c>
      <c r="B32">
        <v>2021</v>
      </c>
      <c r="C32">
        <v>282</v>
      </c>
      <c r="D32">
        <v>269.08999999999997</v>
      </c>
      <c r="E32">
        <v>10.69</v>
      </c>
      <c r="F32">
        <v>0.55000000000000004</v>
      </c>
      <c r="G32">
        <v>51.73</v>
      </c>
      <c r="H32">
        <v>-70.31</v>
      </c>
      <c r="I32">
        <v>587.48</v>
      </c>
    </row>
    <row r="33" spans="1:9" x14ac:dyDescent="0.45">
      <c r="A33" t="s">
        <v>137</v>
      </c>
      <c r="B33">
        <v>2022</v>
      </c>
      <c r="C33">
        <v>269.70999999999998</v>
      </c>
      <c r="D33">
        <v>256.95999999999998</v>
      </c>
      <c r="E33">
        <v>10.69</v>
      </c>
      <c r="F33">
        <v>2.4500000000000002</v>
      </c>
      <c r="G33">
        <v>49.33</v>
      </c>
      <c r="H33">
        <v>-76.59</v>
      </c>
      <c r="I33">
        <v>574.30999999999995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138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138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138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138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138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138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138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138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138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138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138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138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138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138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138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138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138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138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138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138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138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138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138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138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138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138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138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138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138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138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138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138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138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138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138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138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138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138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138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138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138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138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138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138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138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138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138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138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138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138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138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138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138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138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138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138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138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138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138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138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138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138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138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138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138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138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138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138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138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138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138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138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138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138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138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138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138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138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138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138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138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138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138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138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138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138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138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138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138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138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138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138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138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138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138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138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138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138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138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138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138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138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138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138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138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138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138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138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138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138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138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138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138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138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138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138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138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138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138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138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138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138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138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138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138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138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138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138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138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138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138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138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138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138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138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138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138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138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138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138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138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138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138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138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138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138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138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138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138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138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138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138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138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138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138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138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138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138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138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138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138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138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138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138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138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138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138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138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138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138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138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138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138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138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138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138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138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138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138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138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138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138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138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138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138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138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138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138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138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138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138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138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138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138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138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138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138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138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138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138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138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138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138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138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138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138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138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138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138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138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138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138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138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138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138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138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138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138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138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138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138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138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138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138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138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138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138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138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138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138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138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138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138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138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138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138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138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138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138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138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138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138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138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138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138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138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138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138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138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138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138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138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138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138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138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138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138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138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138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138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138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138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138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138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138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138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138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138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138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138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138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138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138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138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138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138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138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138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138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138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138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138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138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138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138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138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138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138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138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138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138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138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138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138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138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138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138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138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138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138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138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138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138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138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138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138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138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138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138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138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138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138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138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138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138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138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138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138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138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138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138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138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138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138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138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138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138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138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138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138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138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138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138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138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138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138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138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138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138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138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138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138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138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138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138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138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138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138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138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138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H24"/>
  <sheetViews>
    <sheetView workbookViewId="0">
      <selection activeCell="H21" sqref="H21"/>
    </sheetView>
  </sheetViews>
  <sheetFormatPr defaultRowHeight="14.25" x14ac:dyDescent="0.45"/>
  <sheetData>
    <row r="10" spans="1:34" x14ac:dyDescent="0.45">
      <c r="A10" t="str">
        <f>IFERROR(Veda!D5,"ts_12")</f>
        <v>s2_w</v>
      </c>
      <c r="B10" s="15"/>
      <c r="C10" s="15" t="s">
        <v>349</v>
      </c>
      <c r="D10" t="s">
        <v>102</v>
      </c>
      <c r="F10" t="s">
        <v>349</v>
      </c>
      <c r="G10" t="s">
        <v>103</v>
      </c>
      <c r="I10" t="s">
        <v>349</v>
      </c>
      <c r="J10" t="s">
        <v>104</v>
      </c>
      <c r="L10" t="s">
        <v>349</v>
      </c>
      <c r="M10" t="s">
        <v>105</v>
      </c>
      <c r="O10" t="s">
        <v>349</v>
      </c>
      <c r="P10" t="s">
        <v>106</v>
      </c>
      <c r="R10" t="s">
        <v>349</v>
      </c>
      <c r="S10" t="s">
        <v>107</v>
      </c>
      <c r="U10" t="s">
        <v>349</v>
      </c>
      <c r="V10" t="s">
        <v>108</v>
      </c>
      <c r="X10" t="s">
        <v>349</v>
      </c>
      <c r="Y10" t="s">
        <v>109</v>
      </c>
      <c r="AA10" t="s">
        <v>349</v>
      </c>
      <c r="AB10" t="s">
        <v>110</v>
      </c>
      <c r="AD10" t="s">
        <v>349</v>
      </c>
      <c r="AE10" t="s">
        <v>111</v>
      </c>
      <c r="AG10" t="s">
        <v>349</v>
      </c>
      <c r="AH10" t="s">
        <v>112</v>
      </c>
    </row>
    <row r="11" spans="1:34" x14ac:dyDescent="0.45">
      <c r="B11" s="15"/>
      <c r="C11" s="15" t="s">
        <v>350</v>
      </c>
      <c r="D11" t="s">
        <v>351</v>
      </c>
      <c r="F11" t="s">
        <v>350</v>
      </c>
      <c r="G11" t="s">
        <v>743</v>
      </c>
      <c r="I11" t="s">
        <v>350</v>
      </c>
      <c r="J11" t="s">
        <v>1417</v>
      </c>
      <c r="L11" t="s">
        <v>350</v>
      </c>
      <c r="M11" t="s">
        <v>1803</v>
      </c>
      <c r="O11" t="s">
        <v>350</v>
      </c>
      <c r="P11" t="s">
        <v>1806</v>
      </c>
      <c r="R11" t="s">
        <v>350</v>
      </c>
      <c r="S11" t="s">
        <v>1808</v>
      </c>
      <c r="U11" t="s">
        <v>350</v>
      </c>
      <c r="V11" t="s">
        <v>1810</v>
      </c>
      <c r="X11" t="s">
        <v>350</v>
      </c>
      <c r="Y11" t="s">
        <v>2298</v>
      </c>
      <c r="AA11" t="s">
        <v>350</v>
      </c>
      <c r="AB11" t="s">
        <v>2324</v>
      </c>
      <c r="AD11" t="s">
        <v>350</v>
      </c>
      <c r="AE11" t="s">
        <v>2328</v>
      </c>
      <c r="AG11" t="s">
        <v>350</v>
      </c>
      <c r="AH11" t="s">
        <v>2347</v>
      </c>
    </row>
    <row r="12" spans="1:34" x14ac:dyDescent="0.45">
      <c r="B12" s="15"/>
      <c r="C12" s="15" t="s">
        <v>352</v>
      </c>
      <c r="D12" t="s">
        <v>353</v>
      </c>
      <c r="F12" t="s">
        <v>352</v>
      </c>
      <c r="G12" t="s">
        <v>744</v>
      </c>
      <c r="I12" t="s">
        <v>352</v>
      </c>
      <c r="J12" t="s">
        <v>1418</v>
      </c>
      <c r="L12" t="s">
        <v>352</v>
      </c>
      <c r="M12" t="s">
        <v>1804</v>
      </c>
      <c r="O12" t="s">
        <v>352</v>
      </c>
      <c r="P12" t="s">
        <v>1807</v>
      </c>
      <c r="R12" t="s">
        <v>352</v>
      </c>
      <c r="S12" t="s">
        <v>1809</v>
      </c>
      <c r="U12" t="s">
        <v>352</v>
      </c>
      <c r="V12" t="s">
        <v>1811</v>
      </c>
      <c r="X12" t="s">
        <v>352</v>
      </c>
      <c r="Y12" t="s">
        <v>2299</v>
      </c>
      <c r="AA12" t="s">
        <v>352</v>
      </c>
      <c r="AB12" t="s">
        <v>2325</v>
      </c>
      <c r="AD12" t="s">
        <v>352</v>
      </c>
      <c r="AE12" t="s">
        <v>2328</v>
      </c>
      <c r="AG12" t="s">
        <v>352</v>
      </c>
      <c r="AH12" t="s">
        <v>2348</v>
      </c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~UC_T: LO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S3b0910h03,S3b0910h21,S3b0914h01,S3b0915h06,S3b0916h21,S5c1119h23,S5c1121h03,S5c1122h22,S5c1124h03,S5c1124h06,S3b0910h06,S3b0914h03,S3b0914h19,S3b0915h21,S3b0916h01,S3b0916h06,S5c1119h05,S5c1119h24,S5c1120h19,S5c1121h05,S5c1121h23,S5c1123h01,S5c1124h02,S3b0911h04,S3b0914h02,S3b0914h21,S3b0915h03,S3b0915h23,S3b0916h02,S3b0916h23,S5c1120h21,S5c1122h01,S5c1122h24,S5c1125h03,S5c1125h23,S3b0910h01,S3b0912h02,S3b0912h24,S5c1119h20,S5c1120h01,S5c1122h04,S5c1123h06,S2aH1,S3b0911h05,S3b0911h23,S3b0912h22,S3b0913h19,S5aH8,S5c1120h03,S5c1120h04,S5c1121h02,S5c1123h23,S5c1125h05,S5c1125h19,S5c1125h21,S3b0912h19,S3b0914h04,S3b0915h04,S4aH8,S5c1119h19,S5c1119h21,S5c1120h24,S5c1122h05,S5c1122h21,S5c1123h02,S5c1123h22,S5c1124h24,S5c1125h20,S3b0910h04,S3b0910h20,S3b0911h01,S3b0911h20,S3b0912h03,S3b0912h05,S3b0912h21,S5c1120h22,S5c1122h03,S3aH8,S3b0910h19,S3b0911h06,S3b0913h02,S3b0914h05,S5c1119h02,S5c1119h06,S5c1121h01,S5c1121h20,S5c1124h20,S5c1125h06,S3b0912h06,S3b0914h24,S3b0915h02,S3b0916h04,S3b0916h19,S3b0916h24,S5c1120h05,S5c1122h02,S5c1122h19,S5c1123h03,S5c1123h20,S5c1125h02,S1aH1,S3b0910h24,S3b0911h02,S3b0912h04,S3b0913h20,S3b0916h03,S5c1120h20,S5c1121h04,S5c1122h06,S3b0911h19,S3b0912h01,S3b0912h23,S3b0913h23,S3b0914h06,S3b0915h24,S5c1122h20,S5c1124h23,S3b0910h23,S3b0911h21,S3b0913h03,S3b0913h22,S3b0914h23,S3b0915h20,S3b0915h22,S5c1120h06,S5c1123h04,S6aH8,S2aH8,S3b0910h22,S3b0911h24,S3b0913h21,S3b0913h24,S3b0914h20,S3b0916h05,S5c1119h04,S5c1119h22,S5c1123h24,S5c1125h24,S1aH8,S3b0912h20,S3b0915h01,S3b0916h22,S5aH1,S5c1119h01,S5c1120h23,S5c1121h21,S5c1123h19,S5c1124h01,S5c1125h01,S5c1125h04,S3b0913h04,S3b0913h06,S3b0914h22,S3b0915h05,S3b0915h19,S3b0916h20,S4aH1,S5c1121h19,S5c1122h23,S5c1123h05,S5c1125h22,S6aH1,S3aH1,S3b0910h02,S3b0910h05,S3b0911h03,S3b0911h22,S3b0913h01,S3b0913h05,S5c1119h03,S5c1120h02,S5c1121h06,S5c1121h22,S5c1121h24,S5c1123h21,S5c1124h04,S5c1124h05,S5c1124h19,S5c1124h21,S5c1124h22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S3b0910h13,S3b0910h14,S3b0911h16,S3b0912h18,S3b0913h16,S3b0915h11,S3b0916h14,S3b0916h18,S4aH5,S5c1122h08,S5c1122h18,S5c1124h08,S5c1124h11,S5c1124h12,S1aH2,S1aH7,S2aH3,S3aH6,S3b0910h12,S3b0911h10,S3b0914h18,S3b0915h10,S4aH7,S5aH6,S5aH7,S5c1119h15,S5c1119h17,S5c1122h10,S5c1122h11,S5c1124h10,S6aH6,S1aH5,S2aH4,S2aH5,S3b0910h11,S3b0913h13,S3b0914h14,S3b0916h15,S3b0916h17,S5aH2,S5aH5,S5c1119h13,S5c1125h12,S6aH2,S3aH3,S3b0910h16,S3b0911h07,S3b0914h10,S3b0915h15,S3b0915h17,S5c1119h08,S5c1119h18,S5c1120h18,S5c1121h11,S5c1121h15,S5c1122h07,S5c1123h16,S5c1125h17,S3b0911h17,S3b0912h09,S3b0913h14,S3b0914h07,S3b0916h08,S3b0916h10,S4aH2,S5c1119h10,S5c1122h15,S5c1123h12,S5c1123h18,S5c1125h08,S5c1125h18,S3b0913h15,S3b0915h14,S5c1119h16,S5c1120h11,S5c1121h12,S5c1121h13,S5c1121h16,S5c1122h14,S5c1124h15,S5c1124h17,S5c1125h10,S5c1125h15,S6aH5,S3b0911h12,S3b0912h11,S3b0912h12,S3b0912h13,S3b0915h18,S3b0916h16,S5aH4,S5c1121h09,S5c1122h09,S5c1123h17,S5c1125h13,S6aH3,S6aH4,S3aH2,S3b0911h13,S3b0913h11,S3b0914h13,S5c1120h10,S5c1124h09,S1aH3,S3b0911h09,S3b0911h14,S3b0912h07,S3b0915h09,S5c1120h08,S5c1122h13,S5c1123h11,S5c1125h07,S3b0910h15,S3b0912h15,S3b0913h18,S3b0914h08,S3b0914h11,S3b0915h16,S3b0916h11,S5c1119h12,S5c1120h15,S5c1120h17,S5c1121h10,S5c1123h13,S5c1125h11,S2aH7,S3aH4,S3b0910h10,S3b0911h08,S3b0911h15,S3b0912h10,S3b0912h16,S3b0913h09,S3b0914h09,S3b0914h12,S4aH3,S4aH4,S5c1119h09,S5c1120h16,S5c1121h14,S5c1123h09,S5c1123h10,S5c1124h13,S5c1125h09,S1aH6,S3b0910h09,S3b0910h18,S3b0912h08,S3b0912h17,S5c1119h11,S5c1120h07,S5c1121h07,S5c1121h08,S5c1122h12,S5c1122h17,S5c1123h08,S5c1124h07,S5c1124h14,S5c1125h16,S3aH7,S3b0913h07,S3b0915h08,S3b0916h12,S5c1119h07,S5c1120h13,S5c1125h14,S2aH6,S3aH5,S3b0910h17,S3b0912h14,S3b0913h17,S3b0914h16,S5aH3,S5c1120h14,S5c1122h16,S5c1123h15,S1aH4,S2aH2,S3b0910h07,S3b0913h08,S3b0913h12,S3b0914h15,S3b0914h17,S3b0915h07,S3b0915h12,S3b0915h13,S4aH6,S5c1119h14,S5c1120h09,S5c1120h12,S5c1121h17,S5c1123h14,S5c1124h16,S3b0910h08,S3b0911h11,S3b0911h18,S3b0913h10,S3b0916h07,S3b0916h09,S3b0916h13,S5c1121h18,S5c1123h07,S5c1124h18,S6aH7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FF10-145B-48C1-80BE-1F49ED57C2BF}">
  <dimension ref="A9:AM226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102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235</v>
      </c>
      <c r="L10" t="s">
        <v>30</v>
      </c>
      <c r="N10" t="s">
        <v>13</v>
      </c>
      <c r="O10" t="s">
        <v>134</v>
      </c>
      <c r="P10" t="s">
        <v>235</v>
      </c>
      <c r="Q10" t="s">
        <v>30</v>
      </c>
      <c r="S10" t="s">
        <v>13</v>
      </c>
      <c r="T10" t="s">
        <v>134</v>
      </c>
      <c r="U10" t="s">
        <v>235</v>
      </c>
      <c r="V10" t="s">
        <v>30</v>
      </c>
      <c r="X10" t="s">
        <v>348</v>
      </c>
      <c r="Y10" t="s">
        <v>235</v>
      </c>
      <c r="Z10" t="s">
        <v>134</v>
      </c>
      <c r="AA10" t="s">
        <v>13</v>
      </c>
      <c r="AC10" t="s">
        <v>13</v>
      </c>
      <c r="AD10" t="s">
        <v>134</v>
      </c>
      <c r="AE10" t="s">
        <v>235</v>
      </c>
      <c r="AG10" t="s">
        <v>13</v>
      </c>
      <c r="AH10" t="s">
        <v>134</v>
      </c>
      <c r="AI10" t="s">
        <v>354</v>
      </c>
      <c r="AK10" t="s">
        <v>134</v>
      </c>
      <c r="AL10" t="s">
        <v>355</v>
      </c>
      <c r="AM10" t="s">
        <v>356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147</v>
      </c>
      <c r="F11" t="s">
        <v>148</v>
      </c>
      <c r="G11" t="s">
        <v>149</v>
      </c>
      <c r="I11" t="s">
        <v>236</v>
      </c>
      <c r="J11" t="s">
        <v>237</v>
      </c>
      <c r="K11">
        <v>0</v>
      </c>
      <c r="L11" t="s">
        <v>238</v>
      </c>
      <c r="N11" t="s">
        <v>346</v>
      </c>
      <c r="O11" t="s">
        <v>237</v>
      </c>
      <c r="P11">
        <v>4.4155047742032917E-2</v>
      </c>
      <c r="Q11" t="s">
        <v>238</v>
      </c>
      <c r="S11" t="s">
        <v>347</v>
      </c>
      <c r="T11" t="s">
        <v>237</v>
      </c>
      <c r="U11">
        <v>4.2330575516464429E-2</v>
      </c>
      <c r="V11" t="s">
        <v>238</v>
      </c>
      <c r="X11">
        <v>4.041095890410959E-2</v>
      </c>
      <c r="Y11">
        <v>8.6444737256461904E-3</v>
      </c>
      <c r="Z11" t="s">
        <v>237</v>
      </c>
      <c r="AA11" t="s">
        <v>25</v>
      </c>
      <c r="AC11" t="s">
        <v>22</v>
      </c>
      <c r="AD11" t="s">
        <v>237</v>
      </c>
      <c r="AE11">
        <v>3.6138622036271613E-2</v>
      </c>
      <c r="AG11" t="s">
        <v>97</v>
      </c>
      <c r="AH11" t="s">
        <v>237</v>
      </c>
      <c r="AI11">
        <v>0.20993758754647396</v>
      </c>
      <c r="AK11" t="s">
        <v>155</v>
      </c>
      <c r="AL11">
        <v>8.4099424771755762E-2</v>
      </c>
      <c r="AM11" t="s">
        <v>357</v>
      </c>
    </row>
    <row r="12" spans="1:39" x14ac:dyDescent="0.45">
      <c r="C12" t="s">
        <v>150</v>
      </c>
      <c r="D12" t="s">
        <v>149</v>
      </c>
      <c r="E12" t="s">
        <v>151</v>
      </c>
      <c r="F12" t="s">
        <v>150</v>
      </c>
      <c r="G12" t="s">
        <v>149</v>
      </c>
      <c r="I12" t="s">
        <v>236</v>
      </c>
      <c r="J12" t="s">
        <v>239</v>
      </c>
      <c r="K12">
        <v>0</v>
      </c>
      <c r="L12" t="s">
        <v>238</v>
      </c>
      <c r="N12" t="s">
        <v>346</v>
      </c>
      <c r="O12" t="s">
        <v>239</v>
      </c>
      <c r="P12">
        <v>7.4771968628568157E-3</v>
      </c>
      <c r="Q12" t="s">
        <v>238</v>
      </c>
      <c r="S12" t="s">
        <v>347</v>
      </c>
      <c r="T12" t="s">
        <v>239</v>
      </c>
      <c r="U12">
        <v>7.0255051417868024E-3</v>
      </c>
      <c r="V12" t="s">
        <v>238</v>
      </c>
      <c r="X12">
        <v>6.735159817351598E-3</v>
      </c>
      <c r="Y12">
        <v>9.9743927603609898E-3</v>
      </c>
      <c r="Z12" t="s">
        <v>239</v>
      </c>
      <c r="AA12" t="s">
        <v>25</v>
      </c>
      <c r="AC12" t="s">
        <v>22</v>
      </c>
      <c r="AD12" t="s">
        <v>239</v>
      </c>
      <c r="AE12">
        <v>8.5508495229955229E-3</v>
      </c>
      <c r="AG12" t="s">
        <v>97</v>
      </c>
      <c r="AH12" t="s">
        <v>239</v>
      </c>
      <c r="AI12">
        <v>8.4513738967735286E-2</v>
      </c>
      <c r="AK12" t="s">
        <v>150</v>
      </c>
      <c r="AL12">
        <v>0.85866272626523821</v>
      </c>
      <c r="AM12" t="s">
        <v>357</v>
      </c>
    </row>
    <row r="13" spans="1:39" x14ac:dyDescent="0.45">
      <c r="C13" t="s">
        <v>152</v>
      </c>
      <c r="D13" t="s">
        <v>153</v>
      </c>
      <c r="E13" t="s">
        <v>154</v>
      </c>
      <c r="F13" t="s">
        <v>150</v>
      </c>
      <c r="G13" t="s">
        <v>149</v>
      </c>
      <c r="I13" t="s">
        <v>236</v>
      </c>
      <c r="J13" t="s">
        <v>240</v>
      </c>
      <c r="K13">
        <v>2.1283100409942801E-4</v>
      </c>
      <c r="L13" t="s">
        <v>238</v>
      </c>
      <c r="N13" t="s">
        <v>346</v>
      </c>
      <c r="O13" t="s">
        <v>240</v>
      </c>
      <c r="P13">
        <v>7.486052410617448E-3</v>
      </c>
      <c r="Q13" t="s">
        <v>238</v>
      </c>
      <c r="S13" t="s">
        <v>347</v>
      </c>
      <c r="T13" t="s">
        <v>240</v>
      </c>
      <c r="U13">
        <v>7.0289935279836818E-3</v>
      </c>
      <c r="V13" t="s">
        <v>238</v>
      </c>
      <c r="X13">
        <v>6.735159817351598E-3</v>
      </c>
      <c r="Y13">
        <v>1.124563889648543E-2</v>
      </c>
      <c r="Z13" t="s">
        <v>240</v>
      </c>
      <c r="AA13" t="s">
        <v>25</v>
      </c>
      <c r="AC13" t="s">
        <v>22</v>
      </c>
      <c r="AD13" t="s">
        <v>240</v>
      </c>
      <c r="AE13">
        <v>8.9794169198168568E-3</v>
      </c>
      <c r="AG13" t="s">
        <v>97</v>
      </c>
      <c r="AH13" t="s">
        <v>240</v>
      </c>
      <c r="AI13">
        <v>8.4639654187265601E-2</v>
      </c>
      <c r="AK13" t="s">
        <v>145</v>
      </c>
      <c r="AL13">
        <v>0.18244762256583458</v>
      </c>
      <c r="AM13" t="s">
        <v>357</v>
      </c>
    </row>
    <row r="14" spans="1:39" x14ac:dyDescent="0.45">
      <c r="C14" t="s">
        <v>155</v>
      </c>
      <c r="D14" t="s">
        <v>156</v>
      </c>
      <c r="E14" t="s">
        <v>157</v>
      </c>
      <c r="F14" t="s">
        <v>150</v>
      </c>
      <c r="G14" t="s">
        <v>149</v>
      </c>
      <c r="I14" t="s">
        <v>236</v>
      </c>
      <c r="J14" t="s">
        <v>241</v>
      </c>
      <c r="K14">
        <v>2.5148696506666463E-3</v>
      </c>
      <c r="L14" t="s">
        <v>238</v>
      </c>
      <c r="N14" t="s">
        <v>346</v>
      </c>
      <c r="O14" t="s">
        <v>241</v>
      </c>
      <c r="P14">
        <v>7.4313732460396372E-3</v>
      </c>
      <c r="Q14" t="s">
        <v>238</v>
      </c>
      <c r="S14" t="s">
        <v>347</v>
      </c>
      <c r="T14" t="s">
        <v>241</v>
      </c>
      <c r="U14">
        <v>7.0672308248558137E-3</v>
      </c>
      <c r="V14" t="s">
        <v>238</v>
      </c>
      <c r="X14">
        <v>6.735159817351598E-3</v>
      </c>
      <c r="Y14">
        <v>8.6053584599192871E-3</v>
      </c>
      <c r="Z14" t="s">
        <v>241</v>
      </c>
      <c r="AA14" t="s">
        <v>25</v>
      </c>
      <c r="AC14" t="s">
        <v>22</v>
      </c>
      <c r="AD14" t="s">
        <v>241</v>
      </c>
      <c r="AE14">
        <v>9.323225878081709E-3</v>
      </c>
      <c r="AG14" t="s">
        <v>97</v>
      </c>
      <c r="AH14" t="s">
        <v>241</v>
      </c>
      <c r="AI14">
        <v>8.0333357720038912E-2</v>
      </c>
      <c r="AK14" t="s">
        <v>152</v>
      </c>
      <c r="AL14">
        <v>7.4790226397171353E-2</v>
      </c>
      <c r="AM14" t="s">
        <v>357</v>
      </c>
    </row>
    <row r="15" spans="1:39" x14ac:dyDescent="0.45">
      <c r="E15" t="s">
        <v>158</v>
      </c>
      <c r="G15" t="s">
        <v>149</v>
      </c>
      <c r="I15" t="s">
        <v>236</v>
      </c>
      <c r="J15" t="s">
        <v>242</v>
      </c>
      <c r="K15">
        <v>5.4922726320188048E-2</v>
      </c>
      <c r="L15" t="s">
        <v>238</v>
      </c>
      <c r="N15" t="s">
        <v>346</v>
      </c>
      <c r="O15" t="s">
        <v>242</v>
      </c>
      <c r="P15">
        <v>4.3114245149168305E-2</v>
      </c>
      <c r="Q15" t="s">
        <v>238</v>
      </c>
      <c r="S15" t="s">
        <v>347</v>
      </c>
      <c r="T15" t="s">
        <v>242</v>
      </c>
      <c r="U15">
        <v>4.2361321947580986E-2</v>
      </c>
      <c r="V15" t="s">
        <v>238</v>
      </c>
      <c r="X15">
        <v>4.041095890410959E-2</v>
      </c>
      <c r="Y15">
        <v>5.120188283651974E-2</v>
      </c>
      <c r="Z15" t="s">
        <v>242</v>
      </c>
      <c r="AA15" t="s">
        <v>25</v>
      </c>
      <c r="AC15" t="s">
        <v>22</v>
      </c>
      <c r="AD15" t="s">
        <v>242</v>
      </c>
      <c r="AE15">
        <v>5.6354898339289444E-2</v>
      </c>
      <c r="AG15" t="s">
        <v>97</v>
      </c>
      <c r="AH15" t="s">
        <v>242</v>
      </c>
      <c r="AI15">
        <v>8.5156903720867705E-2</v>
      </c>
    </row>
    <row r="16" spans="1:39" x14ac:dyDescent="0.45">
      <c r="E16" t="s">
        <v>159</v>
      </c>
      <c r="G16" t="s">
        <v>149</v>
      </c>
      <c r="I16" t="s">
        <v>236</v>
      </c>
      <c r="J16" t="s">
        <v>243</v>
      </c>
      <c r="K16">
        <v>7.6359461191081619E-3</v>
      </c>
      <c r="L16" t="s">
        <v>238</v>
      </c>
      <c r="N16" t="s">
        <v>346</v>
      </c>
      <c r="O16" t="s">
        <v>243</v>
      </c>
      <c r="P16">
        <v>7.1388004470522284E-3</v>
      </c>
      <c r="Q16" t="s">
        <v>238</v>
      </c>
      <c r="S16" t="s">
        <v>347</v>
      </c>
      <c r="T16" t="s">
        <v>243</v>
      </c>
      <c r="U16">
        <v>7.08732872355986E-3</v>
      </c>
      <c r="V16" t="s">
        <v>238</v>
      </c>
      <c r="X16">
        <v>6.735159817351598E-3</v>
      </c>
      <c r="Y16">
        <v>1.016996908899552E-2</v>
      </c>
      <c r="Z16" t="s">
        <v>243</v>
      </c>
      <c r="AA16" t="s">
        <v>25</v>
      </c>
      <c r="AC16" t="s">
        <v>22</v>
      </c>
      <c r="AD16" t="s">
        <v>243</v>
      </c>
      <c r="AE16">
        <v>9.4335915632671047E-3</v>
      </c>
      <c r="AG16" t="s">
        <v>97</v>
      </c>
      <c r="AH16" t="s">
        <v>243</v>
      </c>
      <c r="AI16">
        <v>8.31155395733576E-2</v>
      </c>
    </row>
    <row r="17" spans="5:35" x14ac:dyDescent="0.45">
      <c r="E17" t="s">
        <v>160</v>
      </c>
      <c r="G17" t="s">
        <v>149</v>
      </c>
      <c r="I17" t="s">
        <v>236</v>
      </c>
      <c r="J17" t="s">
        <v>244</v>
      </c>
      <c r="K17">
        <v>4.884449944847249E-3</v>
      </c>
      <c r="L17" t="s">
        <v>238</v>
      </c>
      <c r="N17" t="s">
        <v>346</v>
      </c>
      <c r="O17" t="s">
        <v>244</v>
      </c>
      <c r="P17">
        <v>7.1465471045658894E-3</v>
      </c>
      <c r="Q17" t="s">
        <v>238</v>
      </c>
      <c r="S17" t="s">
        <v>347</v>
      </c>
      <c r="T17" t="s">
        <v>244</v>
      </c>
      <c r="U17">
        <v>7.1736352625391417E-3</v>
      </c>
      <c r="V17" t="s">
        <v>238</v>
      </c>
      <c r="X17">
        <v>6.735159817351598E-3</v>
      </c>
      <c r="Y17">
        <v>1.3103614018513452E-2</v>
      </c>
      <c r="Z17" t="s">
        <v>244</v>
      </c>
      <c r="AA17" t="s">
        <v>25</v>
      </c>
      <c r="AC17" t="s">
        <v>22</v>
      </c>
      <c r="AD17" t="s">
        <v>244</v>
      </c>
      <c r="AE17">
        <v>9.6263596139477565E-3</v>
      </c>
      <c r="AG17" t="s">
        <v>97</v>
      </c>
      <c r="AH17" t="s">
        <v>244</v>
      </c>
      <c r="AI17">
        <v>7.9506794508142686E-2</v>
      </c>
    </row>
    <row r="18" spans="5:35" x14ac:dyDescent="0.45">
      <c r="E18" t="s">
        <v>161</v>
      </c>
      <c r="G18" t="s">
        <v>149</v>
      </c>
      <c r="I18" t="s">
        <v>236</v>
      </c>
      <c r="J18" t="s">
        <v>245</v>
      </c>
      <c r="K18">
        <v>1.8062387930995159E-3</v>
      </c>
      <c r="L18" t="s">
        <v>238</v>
      </c>
      <c r="N18" t="s">
        <v>346</v>
      </c>
      <c r="O18" t="s">
        <v>245</v>
      </c>
      <c r="P18">
        <v>7.2770367486697917E-3</v>
      </c>
      <c r="Q18" t="s">
        <v>238</v>
      </c>
      <c r="S18" t="s">
        <v>347</v>
      </c>
      <c r="T18" t="s">
        <v>245</v>
      </c>
      <c r="U18">
        <v>7.2869486355689019E-3</v>
      </c>
      <c r="V18" t="s">
        <v>238</v>
      </c>
      <c r="X18">
        <v>6.735159817351598E-3</v>
      </c>
      <c r="Y18">
        <v>1.3103614018513452E-2</v>
      </c>
      <c r="Z18" t="s">
        <v>245</v>
      </c>
      <c r="AA18" t="s">
        <v>25</v>
      </c>
      <c r="AC18" t="s">
        <v>22</v>
      </c>
      <c r="AD18" t="s">
        <v>245</v>
      </c>
      <c r="AE18">
        <v>9.6700816802201377E-3</v>
      </c>
      <c r="AG18" t="s">
        <v>97</v>
      </c>
      <c r="AH18" t="s">
        <v>245</v>
      </c>
      <c r="AI18">
        <v>8.0562479560222666E-2</v>
      </c>
    </row>
    <row r="19" spans="5:35" x14ac:dyDescent="0.45">
      <c r="E19" t="s">
        <v>162</v>
      </c>
      <c r="G19" t="s">
        <v>149</v>
      </c>
      <c r="I19" t="s">
        <v>236</v>
      </c>
      <c r="J19" t="s">
        <v>246</v>
      </c>
      <c r="K19">
        <v>1.260548737735539E-4</v>
      </c>
      <c r="L19" t="s">
        <v>238</v>
      </c>
      <c r="N19" t="s">
        <v>346</v>
      </c>
      <c r="O19" t="s">
        <v>246</v>
      </c>
      <c r="P19">
        <v>4.4361212419593996E-2</v>
      </c>
      <c r="Q19" t="s">
        <v>238</v>
      </c>
      <c r="S19" t="s">
        <v>347</v>
      </c>
      <c r="T19" t="s">
        <v>246</v>
      </c>
      <c r="U19">
        <v>4.3299572710980228E-2</v>
      </c>
      <c r="V19" t="s">
        <v>238</v>
      </c>
      <c r="X19">
        <v>4.041095890410959E-2</v>
      </c>
      <c r="Y19">
        <v>3.5594891811484314E-2</v>
      </c>
      <c r="Z19" t="s">
        <v>246</v>
      </c>
      <c r="AA19" t="s">
        <v>25</v>
      </c>
      <c r="AC19" t="s">
        <v>22</v>
      </c>
      <c r="AD19" t="s">
        <v>246</v>
      </c>
      <c r="AE19">
        <v>5.0177962677305961E-2</v>
      </c>
      <c r="AG19" t="s">
        <v>97</v>
      </c>
      <c r="AH19" t="s">
        <v>246</v>
      </c>
      <c r="AI19">
        <v>0.18372287613182636</v>
      </c>
    </row>
    <row r="20" spans="5:35" x14ac:dyDescent="0.45">
      <c r="E20" t="s">
        <v>163</v>
      </c>
      <c r="G20" t="s">
        <v>149</v>
      </c>
      <c r="I20" t="s">
        <v>236</v>
      </c>
      <c r="J20" t="s">
        <v>247</v>
      </c>
      <c r="K20">
        <v>8.3229830275678481E-3</v>
      </c>
      <c r="L20" t="s">
        <v>238</v>
      </c>
      <c r="N20" t="s">
        <v>346</v>
      </c>
      <c r="O20" t="s">
        <v>247</v>
      </c>
      <c r="P20">
        <v>0.15112973872752694</v>
      </c>
      <c r="Q20" t="s">
        <v>238</v>
      </c>
      <c r="S20" t="s">
        <v>347</v>
      </c>
      <c r="T20" t="s">
        <v>247</v>
      </c>
      <c r="U20">
        <v>0.15318678592498561</v>
      </c>
      <c r="V20" t="s">
        <v>238</v>
      </c>
      <c r="X20">
        <v>0.16575342465753426</v>
      </c>
      <c r="Y20">
        <v>3.5456993925531831E-2</v>
      </c>
      <c r="Z20" t="s">
        <v>247</v>
      </c>
      <c r="AA20" t="s">
        <v>25</v>
      </c>
      <c r="AC20" t="s">
        <v>22</v>
      </c>
      <c r="AD20" t="s">
        <v>247</v>
      </c>
      <c r="AE20">
        <v>0.11031054466637685</v>
      </c>
      <c r="AG20" t="s">
        <v>97</v>
      </c>
      <c r="AH20" t="s">
        <v>247</v>
      </c>
      <c r="AI20">
        <v>0.42391859257993736</v>
      </c>
    </row>
    <row r="21" spans="5:35" x14ac:dyDescent="0.45">
      <c r="E21" t="s">
        <v>164</v>
      </c>
      <c r="G21" t="s">
        <v>149</v>
      </c>
      <c r="I21" t="s">
        <v>236</v>
      </c>
      <c r="J21" t="s">
        <v>248</v>
      </c>
      <c r="K21">
        <v>2.4893194534100934E-2</v>
      </c>
      <c r="L21" t="s">
        <v>238</v>
      </c>
      <c r="N21" t="s">
        <v>346</v>
      </c>
      <c r="O21" t="s">
        <v>248</v>
      </c>
      <c r="P21">
        <v>2.4420201523289841E-2</v>
      </c>
      <c r="Q21" t="s">
        <v>238</v>
      </c>
      <c r="S21" t="s">
        <v>347</v>
      </c>
      <c r="T21" t="s">
        <v>248</v>
      </c>
      <c r="U21">
        <v>2.510308112473569E-2</v>
      </c>
      <c r="V21" t="s">
        <v>238</v>
      </c>
      <c r="X21">
        <v>2.7625570776255708E-2</v>
      </c>
      <c r="Y21">
        <v>4.0911916067921335E-2</v>
      </c>
      <c r="Z21" t="s">
        <v>248</v>
      </c>
      <c r="AA21" t="s">
        <v>25</v>
      </c>
      <c r="AC21" t="s">
        <v>22</v>
      </c>
      <c r="AD21" t="s">
        <v>248</v>
      </c>
      <c r="AE21">
        <v>2.5949595350270666E-2</v>
      </c>
      <c r="AG21" t="s">
        <v>97</v>
      </c>
      <c r="AH21" t="s">
        <v>248</v>
      </c>
      <c r="AI21">
        <v>0.30993022896905531</v>
      </c>
    </row>
    <row r="22" spans="5:35" x14ac:dyDescent="0.45">
      <c r="E22" t="s">
        <v>165</v>
      </c>
      <c r="G22" t="s">
        <v>149</v>
      </c>
      <c r="I22" t="s">
        <v>236</v>
      </c>
      <c r="J22" t="s">
        <v>249</v>
      </c>
      <c r="K22">
        <v>4.4363807154675181E-2</v>
      </c>
      <c r="L22" t="s">
        <v>238</v>
      </c>
      <c r="N22" t="s">
        <v>346</v>
      </c>
      <c r="O22" t="s">
        <v>249</v>
      </c>
      <c r="P22">
        <v>2.3848046712688788E-2</v>
      </c>
      <c r="Q22" t="s">
        <v>238</v>
      </c>
      <c r="S22" t="s">
        <v>347</v>
      </c>
      <c r="T22" t="s">
        <v>249</v>
      </c>
      <c r="U22">
        <v>2.5071264515625961E-2</v>
      </c>
      <c r="V22" t="s">
        <v>238</v>
      </c>
      <c r="X22">
        <v>2.7625570776255708E-2</v>
      </c>
      <c r="Y22">
        <v>4.6126179880499538E-2</v>
      </c>
      <c r="Z22" t="s">
        <v>249</v>
      </c>
      <c r="AA22" t="s">
        <v>25</v>
      </c>
      <c r="AC22" t="s">
        <v>22</v>
      </c>
      <c r="AD22" t="s">
        <v>249</v>
      </c>
      <c r="AE22">
        <v>2.8476406319171286E-2</v>
      </c>
      <c r="AG22" t="s">
        <v>97</v>
      </c>
      <c r="AH22" t="s">
        <v>249</v>
      </c>
      <c r="AI22">
        <v>0.2818559324690264</v>
      </c>
    </row>
    <row r="23" spans="5:35" x14ac:dyDescent="0.45">
      <c r="E23" t="s">
        <v>166</v>
      </c>
      <c r="G23" t="s">
        <v>149</v>
      </c>
      <c r="I23" t="s">
        <v>236</v>
      </c>
      <c r="J23" t="s">
        <v>250</v>
      </c>
      <c r="K23">
        <v>6.182736901387724E-2</v>
      </c>
      <c r="L23" t="s">
        <v>238</v>
      </c>
      <c r="N23" t="s">
        <v>346</v>
      </c>
      <c r="O23" t="s">
        <v>250</v>
      </c>
      <c r="P23">
        <v>2.3493409932507474E-2</v>
      </c>
      <c r="Q23" t="s">
        <v>238</v>
      </c>
      <c r="S23" t="s">
        <v>347</v>
      </c>
      <c r="T23" t="s">
        <v>250</v>
      </c>
      <c r="U23">
        <v>2.5112708862370652E-2</v>
      </c>
      <c r="V23" t="s">
        <v>238</v>
      </c>
      <c r="X23">
        <v>2.7625570776255708E-2</v>
      </c>
      <c r="Y23">
        <v>3.5296555038990964E-2</v>
      </c>
      <c r="Z23" t="s">
        <v>250</v>
      </c>
      <c r="AA23" t="s">
        <v>25</v>
      </c>
      <c r="AC23" t="s">
        <v>22</v>
      </c>
      <c r="AD23" t="s">
        <v>250</v>
      </c>
      <c r="AE23">
        <v>2.9894154653014218E-2</v>
      </c>
      <c r="AG23" t="s">
        <v>97</v>
      </c>
      <c r="AH23" t="s">
        <v>250</v>
      </c>
      <c r="AI23">
        <v>0.26879430934680992</v>
      </c>
    </row>
    <row r="24" spans="5:35" x14ac:dyDescent="0.45">
      <c r="E24" t="s">
        <v>167</v>
      </c>
      <c r="G24" t="s">
        <v>149</v>
      </c>
      <c r="I24" t="s">
        <v>236</v>
      </c>
      <c r="J24" t="s">
        <v>251</v>
      </c>
      <c r="K24">
        <v>0.49361830823160197</v>
      </c>
      <c r="L24" t="s">
        <v>238</v>
      </c>
      <c r="N24" t="s">
        <v>346</v>
      </c>
      <c r="O24" t="s">
        <v>251</v>
      </c>
      <c r="P24">
        <v>0.14336932591514562</v>
      </c>
      <c r="Q24" t="s">
        <v>238</v>
      </c>
      <c r="S24" t="s">
        <v>347</v>
      </c>
      <c r="T24" t="s">
        <v>251</v>
      </c>
      <c r="U24">
        <v>0.14689468986431845</v>
      </c>
      <c r="V24" t="s">
        <v>238</v>
      </c>
      <c r="X24">
        <v>0.16575342465753426</v>
      </c>
      <c r="Y24">
        <v>0.21001450248199624</v>
      </c>
      <c r="Z24" t="s">
        <v>251</v>
      </c>
      <c r="AA24" t="s">
        <v>25</v>
      </c>
      <c r="AC24" t="s">
        <v>22</v>
      </c>
      <c r="AD24" t="s">
        <v>251</v>
      </c>
      <c r="AE24">
        <v>0.17871759541137983</v>
      </c>
      <c r="AG24" t="s">
        <v>97</v>
      </c>
      <c r="AH24" t="s">
        <v>251</v>
      </c>
      <c r="AI24">
        <v>0.26455733627799094</v>
      </c>
    </row>
    <row r="25" spans="5:35" x14ac:dyDescent="0.45">
      <c r="E25" t="s">
        <v>168</v>
      </c>
      <c r="G25" t="s">
        <v>149</v>
      </c>
      <c r="I25" t="s">
        <v>236</v>
      </c>
      <c r="J25" t="s">
        <v>252</v>
      </c>
      <c r="K25">
        <v>7.3525463297923671E-2</v>
      </c>
      <c r="L25" t="s">
        <v>238</v>
      </c>
      <c r="N25" t="s">
        <v>346</v>
      </c>
      <c r="O25" t="s">
        <v>252</v>
      </c>
      <c r="P25">
        <v>2.5172356487116698E-2</v>
      </c>
      <c r="Q25" t="s">
        <v>238</v>
      </c>
      <c r="S25" t="s">
        <v>347</v>
      </c>
      <c r="T25" t="s">
        <v>252</v>
      </c>
      <c r="U25">
        <v>2.5371782215658834E-2</v>
      </c>
      <c r="V25" t="s">
        <v>238</v>
      </c>
      <c r="X25">
        <v>2.7625570776255708E-2</v>
      </c>
      <c r="Y25">
        <v>4.1714110500625672E-2</v>
      </c>
      <c r="Z25" t="s">
        <v>252</v>
      </c>
      <c r="AA25" t="s">
        <v>25</v>
      </c>
      <c r="AC25" t="s">
        <v>22</v>
      </c>
      <c r="AD25" t="s">
        <v>252</v>
      </c>
      <c r="AE25">
        <v>2.9447893778082268E-2</v>
      </c>
      <c r="AG25" t="s">
        <v>97</v>
      </c>
      <c r="AH25" t="s">
        <v>252</v>
      </c>
      <c r="AI25">
        <v>0.2759416335963556</v>
      </c>
    </row>
    <row r="26" spans="5:35" x14ac:dyDescent="0.45">
      <c r="E26" t="s">
        <v>169</v>
      </c>
      <c r="G26" t="s">
        <v>149</v>
      </c>
      <c r="I26" t="s">
        <v>236</v>
      </c>
      <c r="J26" t="s">
        <v>253</v>
      </c>
      <c r="K26">
        <v>6.151816680087039E-2</v>
      </c>
      <c r="L26" t="s">
        <v>238</v>
      </c>
      <c r="N26" t="s">
        <v>346</v>
      </c>
      <c r="O26" t="s">
        <v>253</v>
      </c>
      <c r="P26">
        <v>2.4779436314587164E-2</v>
      </c>
      <c r="Q26" t="s">
        <v>238</v>
      </c>
      <c r="S26" t="s">
        <v>347</v>
      </c>
      <c r="T26" t="s">
        <v>253</v>
      </c>
      <c r="U26">
        <v>2.5629965853655776E-2</v>
      </c>
      <c r="V26" t="s">
        <v>238</v>
      </c>
      <c r="X26">
        <v>2.7625570776255708E-2</v>
      </c>
      <c r="Y26">
        <v>5.3747026991190792E-2</v>
      </c>
      <c r="Z26" t="s">
        <v>253</v>
      </c>
      <c r="AA26" t="s">
        <v>25</v>
      </c>
      <c r="AC26" t="s">
        <v>22</v>
      </c>
      <c r="AD26" t="s">
        <v>253</v>
      </c>
      <c r="AE26">
        <v>2.9559153739174112E-2</v>
      </c>
      <c r="AG26" t="s">
        <v>97</v>
      </c>
      <c r="AH26" t="s">
        <v>253</v>
      </c>
      <c r="AI26">
        <v>0.28495402863912833</v>
      </c>
    </row>
    <row r="27" spans="5:35" x14ac:dyDescent="0.45">
      <c r="E27" t="s">
        <v>170</v>
      </c>
      <c r="G27" t="s">
        <v>149</v>
      </c>
      <c r="I27" t="s">
        <v>236</v>
      </c>
      <c r="J27" t="s">
        <v>254</v>
      </c>
      <c r="K27">
        <v>4.5875630665161454E-2</v>
      </c>
      <c r="L27" t="s">
        <v>238</v>
      </c>
      <c r="N27" t="s">
        <v>346</v>
      </c>
      <c r="O27" t="s">
        <v>254</v>
      </c>
      <c r="P27">
        <v>2.4422073464856017E-2</v>
      </c>
      <c r="Q27" t="s">
        <v>238</v>
      </c>
      <c r="S27" t="s">
        <v>347</v>
      </c>
      <c r="T27" t="s">
        <v>254</v>
      </c>
      <c r="U27">
        <v>2.5734032035298383E-2</v>
      </c>
      <c r="V27" t="s">
        <v>238</v>
      </c>
      <c r="X27">
        <v>2.7625570776255708E-2</v>
      </c>
      <c r="Y27">
        <v>5.3747026991190792E-2</v>
      </c>
      <c r="Z27" t="s">
        <v>254</v>
      </c>
      <c r="AA27" t="s">
        <v>25</v>
      </c>
      <c r="AC27" t="s">
        <v>22</v>
      </c>
      <c r="AD27" t="s">
        <v>254</v>
      </c>
      <c r="AE27">
        <v>2.9664191030416912E-2</v>
      </c>
      <c r="AG27" t="s">
        <v>97</v>
      </c>
      <c r="AH27" t="s">
        <v>254</v>
      </c>
      <c r="AI27">
        <v>0.28501368446474418</v>
      </c>
    </row>
    <row r="28" spans="5:35" x14ac:dyDescent="0.45">
      <c r="E28" t="s">
        <v>171</v>
      </c>
      <c r="G28" t="s">
        <v>149</v>
      </c>
      <c r="I28" t="s">
        <v>236</v>
      </c>
      <c r="J28" t="s">
        <v>255</v>
      </c>
      <c r="K28">
        <v>4.3063056568050637E-2</v>
      </c>
      <c r="L28" t="s">
        <v>238</v>
      </c>
      <c r="N28" t="s">
        <v>346</v>
      </c>
      <c r="O28" t="s">
        <v>255</v>
      </c>
      <c r="P28">
        <v>0.15574390086788578</v>
      </c>
      <c r="Q28" t="s">
        <v>238</v>
      </c>
      <c r="S28" t="s">
        <v>347</v>
      </c>
      <c r="T28" t="s">
        <v>255</v>
      </c>
      <c r="U28">
        <v>0.15682909364155001</v>
      </c>
      <c r="V28" t="s">
        <v>238</v>
      </c>
      <c r="X28">
        <v>0.16575342465753426</v>
      </c>
      <c r="Y28">
        <v>0.14599938675218987</v>
      </c>
      <c r="Z28" t="s">
        <v>255</v>
      </c>
      <c r="AA28" t="s">
        <v>25</v>
      </c>
      <c r="AC28" t="s">
        <v>22</v>
      </c>
      <c r="AD28" t="s">
        <v>255</v>
      </c>
      <c r="AE28">
        <v>0.15308218769021983</v>
      </c>
      <c r="AG28" t="s">
        <v>97</v>
      </c>
      <c r="AH28" t="s">
        <v>255</v>
      </c>
      <c r="AI28">
        <v>0.39866563458525506</v>
      </c>
    </row>
    <row r="29" spans="5:35" x14ac:dyDescent="0.45">
      <c r="E29" t="s">
        <v>172</v>
      </c>
      <c r="G29" t="s">
        <v>149</v>
      </c>
      <c r="I29" t="s">
        <v>236</v>
      </c>
      <c r="J29" t="s">
        <v>256</v>
      </c>
      <c r="K29">
        <v>0</v>
      </c>
      <c r="L29" t="s">
        <v>238</v>
      </c>
      <c r="N29" t="s">
        <v>346</v>
      </c>
      <c r="O29" t="s">
        <v>256</v>
      </c>
      <c r="P29">
        <v>3.5652081652399689E-5</v>
      </c>
      <c r="Q29" t="s">
        <v>238</v>
      </c>
      <c r="S29" t="s">
        <v>347</v>
      </c>
      <c r="T29" t="s">
        <v>256</v>
      </c>
      <c r="U29">
        <v>6.1558372424228198E-5</v>
      </c>
      <c r="V29" t="s">
        <v>238</v>
      </c>
      <c r="X29">
        <v>1.1415525114155251E-4</v>
      </c>
      <c r="Y29">
        <v>2.1546544680075254E-5</v>
      </c>
      <c r="Z29" t="s">
        <v>256</v>
      </c>
      <c r="AA29" t="s">
        <v>25</v>
      </c>
      <c r="AC29" t="s">
        <v>22</v>
      </c>
      <c r="AD29" t="s">
        <v>256</v>
      </c>
      <c r="AE29">
        <v>1.1043564077295478E-4</v>
      </c>
      <c r="AG29" t="s">
        <v>97</v>
      </c>
      <c r="AH29" t="s">
        <v>256</v>
      </c>
      <c r="AI29">
        <v>0</v>
      </c>
    </row>
    <row r="30" spans="5:35" x14ac:dyDescent="0.45">
      <c r="E30" t="s">
        <v>173</v>
      </c>
      <c r="G30" t="s">
        <v>149</v>
      </c>
      <c r="I30" t="s">
        <v>236</v>
      </c>
      <c r="J30" t="s">
        <v>257</v>
      </c>
      <c r="K30">
        <v>0</v>
      </c>
      <c r="L30" t="s">
        <v>238</v>
      </c>
      <c r="N30" t="s">
        <v>346</v>
      </c>
      <c r="O30" t="s">
        <v>257</v>
      </c>
      <c r="P30">
        <v>3.9713110204440548E-5</v>
      </c>
      <c r="Q30" t="s">
        <v>238</v>
      </c>
      <c r="S30" t="s">
        <v>347</v>
      </c>
      <c r="T30" t="s">
        <v>257</v>
      </c>
      <c r="U30">
        <v>7.6320426594718847E-5</v>
      </c>
      <c r="V30" t="s">
        <v>238</v>
      </c>
      <c r="X30">
        <v>1.1415525114155251E-4</v>
      </c>
      <c r="Y30">
        <v>1.4916838624667481E-5</v>
      </c>
      <c r="Z30" t="s">
        <v>257</v>
      </c>
      <c r="AA30" t="s">
        <v>25</v>
      </c>
      <c r="AC30" t="s">
        <v>22</v>
      </c>
      <c r="AD30" t="s">
        <v>257</v>
      </c>
      <c r="AE30">
        <v>1.0917448244334632E-4</v>
      </c>
      <c r="AG30" t="s">
        <v>97</v>
      </c>
      <c r="AH30" t="s">
        <v>257</v>
      </c>
      <c r="AI30">
        <v>0</v>
      </c>
    </row>
    <row r="31" spans="5:35" x14ac:dyDescent="0.45">
      <c r="E31" t="s">
        <v>174</v>
      </c>
      <c r="G31" t="s">
        <v>149</v>
      </c>
      <c r="I31" t="s">
        <v>236</v>
      </c>
      <c r="J31" t="s">
        <v>258</v>
      </c>
      <c r="K31">
        <v>0</v>
      </c>
      <c r="L31" t="s">
        <v>238</v>
      </c>
      <c r="N31" t="s">
        <v>346</v>
      </c>
      <c r="O31" t="s">
        <v>258</v>
      </c>
      <c r="P31">
        <v>4.388545360839228E-5</v>
      </c>
      <c r="Q31" t="s">
        <v>238</v>
      </c>
      <c r="S31" t="s">
        <v>347</v>
      </c>
      <c r="T31" t="s">
        <v>258</v>
      </c>
      <c r="U31">
        <v>8.6871007132757088E-5</v>
      </c>
      <c r="V31" t="s">
        <v>238</v>
      </c>
      <c r="X31">
        <v>1.1415525114155251E-4</v>
      </c>
      <c r="Y31">
        <v>1.6574265138519424E-5</v>
      </c>
      <c r="Z31" t="s">
        <v>258</v>
      </c>
      <c r="AA31" t="s">
        <v>25</v>
      </c>
      <c r="AC31" t="s">
        <v>22</v>
      </c>
      <c r="AD31" t="s">
        <v>258</v>
      </c>
      <c r="AE31">
        <v>1.0857256596785138E-4</v>
      </c>
      <c r="AG31" t="s">
        <v>97</v>
      </c>
      <c r="AH31" t="s">
        <v>258</v>
      </c>
      <c r="AI31">
        <v>0</v>
      </c>
    </row>
    <row r="32" spans="5:35" x14ac:dyDescent="0.45">
      <c r="E32" t="s">
        <v>175</v>
      </c>
      <c r="G32" t="s">
        <v>149</v>
      </c>
      <c r="I32" t="s">
        <v>236</v>
      </c>
      <c r="J32" t="s">
        <v>259</v>
      </c>
      <c r="K32">
        <v>0</v>
      </c>
      <c r="L32" t="s">
        <v>238</v>
      </c>
      <c r="N32" t="s">
        <v>346</v>
      </c>
      <c r="O32" t="s">
        <v>259</v>
      </c>
      <c r="P32">
        <v>4.8526825622038661E-5</v>
      </c>
      <c r="Q32" t="s">
        <v>238</v>
      </c>
      <c r="S32" t="s">
        <v>347</v>
      </c>
      <c r="T32" t="s">
        <v>259</v>
      </c>
      <c r="U32">
        <v>9.2191533240804294E-5</v>
      </c>
      <c r="V32" t="s">
        <v>238</v>
      </c>
      <c r="X32">
        <v>1.1415525114155251E-4</v>
      </c>
      <c r="Y32">
        <v>1.4585353321897093E-5</v>
      </c>
      <c r="Z32" t="s">
        <v>259</v>
      </c>
      <c r="AA32" t="s">
        <v>25</v>
      </c>
      <c r="AC32" t="s">
        <v>22</v>
      </c>
      <c r="AD32" t="s">
        <v>259</v>
      </c>
      <c r="AE32">
        <v>1.0886779166773699E-4</v>
      </c>
      <c r="AG32" t="s">
        <v>97</v>
      </c>
      <c r="AH32" t="s">
        <v>259</v>
      </c>
      <c r="AI32">
        <v>0</v>
      </c>
    </row>
    <row r="33" spans="5:35" x14ac:dyDescent="0.45">
      <c r="E33" t="s">
        <v>176</v>
      </c>
      <c r="G33" t="s">
        <v>149</v>
      </c>
      <c r="I33" t="s">
        <v>236</v>
      </c>
      <c r="J33" t="s">
        <v>260</v>
      </c>
      <c r="K33">
        <v>0</v>
      </c>
      <c r="L33" t="s">
        <v>238</v>
      </c>
      <c r="N33" t="s">
        <v>346</v>
      </c>
      <c r="O33" t="s">
        <v>260</v>
      </c>
      <c r="P33">
        <v>5.2038480303231322E-5</v>
      </c>
      <c r="Q33" t="s">
        <v>238</v>
      </c>
      <c r="S33" t="s">
        <v>347</v>
      </c>
      <c r="T33" t="s">
        <v>260</v>
      </c>
      <c r="U33">
        <v>8.6859863293397912E-5</v>
      </c>
      <c r="V33" t="s">
        <v>238</v>
      </c>
      <c r="X33">
        <v>1.1415525114155251E-4</v>
      </c>
      <c r="Y33">
        <v>2.1215059377304864E-5</v>
      </c>
      <c r="Z33" t="s">
        <v>260</v>
      </c>
      <c r="AA33" t="s">
        <v>25</v>
      </c>
      <c r="AC33" t="s">
        <v>22</v>
      </c>
      <c r="AD33" t="s">
        <v>260</v>
      </c>
      <c r="AE33">
        <v>1.1727455844214976E-4</v>
      </c>
      <c r="AG33" t="s">
        <v>97</v>
      </c>
      <c r="AH33" t="s">
        <v>260</v>
      </c>
      <c r="AI33">
        <v>0</v>
      </c>
    </row>
    <row r="34" spans="5:35" x14ac:dyDescent="0.45">
      <c r="E34" t="s">
        <v>177</v>
      </c>
      <c r="G34" t="s">
        <v>149</v>
      </c>
      <c r="I34" t="s">
        <v>236</v>
      </c>
      <c r="J34" t="s">
        <v>261</v>
      </c>
      <c r="K34">
        <v>0</v>
      </c>
      <c r="L34" t="s">
        <v>238</v>
      </c>
      <c r="N34" t="s">
        <v>346</v>
      </c>
      <c r="O34" t="s">
        <v>261</v>
      </c>
      <c r="P34">
        <v>5.5660246631562421E-5</v>
      </c>
      <c r="Q34" t="s">
        <v>238</v>
      </c>
      <c r="S34" t="s">
        <v>347</v>
      </c>
      <c r="T34" t="s">
        <v>261</v>
      </c>
      <c r="U34">
        <v>7.8731370190520899E-5</v>
      </c>
      <c r="V34" t="s">
        <v>238</v>
      </c>
      <c r="X34">
        <v>1.1415525114155251E-4</v>
      </c>
      <c r="Y34">
        <v>5.7678442682047593E-5</v>
      </c>
      <c r="Z34" t="s">
        <v>261</v>
      </c>
      <c r="AA34" t="s">
        <v>25</v>
      </c>
      <c r="AC34" t="s">
        <v>22</v>
      </c>
      <c r="AD34" t="s">
        <v>261</v>
      </c>
      <c r="AE34">
        <v>1.4602896835722265E-4</v>
      </c>
      <c r="AG34" t="s">
        <v>97</v>
      </c>
      <c r="AH34" t="s">
        <v>261</v>
      </c>
      <c r="AI34">
        <v>0</v>
      </c>
    </row>
    <row r="35" spans="5:35" x14ac:dyDescent="0.45">
      <c r="E35" t="s">
        <v>178</v>
      </c>
      <c r="G35" t="s">
        <v>153</v>
      </c>
      <c r="I35" t="s">
        <v>236</v>
      </c>
      <c r="J35" t="s">
        <v>262</v>
      </c>
      <c r="K35">
        <v>0</v>
      </c>
      <c r="L35" t="s">
        <v>238</v>
      </c>
      <c r="N35" t="s">
        <v>346</v>
      </c>
      <c r="O35" t="s">
        <v>262</v>
      </c>
      <c r="P35">
        <v>5.5095277086408587E-5</v>
      </c>
      <c r="Q35" t="s">
        <v>238</v>
      </c>
      <c r="S35" t="s">
        <v>347</v>
      </c>
      <c r="T35" t="s">
        <v>262</v>
      </c>
      <c r="U35">
        <v>7.173181044515266E-5</v>
      </c>
      <c r="V35" t="s">
        <v>238</v>
      </c>
      <c r="X35">
        <v>1.1415525114155251E-4</v>
      </c>
      <c r="Y35">
        <v>1.6905750441289813E-4</v>
      </c>
      <c r="Z35" t="s">
        <v>262</v>
      </c>
      <c r="AA35" t="s">
        <v>25</v>
      </c>
      <c r="AC35" t="s">
        <v>22</v>
      </c>
      <c r="AD35" t="s">
        <v>262</v>
      </c>
      <c r="AE35">
        <v>1.6909956698226472E-4</v>
      </c>
      <c r="AG35" t="s">
        <v>97</v>
      </c>
      <c r="AH35" t="s">
        <v>262</v>
      </c>
      <c r="AI35">
        <v>0</v>
      </c>
    </row>
    <row r="36" spans="5:35" x14ac:dyDescent="0.45">
      <c r="E36" t="s">
        <v>179</v>
      </c>
      <c r="G36" t="s">
        <v>153</v>
      </c>
      <c r="I36" t="s">
        <v>236</v>
      </c>
      <c r="J36" t="s">
        <v>263</v>
      </c>
      <c r="K36">
        <v>9.6738363955163839E-5</v>
      </c>
      <c r="L36" t="s">
        <v>238</v>
      </c>
      <c r="N36" t="s">
        <v>346</v>
      </c>
      <c r="O36" t="s">
        <v>263</v>
      </c>
      <c r="P36">
        <v>4.6774858887348148E-5</v>
      </c>
      <c r="Q36" t="s">
        <v>238</v>
      </c>
      <c r="S36" t="s">
        <v>347</v>
      </c>
      <c r="T36" t="s">
        <v>263</v>
      </c>
      <c r="U36">
        <v>6.5059299768047789E-5</v>
      </c>
      <c r="V36" t="s">
        <v>238</v>
      </c>
      <c r="X36">
        <v>1.1415525114155251E-4</v>
      </c>
      <c r="Y36">
        <v>1.9060404909297337E-4</v>
      </c>
      <c r="Z36" t="s">
        <v>263</v>
      </c>
      <c r="AA36" t="s">
        <v>25</v>
      </c>
      <c r="AC36" t="s">
        <v>22</v>
      </c>
      <c r="AD36" t="s">
        <v>263</v>
      </c>
      <c r="AE36">
        <v>1.7695314385300829E-4</v>
      </c>
      <c r="AG36" t="s">
        <v>97</v>
      </c>
      <c r="AH36" t="s">
        <v>263</v>
      </c>
      <c r="AI36">
        <v>0</v>
      </c>
    </row>
    <row r="37" spans="5:35" x14ac:dyDescent="0.45">
      <c r="E37" t="s">
        <v>180</v>
      </c>
      <c r="G37" t="s">
        <v>153</v>
      </c>
      <c r="I37" t="s">
        <v>236</v>
      </c>
      <c r="J37" t="s">
        <v>264</v>
      </c>
      <c r="K37">
        <v>2.1982958219030001E-4</v>
      </c>
      <c r="L37" t="s">
        <v>238</v>
      </c>
      <c r="N37" t="s">
        <v>346</v>
      </c>
      <c r="O37" t="s">
        <v>264</v>
      </c>
      <c r="P37">
        <v>3.6578512757888986E-5</v>
      </c>
      <c r="Q37" t="s">
        <v>238</v>
      </c>
      <c r="S37" t="s">
        <v>347</v>
      </c>
      <c r="T37" t="s">
        <v>264</v>
      </c>
      <c r="U37">
        <v>5.6688946969197641E-5</v>
      </c>
      <c r="V37" t="s">
        <v>238</v>
      </c>
      <c r="X37">
        <v>1.1415525114155251E-4</v>
      </c>
      <c r="Y37">
        <v>1.4585353321897094E-4</v>
      </c>
      <c r="Z37" t="s">
        <v>264</v>
      </c>
      <c r="AA37" t="s">
        <v>25</v>
      </c>
      <c r="AC37" t="s">
        <v>22</v>
      </c>
      <c r="AD37" t="s">
        <v>264</v>
      </c>
      <c r="AE37">
        <v>1.8216402076943599E-4</v>
      </c>
      <c r="AG37" t="s">
        <v>97</v>
      </c>
      <c r="AH37" t="s">
        <v>264</v>
      </c>
      <c r="AI37">
        <v>0</v>
      </c>
    </row>
    <row r="38" spans="5:35" x14ac:dyDescent="0.45">
      <c r="E38" t="s">
        <v>181</v>
      </c>
      <c r="G38" t="s">
        <v>153</v>
      </c>
      <c r="I38" t="s">
        <v>236</v>
      </c>
      <c r="J38" t="s">
        <v>265</v>
      </c>
      <c r="K38">
        <v>3.0528512119319998E-4</v>
      </c>
      <c r="L38" t="s">
        <v>238</v>
      </c>
      <c r="N38" t="s">
        <v>346</v>
      </c>
      <c r="O38" t="s">
        <v>265</v>
      </c>
      <c r="P38">
        <v>3.496831591591123E-5</v>
      </c>
      <c r="Q38" t="s">
        <v>238</v>
      </c>
      <c r="S38" t="s">
        <v>347</v>
      </c>
      <c r="T38" t="s">
        <v>265</v>
      </c>
      <c r="U38">
        <v>4.8114007131497203E-5</v>
      </c>
      <c r="V38" t="s">
        <v>238</v>
      </c>
      <c r="X38">
        <v>1.1415525114155251E-4</v>
      </c>
      <c r="Y38">
        <v>1.4452759200788939E-4</v>
      </c>
      <c r="Z38" t="s">
        <v>265</v>
      </c>
      <c r="AA38" t="s">
        <v>25</v>
      </c>
      <c r="AC38" t="s">
        <v>22</v>
      </c>
      <c r="AD38" t="s">
        <v>265</v>
      </c>
      <c r="AE38">
        <v>1.7980508143928197E-4</v>
      </c>
      <c r="AG38" t="s">
        <v>97</v>
      </c>
      <c r="AH38" t="s">
        <v>265</v>
      </c>
      <c r="AI38">
        <v>0</v>
      </c>
    </row>
    <row r="39" spans="5:35" x14ac:dyDescent="0.45">
      <c r="E39" t="s">
        <v>182</v>
      </c>
      <c r="G39" t="s">
        <v>153</v>
      </c>
      <c r="I39" t="s">
        <v>236</v>
      </c>
      <c r="J39" t="s">
        <v>266</v>
      </c>
      <c r="K39">
        <v>3.6325226283629998E-4</v>
      </c>
      <c r="L39" t="s">
        <v>238</v>
      </c>
      <c r="N39" t="s">
        <v>346</v>
      </c>
      <c r="O39" t="s">
        <v>266</v>
      </c>
      <c r="P39">
        <v>2.095680400271489E-5</v>
      </c>
      <c r="Q39" t="s">
        <v>238</v>
      </c>
      <c r="S39" t="s">
        <v>347</v>
      </c>
      <c r="T39" t="s">
        <v>266</v>
      </c>
      <c r="U39">
        <v>3.3882269706545399E-5</v>
      </c>
      <c r="V39" t="s">
        <v>238</v>
      </c>
      <c r="X39">
        <v>1.1415525114155251E-4</v>
      </c>
      <c r="Y39">
        <v>1.408812536774151E-4</v>
      </c>
      <c r="Z39" t="s">
        <v>266</v>
      </c>
      <c r="AA39" t="s">
        <v>25</v>
      </c>
      <c r="AC39" t="s">
        <v>22</v>
      </c>
      <c r="AD39" t="s">
        <v>266</v>
      </c>
      <c r="AE39">
        <v>1.7906845032403341E-4</v>
      </c>
      <c r="AG39" t="s">
        <v>97</v>
      </c>
      <c r="AH39" t="s">
        <v>266</v>
      </c>
      <c r="AI39">
        <v>0</v>
      </c>
    </row>
    <row r="40" spans="5:35" x14ac:dyDescent="0.45">
      <c r="E40" t="s">
        <v>183</v>
      </c>
      <c r="G40" t="s">
        <v>153</v>
      </c>
      <c r="I40" t="s">
        <v>236</v>
      </c>
      <c r="J40" t="s">
        <v>267</v>
      </c>
      <c r="K40">
        <v>3.8839823371310001E-4</v>
      </c>
      <c r="L40" t="s">
        <v>238</v>
      </c>
      <c r="N40" t="s">
        <v>346</v>
      </c>
      <c r="O40" t="s">
        <v>267</v>
      </c>
      <c r="P40">
        <v>2.7689716754143029E-5</v>
      </c>
      <c r="Q40" t="s">
        <v>238</v>
      </c>
      <c r="S40" t="s">
        <v>347</v>
      </c>
      <c r="T40" t="s">
        <v>267</v>
      </c>
      <c r="U40">
        <v>4.9343774435412105E-5</v>
      </c>
      <c r="V40" t="s">
        <v>238</v>
      </c>
      <c r="X40">
        <v>1.1415525114155251E-4</v>
      </c>
      <c r="Y40">
        <v>1.4054976837464471E-4</v>
      </c>
      <c r="Z40" t="s">
        <v>267</v>
      </c>
      <c r="AA40" t="s">
        <v>25</v>
      </c>
      <c r="AC40" t="s">
        <v>22</v>
      </c>
      <c r="AD40" t="s">
        <v>267</v>
      </c>
      <c r="AE40">
        <v>1.7831175532626834E-4</v>
      </c>
      <c r="AG40" t="s">
        <v>97</v>
      </c>
      <c r="AH40" t="s">
        <v>267</v>
      </c>
      <c r="AI40">
        <v>0</v>
      </c>
    </row>
    <row r="41" spans="5:35" x14ac:dyDescent="0.45">
      <c r="E41" t="s">
        <v>184</v>
      </c>
      <c r="G41" t="s">
        <v>153</v>
      </c>
      <c r="I41" t="s">
        <v>236</v>
      </c>
      <c r="J41" t="s">
        <v>268</v>
      </c>
      <c r="K41">
        <v>3.7820798317940001E-4</v>
      </c>
      <c r="L41" t="s">
        <v>238</v>
      </c>
      <c r="N41" t="s">
        <v>346</v>
      </c>
      <c r="O41" t="s">
        <v>268</v>
      </c>
      <c r="P41">
        <v>3.926105674971314E-5</v>
      </c>
      <c r="Q41" t="s">
        <v>238</v>
      </c>
      <c r="S41" t="s">
        <v>347</v>
      </c>
      <c r="T41" t="s">
        <v>268</v>
      </c>
      <c r="U41">
        <v>5.131630600100315E-5</v>
      </c>
      <c r="V41" t="s">
        <v>238</v>
      </c>
      <c r="X41">
        <v>1.1415525114155251E-4</v>
      </c>
      <c r="Y41">
        <v>1.4253868019126702E-4</v>
      </c>
      <c r="Z41" t="s">
        <v>268</v>
      </c>
      <c r="AA41" t="s">
        <v>25</v>
      </c>
      <c r="AC41" t="s">
        <v>22</v>
      </c>
      <c r="AD41" t="s">
        <v>268</v>
      </c>
      <c r="AE41">
        <v>1.7735155523440735E-4</v>
      </c>
      <c r="AG41" t="s">
        <v>97</v>
      </c>
      <c r="AH41" t="s">
        <v>268</v>
      </c>
      <c r="AI41">
        <v>0</v>
      </c>
    </row>
    <row r="42" spans="5:35" x14ac:dyDescent="0.45">
      <c r="E42" t="s">
        <v>185</v>
      </c>
      <c r="G42" t="s">
        <v>153</v>
      </c>
      <c r="I42" t="s">
        <v>236</v>
      </c>
      <c r="J42" t="s">
        <v>269</v>
      </c>
      <c r="K42">
        <v>3.7879411097009998E-4</v>
      </c>
      <c r="L42" t="s">
        <v>238</v>
      </c>
      <c r="N42" t="s">
        <v>346</v>
      </c>
      <c r="O42" t="s">
        <v>269</v>
      </c>
      <c r="P42">
        <v>4.8111600102889792E-5</v>
      </c>
      <c r="Q42" t="s">
        <v>238</v>
      </c>
      <c r="S42" t="s">
        <v>347</v>
      </c>
      <c r="T42" t="s">
        <v>269</v>
      </c>
      <c r="U42">
        <v>4.3934274448743791E-5</v>
      </c>
      <c r="V42" t="s">
        <v>238</v>
      </c>
      <c r="X42">
        <v>1.1415525114155251E-4</v>
      </c>
      <c r="Y42">
        <v>1.4883690094390442E-4</v>
      </c>
      <c r="Z42" t="s">
        <v>269</v>
      </c>
      <c r="AA42" t="s">
        <v>25</v>
      </c>
      <c r="AC42" t="s">
        <v>22</v>
      </c>
      <c r="AD42" t="s">
        <v>269</v>
      </c>
      <c r="AE42">
        <v>1.7735155523440735E-4</v>
      </c>
      <c r="AG42" t="s">
        <v>97</v>
      </c>
      <c r="AH42" t="s">
        <v>269</v>
      </c>
      <c r="AI42">
        <v>0</v>
      </c>
    </row>
    <row r="43" spans="5:35" x14ac:dyDescent="0.45">
      <c r="E43" t="s">
        <v>186</v>
      </c>
      <c r="G43" t="s">
        <v>153</v>
      </c>
      <c r="I43" t="s">
        <v>236</v>
      </c>
      <c r="J43" t="s">
        <v>270</v>
      </c>
      <c r="K43">
        <v>3.626623251239E-4</v>
      </c>
      <c r="L43" t="s">
        <v>238</v>
      </c>
      <c r="N43" t="s">
        <v>346</v>
      </c>
      <c r="O43" t="s">
        <v>270</v>
      </c>
      <c r="P43">
        <v>5.2291664186081437E-5</v>
      </c>
      <c r="Q43" t="s">
        <v>238</v>
      </c>
      <c r="S43" t="s">
        <v>347</v>
      </c>
      <c r="T43" t="s">
        <v>270</v>
      </c>
      <c r="U43">
        <v>3.6288233938332331E-5</v>
      </c>
      <c r="V43" t="s">
        <v>238</v>
      </c>
      <c r="X43">
        <v>1.1415525114155251E-4</v>
      </c>
      <c r="Y43">
        <v>1.5049432745775637E-4</v>
      </c>
      <c r="Z43" t="s">
        <v>270</v>
      </c>
      <c r="AA43" t="s">
        <v>25</v>
      </c>
      <c r="AC43" t="s">
        <v>22</v>
      </c>
      <c r="AD43" t="s">
        <v>270</v>
      </c>
      <c r="AE43">
        <v>1.7735155523440735E-4</v>
      </c>
      <c r="AG43" t="s">
        <v>97</v>
      </c>
      <c r="AH43" t="s">
        <v>270</v>
      </c>
      <c r="AI43">
        <v>0</v>
      </c>
    </row>
    <row r="44" spans="5:35" x14ac:dyDescent="0.45">
      <c r="E44" t="s">
        <v>187</v>
      </c>
      <c r="G44" t="s">
        <v>153</v>
      </c>
      <c r="I44" t="s">
        <v>236</v>
      </c>
      <c r="J44" t="s">
        <v>271</v>
      </c>
      <c r="K44">
        <v>3.3071797432150001E-4</v>
      </c>
      <c r="L44" t="s">
        <v>238</v>
      </c>
      <c r="N44" t="s">
        <v>346</v>
      </c>
      <c r="O44" t="s">
        <v>271</v>
      </c>
      <c r="P44">
        <v>4.8812882903288443E-5</v>
      </c>
      <c r="Q44" t="s">
        <v>238</v>
      </c>
      <c r="S44" t="s">
        <v>347</v>
      </c>
      <c r="T44" t="s">
        <v>271</v>
      </c>
      <c r="U44">
        <v>3.0387780863285361E-5</v>
      </c>
      <c r="V44" t="s">
        <v>238</v>
      </c>
      <c r="X44">
        <v>1.1415525114155251E-4</v>
      </c>
      <c r="Y44">
        <v>1.7237235744060203E-4</v>
      </c>
      <c r="Z44" t="s">
        <v>271</v>
      </c>
      <c r="AA44" t="s">
        <v>25</v>
      </c>
      <c r="AC44" t="s">
        <v>22</v>
      </c>
      <c r="AD44" t="s">
        <v>271</v>
      </c>
      <c r="AE44">
        <v>1.7802226216424459E-4</v>
      </c>
      <c r="AG44" t="s">
        <v>97</v>
      </c>
      <c r="AH44" t="s">
        <v>271</v>
      </c>
      <c r="AI44">
        <v>0</v>
      </c>
    </row>
    <row r="45" spans="5:35" x14ac:dyDescent="0.45">
      <c r="E45" t="s">
        <v>188</v>
      </c>
      <c r="G45" t="s">
        <v>153</v>
      </c>
      <c r="I45" t="s">
        <v>236</v>
      </c>
      <c r="J45" t="s">
        <v>272</v>
      </c>
      <c r="K45">
        <v>2.7948427030709998E-4</v>
      </c>
      <c r="L45" t="s">
        <v>238</v>
      </c>
      <c r="N45" t="s">
        <v>346</v>
      </c>
      <c r="O45" t="s">
        <v>272</v>
      </c>
      <c r="P45">
        <v>4.0721765621878469E-5</v>
      </c>
      <c r="Q45" t="s">
        <v>238</v>
      </c>
      <c r="S45" t="s">
        <v>347</v>
      </c>
      <c r="T45" t="s">
        <v>272</v>
      </c>
      <c r="U45">
        <v>2.4639169249279562E-5</v>
      </c>
      <c r="V45" t="s">
        <v>238</v>
      </c>
      <c r="X45">
        <v>1.1415525114155251E-4</v>
      </c>
      <c r="Y45">
        <v>2.2209515285616027E-4</v>
      </c>
      <c r="Z45" t="s">
        <v>272</v>
      </c>
      <c r="AA45" t="s">
        <v>25</v>
      </c>
      <c r="AC45" t="s">
        <v>22</v>
      </c>
      <c r="AD45" t="s">
        <v>272</v>
      </c>
      <c r="AE45">
        <v>1.8048725344484292E-4</v>
      </c>
      <c r="AG45" t="s">
        <v>97</v>
      </c>
      <c r="AH45" t="s">
        <v>272</v>
      </c>
      <c r="AI45">
        <v>0</v>
      </c>
    </row>
    <row r="46" spans="5:35" x14ac:dyDescent="0.45">
      <c r="E46" t="s">
        <v>189</v>
      </c>
      <c r="G46" t="s">
        <v>153</v>
      </c>
      <c r="I46" t="s">
        <v>236</v>
      </c>
      <c r="J46" t="s">
        <v>273</v>
      </c>
      <c r="K46">
        <v>2.0838402764039999E-4</v>
      </c>
      <c r="L46" t="s">
        <v>238</v>
      </c>
      <c r="N46" t="s">
        <v>346</v>
      </c>
      <c r="O46" t="s">
        <v>273</v>
      </c>
      <c r="P46">
        <v>3.102089023665082E-5</v>
      </c>
      <c r="Q46" t="s">
        <v>238</v>
      </c>
      <c r="S46" t="s">
        <v>347</v>
      </c>
      <c r="T46" t="s">
        <v>273</v>
      </c>
      <c r="U46">
        <v>1.8569374089497119E-5</v>
      </c>
      <c r="V46" t="s">
        <v>238</v>
      </c>
      <c r="X46">
        <v>1.1415525114155251E-4</v>
      </c>
      <c r="Y46">
        <v>2.2209515285616027E-4</v>
      </c>
      <c r="Z46" t="s">
        <v>273</v>
      </c>
      <c r="AA46" t="s">
        <v>25</v>
      </c>
      <c r="AC46" t="s">
        <v>22</v>
      </c>
      <c r="AD46" t="s">
        <v>273</v>
      </c>
      <c r="AE46">
        <v>1.8138439562022349E-4</v>
      </c>
      <c r="AG46" t="s">
        <v>97</v>
      </c>
      <c r="AH46" t="s">
        <v>273</v>
      </c>
      <c r="AI46">
        <v>0</v>
      </c>
    </row>
    <row r="47" spans="5:35" x14ac:dyDescent="0.45">
      <c r="E47" t="s">
        <v>190</v>
      </c>
      <c r="G47" t="s">
        <v>153</v>
      </c>
      <c r="I47" t="s">
        <v>236</v>
      </c>
      <c r="J47" t="s">
        <v>274</v>
      </c>
      <c r="K47">
        <v>5.5982616173649342E-5</v>
      </c>
      <c r="L47" t="s">
        <v>238</v>
      </c>
      <c r="N47" t="s">
        <v>346</v>
      </c>
      <c r="O47" t="s">
        <v>274</v>
      </c>
      <c r="P47">
        <v>2.8070692864020336E-5</v>
      </c>
      <c r="Q47" t="s">
        <v>238</v>
      </c>
      <c r="S47" t="s">
        <v>347</v>
      </c>
      <c r="T47" t="s">
        <v>274</v>
      </c>
      <c r="U47">
        <v>1.1990240099252734E-5</v>
      </c>
      <c r="V47" t="s">
        <v>238</v>
      </c>
      <c r="X47">
        <v>1.1415525114155251E-4</v>
      </c>
      <c r="Y47">
        <v>1.7237235744060203E-4</v>
      </c>
      <c r="Z47" t="s">
        <v>274</v>
      </c>
      <c r="AA47" t="s">
        <v>25</v>
      </c>
      <c r="AC47" t="s">
        <v>22</v>
      </c>
      <c r="AD47" t="s">
        <v>274</v>
      </c>
      <c r="AE47">
        <v>1.8432232127442501E-4</v>
      </c>
      <c r="AG47" t="s">
        <v>97</v>
      </c>
      <c r="AH47" t="s">
        <v>274</v>
      </c>
      <c r="AI47">
        <v>0</v>
      </c>
    </row>
    <row r="48" spans="5:35" x14ac:dyDescent="0.45">
      <c r="E48" t="s">
        <v>191</v>
      </c>
      <c r="G48" t="s">
        <v>153</v>
      </c>
      <c r="I48" t="s">
        <v>236</v>
      </c>
      <c r="J48" t="s">
        <v>275</v>
      </c>
      <c r="K48">
        <v>0</v>
      </c>
      <c r="L48" t="s">
        <v>238</v>
      </c>
      <c r="N48" t="s">
        <v>346</v>
      </c>
      <c r="O48" t="s">
        <v>275</v>
      </c>
      <c r="P48">
        <v>2.4338844739533304E-5</v>
      </c>
      <c r="Q48" t="s">
        <v>238</v>
      </c>
      <c r="S48" t="s">
        <v>347</v>
      </c>
      <c r="T48" t="s">
        <v>275</v>
      </c>
      <c r="U48">
        <v>7.5320896432465756E-6</v>
      </c>
      <c r="V48" t="s">
        <v>238</v>
      </c>
      <c r="X48">
        <v>1.1415525114155251E-4</v>
      </c>
      <c r="Y48">
        <v>1.5579809230208258E-4</v>
      </c>
      <c r="Z48" t="s">
        <v>275</v>
      </c>
      <c r="AA48" t="s">
        <v>25</v>
      </c>
      <c r="AC48" t="s">
        <v>22</v>
      </c>
      <c r="AD48" t="s">
        <v>275</v>
      </c>
      <c r="AE48">
        <v>1.7939520498215923E-4</v>
      </c>
      <c r="AG48" t="s">
        <v>97</v>
      </c>
      <c r="AH48" t="s">
        <v>275</v>
      </c>
      <c r="AI48">
        <v>0</v>
      </c>
    </row>
    <row r="49" spans="5:35" x14ac:dyDescent="0.45">
      <c r="E49" t="s">
        <v>192</v>
      </c>
      <c r="G49" t="s">
        <v>153</v>
      </c>
      <c r="I49" t="s">
        <v>236</v>
      </c>
      <c r="J49" t="s">
        <v>276</v>
      </c>
      <c r="K49">
        <v>0</v>
      </c>
      <c r="L49" t="s">
        <v>238</v>
      </c>
      <c r="N49" t="s">
        <v>346</v>
      </c>
      <c r="O49" t="s">
        <v>276</v>
      </c>
      <c r="P49">
        <v>1.780461468052894E-5</v>
      </c>
      <c r="Q49" t="s">
        <v>238</v>
      </c>
      <c r="S49" t="s">
        <v>347</v>
      </c>
      <c r="T49" t="s">
        <v>276</v>
      </c>
      <c r="U49">
        <v>4.7440645697345696E-6</v>
      </c>
      <c r="V49" t="s">
        <v>238</v>
      </c>
      <c r="X49">
        <v>1.1415525114155251E-4</v>
      </c>
      <c r="Y49">
        <v>1.093901499142282E-4</v>
      </c>
      <c r="Z49" t="s">
        <v>276</v>
      </c>
      <c r="AA49" t="s">
        <v>25</v>
      </c>
      <c r="AC49" t="s">
        <v>22</v>
      </c>
      <c r="AD49" t="s">
        <v>276</v>
      </c>
      <c r="AE49">
        <v>1.6531609199343933E-4</v>
      </c>
      <c r="AG49" t="s">
        <v>97</v>
      </c>
      <c r="AH49" t="s">
        <v>276</v>
      </c>
      <c r="AI49">
        <v>0</v>
      </c>
    </row>
    <row r="50" spans="5:35" x14ac:dyDescent="0.45">
      <c r="E50" t="s">
        <v>193</v>
      </c>
      <c r="G50" t="s">
        <v>153</v>
      </c>
      <c r="I50" t="s">
        <v>236</v>
      </c>
      <c r="J50" t="s">
        <v>277</v>
      </c>
      <c r="K50">
        <v>0</v>
      </c>
      <c r="L50" t="s">
        <v>238</v>
      </c>
      <c r="N50" t="s">
        <v>346</v>
      </c>
      <c r="O50" t="s">
        <v>277</v>
      </c>
      <c r="P50">
        <v>1.129420968188535E-5</v>
      </c>
      <c r="Q50" t="s">
        <v>238</v>
      </c>
      <c r="S50" t="s">
        <v>347</v>
      </c>
      <c r="T50" t="s">
        <v>277</v>
      </c>
      <c r="U50">
        <v>2.9258990577155689E-6</v>
      </c>
      <c r="V50" t="s">
        <v>238</v>
      </c>
      <c r="X50">
        <v>1.1415525114155251E-4</v>
      </c>
      <c r="Y50">
        <v>7.9556472664893237E-5</v>
      </c>
      <c r="Z50" t="s">
        <v>277</v>
      </c>
      <c r="AA50" t="s">
        <v>25</v>
      </c>
      <c r="AC50" t="s">
        <v>22</v>
      </c>
      <c r="AD50" t="s">
        <v>277</v>
      </c>
      <c r="AE50">
        <v>1.5528701700412114E-4</v>
      </c>
      <c r="AG50" t="s">
        <v>97</v>
      </c>
      <c r="AH50" t="s">
        <v>277</v>
      </c>
      <c r="AI50">
        <v>0</v>
      </c>
    </row>
    <row r="51" spans="5:35" x14ac:dyDescent="0.45">
      <c r="E51" t="s">
        <v>194</v>
      </c>
      <c r="G51" t="s">
        <v>153</v>
      </c>
      <c r="I51" t="s">
        <v>236</v>
      </c>
      <c r="J51" t="s">
        <v>278</v>
      </c>
      <c r="K51">
        <v>0</v>
      </c>
      <c r="L51" t="s">
        <v>238</v>
      </c>
      <c r="N51" t="s">
        <v>346</v>
      </c>
      <c r="O51" t="s">
        <v>278</v>
      </c>
      <c r="P51">
        <v>8.5349389067522776E-6</v>
      </c>
      <c r="Q51" t="s">
        <v>238</v>
      </c>
      <c r="S51" t="s">
        <v>347</v>
      </c>
      <c r="T51" t="s">
        <v>278</v>
      </c>
      <c r="U51">
        <v>2.6902718134552531E-6</v>
      </c>
      <c r="V51" t="s">
        <v>238</v>
      </c>
      <c r="X51">
        <v>1.1415525114155251E-4</v>
      </c>
      <c r="Y51">
        <v>5.6352501470966035E-5</v>
      </c>
      <c r="Z51" t="s">
        <v>278</v>
      </c>
      <c r="AA51" t="s">
        <v>25</v>
      </c>
      <c r="AC51" t="s">
        <v>22</v>
      </c>
      <c r="AD51" t="s">
        <v>278</v>
      </c>
      <c r="AE51">
        <v>1.460518985086701E-4</v>
      </c>
      <c r="AG51" t="s">
        <v>97</v>
      </c>
      <c r="AH51" t="s">
        <v>278</v>
      </c>
      <c r="AI51">
        <v>0</v>
      </c>
    </row>
    <row r="52" spans="5:35" x14ac:dyDescent="0.45">
      <c r="E52" t="s">
        <v>195</v>
      </c>
      <c r="G52" t="s">
        <v>153</v>
      </c>
      <c r="I52" t="s">
        <v>236</v>
      </c>
      <c r="J52" t="s">
        <v>279</v>
      </c>
      <c r="K52">
        <v>0</v>
      </c>
      <c r="L52" t="s">
        <v>238</v>
      </c>
      <c r="N52" t="s">
        <v>346</v>
      </c>
      <c r="O52" t="s">
        <v>279</v>
      </c>
      <c r="P52">
        <v>6.856877675239147E-6</v>
      </c>
      <c r="Q52" t="s">
        <v>238</v>
      </c>
      <c r="S52" t="s">
        <v>347</v>
      </c>
      <c r="T52" t="s">
        <v>279</v>
      </c>
      <c r="U52">
        <v>5.8094650038200171E-6</v>
      </c>
      <c r="V52" t="s">
        <v>238</v>
      </c>
      <c r="X52">
        <v>1.1415525114155251E-4</v>
      </c>
      <c r="Y52">
        <v>2.9833677249334962E-5</v>
      </c>
      <c r="Z52" t="s">
        <v>279</v>
      </c>
      <c r="AA52" t="s">
        <v>25</v>
      </c>
      <c r="AC52" t="s">
        <v>22</v>
      </c>
      <c r="AD52" t="s">
        <v>279</v>
      </c>
      <c r="AE52">
        <v>1.1395255275120383E-4</v>
      </c>
      <c r="AG52" t="s">
        <v>97</v>
      </c>
      <c r="AH52" t="s">
        <v>279</v>
      </c>
      <c r="AI52">
        <v>0</v>
      </c>
    </row>
    <row r="53" spans="5:35" x14ac:dyDescent="0.45">
      <c r="E53" t="s">
        <v>196</v>
      </c>
      <c r="G53" t="s">
        <v>153</v>
      </c>
      <c r="I53" t="s">
        <v>236</v>
      </c>
      <c r="J53" t="s">
        <v>280</v>
      </c>
      <c r="K53">
        <v>0</v>
      </c>
      <c r="L53" t="s">
        <v>238</v>
      </c>
      <c r="N53" t="s">
        <v>346</v>
      </c>
      <c r="O53" t="s">
        <v>280</v>
      </c>
      <c r="P53">
        <v>1.5832985536250001E-4</v>
      </c>
      <c r="Q53" t="s">
        <v>238</v>
      </c>
      <c r="S53" t="s">
        <v>347</v>
      </c>
      <c r="T53" t="s">
        <v>280</v>
      </c>
      <c r="U53">
        <v>1.856921150705E-4</v>
      </c>
      <c r="V53" t="s">
        <v>238</v>
      </c>
      <c r="X53">
        <v>1.1415525114155251E-4</v>
      </c>
      <c r="Y53">
        <v>2.1546544680075254E-5</v>
      </c>
      <c r="Z53" t="s">
        <v>280</v>
      </c>
      <c r="AA53" t="s">
        <v>25</v>
      </c>
      <c r="AC53" t="s">
        <v>22</v>
      </c>
      <c r="AD53" t="s">
        <v>280</v>
      </c>
      <c r="AE53">
        <v>1.0839772356306478E-4</v>
      </c>
      <c r="AG53" t="s">
        <v>97</v>
      </c>
      <c r="AH53" t="s">
        <v>280</v>
      </c>
      <c r="AI53">
        <v>0</v>
      </c>
    </row>
    <row r="54" spans="5:35" x14ac:dyDescent="0.45">
      <c r="E54" t="s">
        <v>197</v>
      </c>
      <c r="G54" t="s">
        <v>153</v>
      </c>
      <c r="I54" t="s">
        <v>236</v>
      </c>
      <c r="J54" t="s">
        <v>281</v>
      </c>
      <c r="K54">
        <v>0</v>
      </c>
      <c r="L54" t="s">
        <v>238</v>
      </c>
      <c r="N54" t="s">
        <v>346</v>
      </c>
      <c r="O54" t="s">
        <v>281</v>
      </c>
      <c r="P54">
        <v>1.7059377134159999E-4</v>
      </c>
      <c r="Q54" t="s">
        <v>238</v>
      </c>
      <c r="S54" t="s">
        <v>347</v>
      </c>
      <c r="T54" t="s">
        <v>281</v>
      </c>
      <c r="U54">
        <v>1.8793490987569999E-4</v>
      </c>
      <c r="V54" t="s">
        <v>238</v>
      </c>
      <c r="X54">
        <v>1.1415525114155251E-4</v>
      </c>
      <c r="Y54">
        <v>1.4916838624667481E-5</v>
      </c>
      <c r="Z54" t="s">
        <v>281</v>
      </c>
      <c r="AA54" t="s">
        <v>25</v>
      </c>
      <c r="AC54" t="s">
        <v>22</v>
      </c>
      <c r="AD54" t="s">
        <v>281</v>
      </c>
      <c r="AE54">
        <v>1.0711076881307792E-4</v>
      </c>
      <c r="AG54" t="s">
        <v>97</v>
      </c>
      <c r="AH54" t="s">
        <v>281</v>
      </c>
      <c r="AI54">
        <v>0</v>
      </c>
    </row>
    <row r="55" spans="5:35" x14ac:dyDescent="0.45">
      <c r="E55" t="s">
        <v>198</v>
      </c>
      <c r="G55" t="s">
        <v>153</v>
      </c>
      <c r="I55" t="s">
        <v>236</v>
      </c>
      <c r="J55" t="s">
        <v>282</v>
      </c>
      <c r="K55">
        <v>0</v>
      </c>
      <c r="L55" t="s">
        <v>238</v>
      </c>
      <c r="N55" t="s">
        <v>346</v>
      </c>
      <c r="O55" t="s">
        <v>282</v>
      </c>
      <c r="P55">
        <v>1.8453593137699999E-4</v>
      </c>
      <c r="Q55" t="s">
        <v>238</v>
      </c>
      <c r="S55" t="s">
        <v>347</v>
      </c>
      <c r="T55" t="s">
        <v>282</v>
      </c>
      <c r="U55">
        <v>1.897540777589E-4</v>
      </c>
      <c r="V55" t="s">
        <v>238</v>
      </c>
      <c r="X55">
        <v>1.1415525114155251E-4</v>
      </c>
      <c r="Y55">
        <v>1.6574265138519424E-5</v>
      </c>
      <c r="Z55" t="s">
        <v>282</v>
      </c>
      <c r="AA55" t="s">
        <v>25</v>
      </c>
      <c r="AC55" t="s">
        <v>22</v>
      </c>
      <c r="AD55" t="s">
        <v>282</v>
      </c>
      <c r="AE55">
        <v>1.0691299625684389E-4</v>
      </c>
      <c r="AG55" t="s">
        <v>97</v>
      </c>
      <c r="AH55" t="s">
        <v>282</v>
      </c>
      <c r="AI55">
        <v>0</v>
      </c>
    </row>
    <row r="56" spans="5:35" x14ac:dyDescent="0.45">
      <c r="E56" t="s">
        <v>199</v>
      </c>
      <c r="G56" t="s">
        <v>153</v>
      </c>
      <c r="I56" t="s">
        <v>236</v>
      </c>
      <c r="J56" t="s">
        <v>283</v>
      </c>
      <c r="K56">
        <v>0</v>
      </c>
      <c r="L56" t="s">
        <v>238</v>
      </c>
      <c r="N56" t="s">
        <v>346</v>
      </c>
      <c r="O56" t="s">
        <v>283</v>
      </c>
      <c r="P56">
        <v>1.9143493384760001E-4</v>
      </c>
      <c r="Q56" t="s">
        <v>238</v>
      </c>
      <c r="S56" t="s">
        <v>347</v>
      </c>
      <c r="T56" t="s">
        <v>283</v>
      </c>
      <c r="U56">
        <v>1.917012166071E-4</v>
      </c>
      <c r="V56" t="s">
        <v>238</v>
      </c>
      <c r="X56">
        <v>1.1415525114155251E-4</v>
      </c>
      <c r="Y56">
        <v>1.4585353321897093E-5</v>
      </c>
      <c r="Z56" t="s">
        <v>283</v>
      </c>
      <c r="AA56" t="s">
        <v>25</v>
      </c>
      <c r="AC56" t="s">
        <v>22</v>
      </c>
      <c r="AD56" t="s">
        <v>283</v>
      </c>
      <c r="AE56">
        <v>1.0691299625684389E-4</v>
      </c>
      <c r="AG56" t="s">
        <v>97</v>
      </c>
      <c r="AH56" t="s">
        <v>283</v>
      </c>
      <c r="AI56">
        <v>0</v>
      </c>
    </row>
    <row r="57" spans="5:35" x14ac:dyDescent="0.45">
      <c r="E57" t="s">
        <v>200</v>
      </c>
      <c r="G57" t="s">
        <v>153</v>
      </c>
      <c r="I57" t="s">
        <v>236</v>
      </c>
      <c r="J57" t="s">
        <v>284</v>
      </c>
      <c r="K57">
        <v>0</v>
      </c>
      <c r="L57" t="s">
        <v>238</v>
      </c>
      <c r="N57" t="s">
        <v>346</v>
      </c>
      <c r="O57" t="s">
        <v>284</v>
      </c>
      <c r="P57">
        <v>2.012353496609E-4</v>
      </c>
      <c r="Q57" t="s">
        <v>238</v>
      </c>
      <c r="S57" t="s">
        <v>347</v>
      </c>
      <c r="T57" t="s">
        <v>284</v>
      </c>
      <c r="U57">
        <v>1.9441451134129999E-4</v>
      </c>
      <c r="V57" t="s">
        <v>238</v>
      </c>
      <c r="X57">
        <v>1.1415525114155251E-4</v>
      </c>
      <c r="Y57">
        <v>2.1215059377304864E-5</v>
      </c>
      <c r="Z57" t="s">
        <v>284</v>
      </c>
      <c r="AA57" t="s">
        <v>25</v>
      </c>
      <c r="AC57" t="s">
        <v>22</v>
      </c>
      <c r="AD57" t="s">
        <v>284</v>
      </c>
      <c r="AE57">
        <v>1.0750631392554605E-4</v>
      </c>
      <c r="AG57" t="s">
        <v>97</v>
      </c>
      <c r="AH57" t="s">
        <v>284</v>
      </c>
      <c r="AI57">
        <v>0</v>
      </c>
    </row>
    <row r="58" spans="5:35" x14ac:dyDescent="0.45">
      <c r="E58" t="s">
        <v>201</v>
      </c>
      <c r="G58" t="s">
        <v>153</v>
      </c>
      <c r="I58" t="s">
        <v>236</v>
      </c>
      <c r="J58" t="s">
        <v>285</v>
      </c>
      <c r="K58">
        <v>0</v>
      </c>
      <c r="L58" t="s">
        <v>238</v>
      </c>
      <c r="N58" t="s">
        <v>346</v>
      </c>
      <c r="O58" t="s">
        <v>285</v>
      </c>
      <c r="P58">
        <v>2.1318476717620001E-4</v>
      </c>
      <c r="Q58" t="s">
        <v>238</v>
      </c>
      <c r="S58" t="s">
        <v>347</v>
      </c>
      <c r="T58" t="s">
        <v>285</v>
      </c>
      <c r="U58">
        <v>1.9756791310889999E-4</v>
      </c>
      <c r="V58" t="s">
        <v>238</v>
      </c>
      <c r="X58">
        <v>1.1415525114155251E-4</v>
      </c>
      <c r="Y58">
        <v>5.7678442682047593E-5</v>
      </c>
      <c r="Z58" t="s">
        <v>285</v>
      </c>
      <c r="AA58" t="s">
        <v>25</v>
      </c>
      <c r="AC58" t="s">
        <v>22</v>
      </c>
      <c r="AD58" t="s">
        <v>285</v>
      </c>
      <c r="AE58">
        <v>1.0901683765214527E-4</v>
      </c>
      <c r="AG58" t="s">
        <v>97</v>
      </c>
      <c r="AH58" t="s">
        <v>285</v>
      </c>
      <c r="AI58">
        <v>0</v>
      </c>
    </row>
    <row r="59" spans="5:35" x14ac:dyDescent="0.45">
      <c r="E59" t="s">
        <v>202</v>
      </c>
      <c r="G59" t="s">
        <v>156</v>
      </c>
      <c r="I59" t="s">
        <v>236</v>
      </c>
      <c r="J59" t="s">
        <v>286</v>
      </c>
      <c r="K59">
        <v>0</v>
      </c>
      <c r="L59" t="s">
        <v>238</v>
      </c>
      <c r="N59" t="s">
        <v>346</v>
      </c>
      <c r="O59" t="s">
        <v>286</v>
      </c>
      <c r="P59">
        <v>2.230225184376E-4</v>
      </c>
      <c r="Q59" t="s">
        <v>238</v>
      </c>
      <c r="S59" t="s">
        <v>347</v>
      </c>
      <c r="T59" t="s">
        <v>286</v>
      </c>
      <c r="U59">
        <v>2.001360728439E-4</v>
      </c>
      <c r="V59" t="s">
        <v>238</v>
      </c>
      <c r="X59">
        <v>1.1415525114155251E-4</v>
      </c>
      <c r="Y59">
        <v>1.6905750441289813E-4</v>
      </c>
      <c r="Z59" t="s">
        <v>286</v>
      </c>
      <c r="AA59" t="s">
        <v>25</v>
      </c>
      <c r="AC59" t="s">
        <v>22</v>
      </c>
      <c r="AD59" t="s">
        <v>286</v>
      </c>
      <c r="AE59">
        <v>1.2184625738698043E-4</v>
      </c>
      <c r="AG59" t="s">
        <v>97</v>
      </c>
      <c r="AH59" t="s">
        <v>286</v>
      </c>
      <c r="AI59">
        <v>0</v>
      </c>
    </row>
    <row r="60" spans="5:35" x14ac:dyDescent="0.45">
      <c r="E60" t="s">
        <v>203</v>
      </c>
      <c r="G60" t="s">
        <v>156</v>
      </c>
      <c r="I60" t="s">
        <v>236</v>
      </c>
      <c r="J60" t="s">
        <v>287</v>
      </c>
      <c r="K60">
        <v>2.0974050716279999E-4</v>
      </c>
      <c r="L60" t="s">
        <v>238</v>
      </c>
      <c r="N60" t="s">
        <v>346</v>
      </c>
      <c r="O60" t="s">
        <v>287</v>
      </c>
      <c r="P60">
        <v>2.323000808932E-4</v>
      </c>
      <c r="Q60" t="s">
        <v>238</v>
      </c>
      <c r="S60" t="s">
        <v>347</v>
      </c>
      <c r="T60" t="s">
        <v>287</v>
      </c>
      <c r="U60">
        <v>2.0323414170909999E-4</v>
      </c>
      <c r="V60" t="s">
        <v>238</v>
      </c>
      <c r="X60">
        <v>1.1415525114155251E-4</v>
      </c>
      <c r="Y60">
        <v>1.9060404909297337E-4</v>
      </c>
      <c r="Z60" t="s">
        <v>287</v>
      </c>
      <c r="AA60" t="s">
        <v>25</v>
      </c>
      <c r="AC60" t="s">
        <v>22</v>
      </c>
      <c r="AD60" t="s">
        <v>287</v>
      </c>
      <c r="AE60">
        <v>1.3805787446031099E-4</v>
      </c>
      <c r="AG60" t="s">
        <v>97</v>
      </c>
      <c r="AH60" t="s">
        <v>287</v>
      </c>
      <c r="AI60">
        <v>0</v>
      </c>
    </row>
    <row r="61" spans="5:35" x14ac:dyDescent="0.45">
      <c r="E61" t="s">
        <v>204</v>
      </c>
      <c r="G61" t="s">
        <v>156</v>
      </c>
      <c r="I61" t="s">
        <v>236</v>
      </c>
      <c r="J61" t="s">
        <v>288</v>
      </c>
      <c r="K61">
        <v>4.134263125449E-4</v>
      </c>
      <c r="L61" t="s">
        <v>238</v>
      </c>
      <c r="N61" t="s">
        <v>346</v>
      </c>
      <c r="O61" t="s">
        <v>288</v>
      </c>
      <c r="P61">
        <v>2.3448495798969999E-4</v>
      </c>
      <c r="Q61" t="s">
        <v>238</v>
      </c>
      <c r="S61" t="s">
        <v>347</v>
      </c>
      <c r="T61" t="s">
        <v>288</v>
      </c>
      <c r="U61">
        <v>2.0576529202509999E-4</v>
      </c>
      <c r="V61" t="s">
        <v>238</v>
      </c>
      <c r="X61">
        <v>1.1415525114155251E-4</v>
      </c>
      <c r="Y61">
        <v>1.4585353321897094E-4</v>
      </c>
      <c r="Z61" t="s">
        <v>288</v>
      </c>
      <c r="AA61" t="s">
        <v>25</v>
      </c>
      <c r="AC61" t="s">
        <v>22</v>
      </c>
      <c r="AD61" t="s">
        <v>288</v>
      </c>
      <c r="AE61">
        <v>1.4656782691623721E-4</v>
      </c>
      <c r="AG61" t="s">
        <v>97</v>
      </c>
      <c r="AH61" t="s">
        <v>288</v>
      </c>
      <c r="AI61">
        <v>0</v>
      </c>
    </row>
    <row r="62" spans="5:35" x14ac:dyDescent="0.45">
      <c r="E62" t="s">
        <v>205</v>
      </c>
      <c r="G62" t="s">
        <v>156</v>
      </c>
      <c r="I62" t="s">
        <v>236</v>
      </c>
      <c r="J62" t="s">
        <v>289</v>
      </c>
      <c r="K62">
        <v>5.2038179641350003E-4</v>
      </c>
      <c r="L62" t="s">
        <v>238</v>
      </c>
      <c r="N62" t="s">
        <v>346</v>
      </c>
      <c r="O62" t="s">
        <v>289</v>
      </c>
      <c r="P62">
        <v>2.1780667760220001E-4</v>
      </c>
      <c r="Q62" t="s">
        <v>238</v>
      </c>
      <c r="S62" t="s">
        <v>347</v>
      </c>
      <c r="T62" t="s">
        <v>289</v>
      </c>
      <c r="U62">
        <v>2.050612304714E-4</v>
      </c>
      <c r="V62" t="s">
        <v>238</v>
      </c>
      <c r="X62">
        <v>1.1415525114155251E-4</v>
      </c>
      <c r="Y62">
        <v>1.4452759200788939E-4</v>
      </c>
      <c r="Z62" t="s">
        <v>289</v>
      </c>
      <c r="AA62" t="s">
        <v>25</v>
      </c>
      <c r="AC62" t="s">
        <v>22</v>
      </c>
      <c r="AD62" t="s">
        <v>289</v>
      </c>
      <c r="AE62">
        <v>1.4731305683827854E-4</v>
      </c>
      <c r="AG62" t="s">
        <v>97</v>
      </c>
      <c r="AH62" t="s">
        <v>289</v>
      </c>
      <c r="AI62">
        <v>0</v>
      </c>
    </row>
    <row r="63" spans="5:35" x14ac:dyDescent="0.45">
      <c r="E63" t="s">
        <v>206</v>
      </c>
      <c r="G63" t="s">
        <v>156</v>
      </c>
      <c r="I63" t="s">
        <v>236</v>
      </c>
      <c r="J63" t="s">
        <v>290</v>
      </c>
      <c r="K63">
        <v>5.5732879959829995E-4</v>
      </c>
      <c r="L63" t="s">
        <v>238</v>
      </c>
      <c r="N63" t="s">
        <v>346</v>
      </c>
      <c r="O63" t="s">
        <v>290</v>
      </c>
      <c r="P63">
        <v>1.994143644006E-4</v>
      </c>
      <c r="Q63" t="s">
        <v>238</v>
      </c>
      <c r="S63" t="s">
        <v>347</v>
      </c>
      <c r="T63" t="s">
        <v>290</v>
      </c>
      <c r="U63">
        <v>2.045851722269E-4</v>
      </c>
      <c r="V63" t="s">
        <v>238</v>
      </c>
      <c r="X63">
        <v>1.1415525114155251E-4</v>
      </c>
      <c r="Y63">
        <v>1.408812536774151E-4</v>
      </c>
      <c r="Z63" t="s">
        <v>290</v>
      </c>
      <c r="AA63" t="s">
        <v>25</v>
      </c>
      <c r="AC63" t="s">
        <v>22</v>
      </c>
      <c r="AD63" t="s">
        <v>290</v>
      </c>
      <c r="AE63">
        <v>1.4626113614062787E-4</v>
      </c>
      <c r="AG63" t="s">
        <v>97</v>
      </c>
      <c r="AH63" t="s">
        <v>290</v>
      </c>
      <c r="AI63">
        <v>0</v>
      </c>
    </row>
    <row r="64" spans="5:35" x14ac:dyDescent="0.45">
      <c r="E64" t="s">
        <v>207</v>
      </c>
      <c r="G64" t="s">
        <v>156</v>
      </c>
      <c r="I64" t="s">
        <v>236</v>
      </c>
      <c r="J64" t="s">
        <v>291</v>
      </c>
      <c r="K64">
        <v>5.3490434812619996E-4</v>
      </c>
      <c r="L64" t="s">
        <v>238</v>
      </c>
      <c r="N64" t="s">
        <v>346</v>
      </c>
      <c r="O64" t="s">
        <v>291</v>
      </c>
      <c r="P64">
        <v>2.0805834084899999E-4</v>
      </c>
      <c r="Q64" t="s">
        <v>238</v>
      </c>
      <c r="S64" t="s">
        <v>347</v>
      </c>
      <c r="T64" t="s">
        <v>291</v>
      </c>
      <c r="U64">
        <v>2.036663117265E-4</v>
      </c>
      <c r="V64" t="s">
        <v>238</v>
      </c>
      <c r="X64">
        <v>1.1415525114155251E-4</v>
      </c>
      <c r="Y64">
        <v>1.4054976837464471E-4</v>
      </c>
      <c r="Z64" t="s">
        <v>291</v>
      </c>
      <c r="AA64" t="s">
        <v>25</v>
      </c>
      <c r="AC64" t="s">
        <v>22</v>
      </c>
      <c r="AD64" t="s">
        <v>291</v>
      </c>
      <c r="AE64">
        <v>1.4520061663618437E-4</v>
      </c>
      <c r="AG64" t="s">
        <v>97</v>
      </c>
      <c r="AH64" t="s">
        <v>291</v>
      </c>
      <c r="AI64">
        <v>0</v>
      </c>
    </row>
    <row r="65" spans="5:35" x14ac:dyDescent="0.45">
      <c r="E65" t="s">
        <v>208</v>
      </c>
      <c r="G65" t="s">
        <v>156</v>
      </c>
      <c r="I65" t="s">
        <v>236</v>
      </c>
      <c r="J65" t="s">
        <v>292</v>
      </c>
      <c r="K65">
        <v>4.653956157316E-4</v>
      </c>
      <c r="L65" t="s">
        <v>238</v>
      </c>
      <c r="N65" t="s">
        <v>346</v>
      </c>
      <c r="O65" t="s">
        <v>292</v>
      </c>
      <c r="P65">
        <v>2.2086245447500001E-4</v>
      </c>
      <c r="Q65" t="s">
        <v>238</v>
      </c>
      <c r="S65" t="s">
        <v>347</v>
      </c>
      <c r="T65" t="s">
        <v>292</v>
      </c>
      <c r="U65">
        <v>2.0673099292049999E-4</v>
      </c>
      <c r="V65" t="s">
        <v>238</v>
      </c>
      <c r="X65">
        <v>1.1415525114155251E-4</v>
      </c>
      <c r="Y65">
        <v>1.4253868019126702E-4</v>
      </c>
      <c r="Z65" t="s">
        <v>292</v>
      </c>
      <c r="AA65" t="s">
        <v>25</v>
      </c>
      <c r="AC65" t="s">
        <v>22</v>
      </c>
      <c r="AD65" t="s">
        <v>292</v>
      </c>
      <c r="AE65">
        <v>1.4308817643409022E-4</v>
      </c>
      <c r="AG65" t="s">
        <v>97</v>
      </c>
      <c r="AH65" t="s">
        <v>292</v>
      </c>
      <c r="AI65">
        <v>0</v>
      </c>
    </row>
    <row r="66" spans="5:35" x14ac:dyDescent="0.45">
      <c r="E66" t="s">
        <v>209</v>
      </c>
      <c r="G66" t="s">
        <v>156</v>
      </c>
      <c r="I66" t="s">
        <v>236</v>
      </c>
      <c r="J66" t="s">
        <v>293</v>
      </c>
      <c r="K66">
        <v>4.6465007560019997E-4</v>
      </c>
      <c r="L66" t="s">
        <v>238</v>
      </c>
      <c r="N66" t="s">
        <v>346</v>
      </c>
      <c r="O66" t="s">
        <v>293</v>
      </c>
      <c r="P66">
        <v>2.228167749251E-4</v>
      </c>
      <c r="Q66" t="s">
        <v>238</v>
      </c>
      <c r="S66" t="s">
        <v>347</v>
      </c>
      <c r="T66" t="s">
        <v>293</v>
      </c>
      <c r="U66">
        <v>2.087194115515E-4</v>
      </c>
      <c r="V66" t="s">
        <v>238</v>
      </c>
      <c r="X66">
        <v>1.1415525114155251E-4</v>
      </c>
      <c r="Y66">
        <v>1.4883690094390442E-4</v>
      </c>
      <c r="Z66" t="s">
        <v>293</v>
      </c>
      <c r="AA66" t="s">
        <v>25</v>
      </c>
      <c r="AC66" t="s">
        <v>22</v>
      </c>
      <c r="AD66" t="s">
        <v>293</v>
      </c>
      <c r="AE66">
        <v>1.4257798056438497E-4</v>
      </c>
      <c r="AG66" t="s">
        <v>97</v>
      </c>
      <c r="AH66" t="s">
        <v>293</v>
      </c>
      <c r="AI66">
        <v>0</v>
      </c>
    </row>
    <row r="67" spans="5:35" x14ac:dyDescent="0.45">
      <c r="E67" t="s">
        <v>210</v>
      </c>
      <c r="G67" t="s">
        <v>156</v>
      </c>
      <c r="I67" t="s">
        <v>236</v>
      </c>
      <c r="J67" t="s">
        <v>294</v>
      </c>
      <c r="K67">
        <v>4.7980849579500002E-4</v>
      </c>
      <c r="L67" t="s">
        <v>238</v>
      </c>
      <c r="N67" t="s">
        <v>346</v>
      </c>
      <c r="O67" t="s">
        <v>294</v>
      </c>
      <c r="P67">
        <v>2.223482587351E-4</v>
      </c>
      <c r="Q67" t="s">
        <v>238</v>
      </c>
      <c r="S67" t="s">
        <v>347</v>
      </c>
      <c r="T67" t="s">
        <v>294</v>
      </c>
      <c r="U67">
        <v>2.1077203246610001E-4</v>
      </c>
      <c r="V67" t="s">
        <v>238</v>
      </c>
      <c r="X67">
        <v>1.1415525114155251E-4</v>
      </c>
      <c r="Y67">
        <v>1.5049432745775637E-4</v>
      </c>
      <c r="Z67" t="s">
        <v>294</v>
      </c>
      <c r="AA67" t="s">
        <v>25</v>
      </c>
      <c r="AC67" t="s">
        <v>22</v>
      </c>
      <c r="AD67" t="s">
        <v>294</v>
      </c>
      <c r="AE67">
        <v>1.4156618763176728E-4</v>
      </c>
      <c r="AG67" t="s">
        <v>97</v>
      </c>
      <c r="AH67" t="s">
        <v>294</v>
      </c>
      <c r="AI67">
        <v>0</v>
      </c>
    </row>
    <row r="68" spans="5:35" x14ac:dyDescent="0.45">
      <c r="E68" t="s">
        <v>211</v>
      </c>
      <c r="G68" t="s">
        <v>156</v>
      </c>
      <c r="I68" t="s">
        <v>236</v>
      </c>
      <c r="J68" t="s">
        <v>295</v>
      </c>
      <c r="K68">
        <v>4.3668424148220002E-4</v>
      </c>
      <c r="L68" t="s">
        <v>238</v>
      </c>
      <c r="N68" t="s">
        <v>346</v>
      </c>
      <c r="O68" t="s">
        <v>295</v>
      </c>
      <c r="P68">
        <v>2.2490970225849999E-4</v>
      </c>
      <c r="Q68" t="s">
        <v>238</v>
      </c>
      <c r="S68" t="s">
        <v>347</v>
      </c>
      <c r="T68" t="s">
        <v>295</v>
      </c>
      <c r="U68">
        <v>2.1156293795779999E-4</v>
      </c>
      <c r="V68" t="s">
        <v>238</v>
      </c>
      <c r="X68">
        <v>1.1415525114155251E-4</v>
      </c>
      <c r="Y68">
        <v>1.7237235744060203E-4</v>
      </c>
      <c r="Z68" t="s">
        <v>295</v>
      </c>
      <c r="AA68" t="s">
        <v>25</v>
      </c>
      <c r="AC68" t="s">
        <v>22</v>
      </c>
      <c r="AD68" t="s">
        <v>295</v>
      </c>
      <c r="AE68">
        <v>1.4234008024311792E-4</v>
      </c>
      <c r="AG68" t="s">
        <v>97</v>
      </c>
      <c r="AH68" t="s">
        <v>295</v>
      </c>
      <c r="AI68">
        <v>0</v>
      </c>
    </row>
    <row r="69" spans="5:35" x14ac:dyDescent="0.45">
      <c r="E69" t="s">
        <v>212</v>
      </c>
      <c r="G69" t="s">
        <v>156</v>
      </c>
      <c r="I69" t="s">
        <v>236</v>
      </c>
      <c r="J69" t="s">
        <v>296</v>
      </c>
      <c r="K69">
        <v>3.2927149270340001E-4</v>
      </c>
      <c r="L69" t="s">
        <v>238</v>
      </c>
      <c r="N69" t="s">
        <v>346</v>
      </c>
      <c r="O69" t="s">
        <v>296</v>
      </c>
      <c r="P69">
        <v>2.306361675358E-4</v>
      </c>
      <c r="Q69" t="s">
        <v>238</v>
      </c>
      <c r="S69" t="s">
        <v>347</v>
      </c>
      <c r="T69" t="s">
        <v>296</v>
      </c>
      <c r="U69">
        <v>2.122410318043E-4</v>
      </c>
      <c r="V69" t="s">
        <v>238</v>
      </c>
      <c r="X69">
        <v>1.1415525114155251E-4</v>
      </c>
      <c r="Y69">
        <v>2.2209515285616027E-4</v>
      </c>
      <c r="Z69" t="s">
        <v>296</v>
      </c>
      <c r="AA69" t="s">
        <v>25</v>
      </c>
      <c r="AC69" t="s">
        <v>22</v>
      </c>
      <c r="AD69" t="s">
        <v>296</v>
      </c>
      <c r="AE69">
        <v>1.479035082380498E-4</v>
      </c>
      <c r="AG69" t="s">
        <v>97</v>
      </c>
      <c r="AH69" t="s">
        <v>296</v>
      </c>
      <c r="AI69">
        <v>0</v>
      </c>
    </row>
    <row r="70" spans="5:35" x14ac:dyDescent="0.45">
      <c r="E70" t="s">
        <v>213</v>
      </c>
      <c r="G70" t="s">
        <v>156</v>
      </c>
      <c r="I70" t="s">
        <v>236</v>
      </c>
      <c r="J70" t="s">
        <v>297</v>
      </c>
      <c r="K70">
        <v>2.277431684175E-4</v>
      </c>
      <c r="L70" t="s">
        <v>238</v>
      </c>
      <c r="N70" t="s">
        <v>346</v>
      </c>
      <c r="O70" t="s">
        <v>297</v>
      </c>
      <c r="P70">
        <v>2.4954148224589999E-4</v>
      </c>
      <c r="Q70" t="s">
        <v>238</v>
      </c>
      <c r="S70" t="s">
        <v>347</v>
      </c>
      <c r="T70" t="s">
        <v>297</v>
      </c>
      <c r="U70">
        <v>2.158873171191E-4</v>
      </c>
      <c r="V70" t="s">
        <v>238</v>
      </c>
      <c r="X70">
        <v>1.1415525114155251E-4</v>
      </c>
      <c r="Y70">
        <v>2.2209515285616027E-4</v>
      </c>
      <c r="Z70" t="s">
        <v>297</v>
      </c>
      <c r="AA70" t="s">
        <v>25</v>
      </c>
      <c r="AC70" t="s">
        <v>22</v>
      </c>
      <c r="AD70" t="s">
        <v>297</v>
      </c>
      <c r="AE70">
        <v>1.4854268620964679E-4</v>
      </c>
      <c r="AG70" t="s">
        <v>97</v>
      </c>
      <c r="AH70" t="s">
        <v>297</v>
      </c>
      <c r="AI70">
        <v>0</v>
      </c>
    </row>
    <row r="71" spans="5:35" x14ac:dyDescent="0.45">
      <c r="E71" t="s">
        <v>214</v>
      </c>
      <c r="G71" t="s">
        <v>156</v>
      </c>
      <c r="I71" t="s">
        <v>236</v>
      </c>
      <c r="J71" t="s">
        <v>298</v>
      </c>
      <c r="K71">
        <v>1.0883376893E-4</v>
      </c>
      <c r="L71" t="s">
        <v>238</v>
      </c>
      <c r="N71" t="s">
        <v>346</v>
      </c>
      <c r="O71" t="s">
        <v>298</v>
      </c>
      <c r="P71">
        <v>2.6549504873579999E-4</v>
      </c>
      <c r="Q71" t="s">
        <v>238</v>
      </c>
      <c r="S71" t="s">
        <v>347</v>
      </c>
      <c r="T71" t="s">
        <v>298</v>
      </c>
      <c r="U71">
        <v>2.1992628621109999E-4</v>
      </c>
      <c r="V71" t="s">
        <v>238</v>
      </c>
      <c r="X71">
        <v>1.1415525114155251E-4</v>
      </c>
      <c r="Y71">
        <v>1.7237235744060203E-4</v>
      </c>
      <c r="Z71" t="s">
        <v>298</v>
      </c>
      <c r="AA71" t="s">
        <v>25</v>
      </c>
      <c r="AC71" t="s">
        <v>22</v>
      </c>
      <c r="AD71" t="s">
        <v>298</v>
      </c>
      <c r="AE71">
        <v>1.5175577368121743E-4</v>
      </c>
      <c r="AG71" t="s">
        <v>97</v>
      </c>
      <c r="AH71" t="s">
        <v>298</v>
      </c>
      <c r="AI71">
        <v>0</v>
      </c>
    </row>
    <row r="72" spans="5:35" x14ac:dyDescent="0.45">
      <c r="E72" t="s">
        <v>215</v>
      </c>
      <c r="G72" t="s">
        <v>156</v>
      </c>
      <c r="I72" t="s">
        <v>236</v>
      </c>
      <c r="J72" t="s">
        <v>299</v>
      </c>
      <c r="K72">
        <v>0</v>
      </c>
      <c r="L72" t="s">
        <v>238</v>
      </c>
      <c r="N72" t="s">
        <v>346</v>
      </c>
      <c r="O72" t="s">
        <v>299</v>
      </c>
      <c r="P72">
        <v>2.718546497209E-4</v>
      </c>
      <c r="Q72" t="s">
        <v>238</v>
      </c>
      <c r="S72" t="s">
        <v>347</v>
      </c>
      <c r="T72" t="s">
        <v>299</v>
      </c>
      <c r="U72">
        <v>2.217799344636E-4</v>
      </c>
      <c r="V72" t="s">
        <v>238</v>
      </c>
      <c r="X72">
        <v>1.1415525114155251E-4</v>
      </c>
      <c r="Y72">
        <v>1.5579809230208258E-4</v>
      </c>
      <c r="Z72" t="s">
        <v>299</v>
      </c>
      <c r="AA72" t="s">
        <v>25</v>
      </c>
      <c r="AC72" t="s">
        <v>22</v>
      </c>
      <c r="AD72" t="s">
        <v>299</v>
      </c>
      <c r="AE72">
        <v>1.4804108914673433E-4</v>
      </c>
      <c r="AG72" t="s">
        <v>97</v>
      </c>
      <c r="AH72" t="s">
        <v>299</v>
      </c>
      <c r="AI72">
        <v>0</v>
      </c>
    </row>
    <row r="73" spans="5:35" x14ac:dyDescent="0.45">
      <c r="E73" t="s">
        <v>216</v>
      </c>
      <c r="G73" t="s">
        <v>156</v>
      </c>
      <c r="I73" t="s">
        <v>236</v>
      </c>
      <c r="J73" t="s">
        <v>300</v>
      </c>
      <c r="K73">
        <v>0</v>
      </c>
      <c r="L73" t="s">
        <v>238</v>
      </c>
      <c r="N73" t="s">
        <v>346</v>
      </c>
      <c r="O73" t="s">
        <v>300</v>
      </c>
      <c r="P73">
        <v>2.734988031843E-4</v>
      </c>
      <c r="Q73" t="s">
        <v>238</v>
      </c>
      <c r="S73" t="s">
        <v>347</v>
      </c>
      <c r="T73" t="s">
        <v>300</v>
      </c>
      <c r="U73">
        <v>2.2228807845660001E-4</v>
      </c>
      <c r="V73" t="s">
        <v>238</v>
      </c>
      <c r="X73">
        <v>1.1415525114155251E-4</v>
      </c>
      <c r="Y73">
        <v>1.093901499142282E-4</v>
      </c>
      <c r="Z73" t="s">
        <v>300</v>
      </c>
      <c r="AA73" t="s">
        <v>25</v>
      </c>
      <c r="AC73" t="s">
        <v>22</v>
      </c>
      <c r="AD73" t="s">
        <v>300</v>
      </c>
      <c r="AE73">
        <v>1.4550730741179371E-4</v>
      </c>
      <c r="AG73" t="s">
        <v>97</v>
      </c>
      <c r="AH73" t="s">
        <v>300</v>
      </c>
      <c r="AI73">
        <v>0</v>
      </c>
    </row>
    <row r="74" spans="5:35" x14ac:dyDescent="0.45">
      <c r="E74" t="s">
        <v>217</v>
      </c>
      <c r="G74" t="s">
        <v>156</v>
      </c>
      <c r="I74" t="s">
        <v>236</v>
      </c>
      <c r="J74" t="s">
        <v>301</v>
      </c>
      <c r="K74">
        <v>0</v>
      </c>
      <c r="L74" t="s">
        <v>238</v>
      </c>
      <c r="N74" t="s">
        <v>346</v>
      </c>
      <c r="O74" t="s">
        <v>301</v>
      </c>
      <c r="P74">
        <v>2.7373053322289999E-4</v>
      </c>
      <c r="Q74" t="s">
        <v>238</v>
      </c>
      <c r="S74" t="s">
        <v>347</v>
      </c>
      <c r="T74" t="s">
        <v>301</v>
      </c>
      <c r="U74">
        <v>2.2238187173470001E-4</v>
      </c>
      <c r="V74" t="s">
        <v>238</v>
      </c>
      <c r="X74">
        <v>1.1415525114155251E-4</v>
      </c>
      <c r="Y74">
        <v>7.9556472664893237E-5</v>
      </c>
      <c r="Z74" t="s">
        <v>301</v>
      </c>
      <c r="AA74" t="s">
        <v>25</v>
      </c>
      <c r="AC74" t="s">
        <v>22</v>
      </c>
      <c r="AD74" t="s">
        <v>301</v>
      </c>
      <c r="AE74">
        <v>1.4095853861841045E-4</v>
      </c>
      <c r="AG74" t="s">
        <v>97</v>
      </c>
      <c r="AH74" t="s">
        <v>301</v>
      </c>
      <c r="AI74">
        <v>0</v>
      </c>
    </row>
    <row r="75" spans="5:35" x14ac:dyDescent="0.45">
      <c r="E75" t="s">
        <v>218</v>
      </c>
      <c r="G75" t="s">
        <v>156</v>
      </c>
      <c r="I75" t="s">
        <v>236</v>
      </c>
      <c r="J75" t="s">
        <v>302</v>
      </c>
      <c r="K75">
        <v>0</v>
      </c>
      <c r="L75" t="s">
        <v>238</v>
      </c>
      <c r="N75" t="s">
        <v>346</v>
      </c>
      <c r="O75" t="s">
        <v>302</v>
      </c>
      <c r="P75">
        <v>2.7213931748789997E-4</v>
      </c>
      <c r="Q75" t="s">
        <v>238</v>
      </c>
      <c r="S75" t="s">
        <v>347</v>
      </c>
      <c r="T75" t="s">
        <v>302</v>
      </c>
      <c r="U75">
        <v>2.2236565828030001E-4</v>
      </c>
      <c r="V75" t="s">
        <v>238</v>
      </c>
      <c r="X75">
        <v>1.1415525114155251E-4</v>
      </c>
      <c r="Y75">
        <v>5.6352501470966035E-5</v>
      </c>
      <c r="Z75" t="s">
        <v>302</v>
      </c>
      <c r="AA75" t="s">
        <v>25</v>
      </c>
      <c r="AC75" t="s">
        <v>22</v>
      </c>
      <c r="AD75" t="s">
        <v>302</v>
      </c>
      <c r="AE75">
        <v>1.3659321103660663E-4</v>
      </c>
      <c r="AG75" t="s">
        <v>97</v>
      </c>
      <c r="AH75" t="s">
        <v>302</v>
      </c>
      <c r="AI75">
        <v>0</v>
      </c>
    </row>
    <row r="76" spans="5:35" x14ac:dyDescent="0.45">
      <c r="E76" t="s">
        <v>219</v>
      </c>
      <c r="G76" t="s">
        <v>156</v>
      </c>
      <c r="I76" t="s">
        <v>236</v>
      </c>
      <c r="J76" t="s">
        <v>303</v>
      </c>
      <c r="K76">
        <v>0</v>
      </c>
      <c r="L76" t="s">
        <v>238</v>
      </c>
      <c r="N76" t="s">
        <v>346</v>
      </c>
      <c r="O76" t="s">
        <v>303</v>
      </c>
      <c r="P76">
        <v>2.7003796895970001E-4</v>
      </c>
      <c r="Q76" t="s">
        <v>238</v>
      </c>
      <c r="S76" t="s">
        <v>347</v>
      </c>
      <c r="T76" t="s">
        <v>303</v>
      </c>
      <c r="U76">
        <v>2.2216261661259999E-4</v>
      </c>
      <c r="V76" t="s">
        <v>238</v>
      </c>
      <c r="X76">
        <v>1.1415525114155251E-4</v>
      </c>
      <c r="Y76">
        <v>2.9833677249334962E-5</v>
      </c>
      <c r="Z76" t="s">
        <v>303</v>
      </c>
      <c r="AA76" t="s">
        <v>25</v>
      </c>
      <c r="AC76" t="s">
        <v>22</v>
      </c>
      <c r="AD76" t="s">
        <v>303</v>
      </c>
      <c r="AE76">
        <v>1.0215212356257194E-4</v>
      </c>
      <c r="AG76" t="s">
        <v>97</v>
      </c>
      <c r="AH76" t="s">
        <v>303</v>
      </c>
      <c r="AI76">
        <v>0</v>
      </c>
    </row>
    <row r="77" spans="5:35" x14ac:dyDescent="0.45">
      <c r="E77" t="s">
        <v>220</v>
      </c>
      <c r="G77" t="s">
        <v>156</v>
      </c>
      <c r="I77" t="s">
        <v>236</v>
      </c>
      <c r="J77" t="s">
        <v>304</v>
      </c>
      <c r="K77">
        <v>0</v>
      </c>
      <c r="L77" t="s">
        <v>238</v>
      </c>
      <c r="N77" t="s">
        <v>346</v>
      </c>
      <c r="O77" t="s">
        <v>304</v>
      </c>
      <c r="P77">
        <v>2.8506573327434289E-5</v>
      </c>
      <c r="Q77" t="s">
        <v>238</v>
      </c>
      <c r="S77" t="s">
        <v>347</v>
      </c>
      <c r="T77" t="s">
        <v>304</v>
      </c>
      <c r="U77">
        <v>1.1872048794571611E-5</v>
      </c>
      <c r="V77" t="s">
        <v>238</v>
      </c>
      <c r="X77">
        <v>1.1415525114155251E-4</v>
      </c>
      <c r="Y77">
        <v>2.1546544680075254E-5</v>
      </c>
      <c r="Z77" t="s">
        <v>304</v>
      </c>
      <c r="AA77" t="s">
        <v>25</v>
      </c>
      <c r="AC77" t="s">
        <v>22</v>
      </c>
      <c r="AD77" t="s">
        <v>304</v>
      </c>
      <c r="AE77">
        <v>6.4357138464299157E-5</v>
      </c>
      <c r="AG77" t="s">
        <v>97</v>
      </c>
      <c r="AH77" t="s">
        <v>304</v>
      </c>
      <c r="AI77">
        <v>0</v>
      </c>
    </row>
    <row r="78" spans="5:35" x14ac:dyDescent="0.45">
      <c r="E78" t="s">
        <v>221</v>
      </c>
      <c r="G78" t="s">
        <v>156</v>
      </c>
      <c r="I78" t="s">
        <v>236</v>
      </c>
      <c r="J78" t="s">
        <v>305</v>
      </c>
      <c r="K78">
        <v>0</v>
      </c>
      <c r="L78" t="s">
        <v>238</v>
      </c>
      <c r="N78" t="s">
        <v>346</v>
      </c>
      <c r="O78" t="s">
        <v>305</v>
      </c>
      <c r="P78">
        <v>2.4337220951420891E-5</v>
      </c>
      <c r="Q78" t="s">
        <v>238</v>
      </c>
      <c r="S78" t="s">
        <v>347</v>
      </c>
      <c r="T78" t="s">
        <v>305</v>
      </c>
      <c r="U78">
        <v>1.1718500536398084E-5</v>
      </c>
      <c r="V78" t="s">
        <v>238</v>
      </c>
      <c r="X78">
        <v>1.1415525114155251E-4</v>
      </c>
      <c r="Y78">
        <v>1.4916838624667481E-5</v>
      </c>
      <c r="Z78" t="s">
        <v>305</v>
      </c>
      <c r="AA78" t="s">
        <v>25</v>
      </c>
      <c r="AC78" t="s">
        <v>22</v>
      </c>
      <c r="AD78" t="s">
        <v>305</v>
      </c>
      <c r="AE78">
        <v>6.0628122585161419E-5</v>
      </c>
      <c r="AG78" t="s">
        <v>97</v>
      </c>
      <c r="AH78" t="s">
        <v>305</v>
      </c>
      <c r="AI78">
        <v>0</v>
      </c>
    </row>
    <row r="79" spans="5:35" x14ac:dyDescent="0.45">
      <c r="E79" t="s">
        <v>222</v>
      </c>
      <c r="G79" t="s">
        <v>156</v>
      </c>
      <c r="I79" t="s">
        <v>236</v>
      </c>
      <c r="J79" t="s">
        <v>306</v>
      </c>
      <c r="K79">
        <v>0</v>
      </c>
      <c r="L79" t="s">
        <v>238</v>
      </c>
      <c r="N79" t="s">
        <v>346</v>
      </c>
      <c r="O79" t="s">
        <v>306</v>
      </c>
      <c r="P79">
        <v>1.971789554450978E-5</v>
      </c>
      <c r="Q79" t="s">
        <v>238</v>
      </c>
      <c r="S79" t="s">
        <v>347</v>
      </c>
      <c r="T79" t="s">
        <v>306</v>
      </c>
      <c r="U79">
        <v>9.4985815355708083E-6</v>
      </c>
      <c r="V79" t="s">
        <v>238</v>
      </c>
      <c r="X79">
        <v>1.1415525114155251E-4</v>
      </c>
      <c r="Y79">
        <v>1.6574265138519424E-5</v>
      </c>
      <c r="Z79" t="s">
        <v>306</v>
      </c>
      <c r="AA79" t="s">
        <v>25</v>
      </c>
      <c r="AC79" t="s">
        <v>22</v>
      </c>
      <c r="AD79" t="s">
        <v>306</v>
      </c>
      <c r="AE79">
        <v>6.0628122585161419E-5</v>
      </c>
      <c r="AG79" t="s">
        <v>97</v>
      </c>
      <c r="AH79" t="s">
        <v>306</v>
      </c>
      <c r="AI79">
        <v>0</v>
      </c>
    </row>
    <row r="80" spans="5:35" x14ac:dyDescent="0.45">
      <c r="E80" t="s">
        <v>223</v>
      </c>
      <c r="G80" t="s">
        <v>156</v>
      </c>
      <c r="I80" t="s">
        <v>236</v>
      </c>
      <c r="J80" t="s">
        <v>307</v>
      </c>
      <c r="K80">
        <v>0</v>
      </c>
      <c r="L80" t="s">
        <v>238</v>
      </c>
      <c r="N80" t="s">
        <v>346</v>
      </c>
      <c r="O80" t="s">
        <v>307</v>
      </c>
      <c r="P80">
        <v>1.7529012619929225E-5</v>
      </c>
      <c r="Q80" t="s">
        <v>238</v>
      </c>
      <c r="S80" t="s">
        <v>347</v>
      </c>
      <c r="T80" t="s">
        <v>307</v>
      </c>
      <c r="U80">
        <v>8.8871897880432792E-6</v>
      </c>
      <c r="V80" t="s">
        <v>238</v>
      </c>
      <c r="X80">
        <v>1.1415525114155251E-4</v>
      </c>
      <c r="Y80">
        <v>1.4585353321897093E-5</v>
      </c>
      <c r="Z80" t="s">
        <v>307</v>
      </c>
      <c r="AA80" t="s">
        <v>25</v>
      </c>
      <c r="AC80" t="s">
        <v>22</v>
      </c>
      <c r="AD80" t="s">
        <v>307</v>
      </c>
      <c r="AE80">
        <v>6.0719843190951115E-5</v>
      </c>
      <c r="AG80" t="s">
        <v>97</v>
      </c>
      <c r="AH80" t="s">
        <v>307</v>
      </c>
      <c r="AI80">
        <v>0</v>
      </c>
    </row>
    <row r="81" spans="5:35" x14ac:dyDescent="0.45">
      <c r="E81" t="s">
        <v>224</v>
      </c>
      <c r="G81" t="s">
        <v>156</v>
      </c>
      <c r="I81" t="s">
        <v>236</v>
      </c>
      <c r="J81" t="s">
        <v>308</v>
      </c>
      <c r="K81">
        <v>0</v>
      </c>
      <c r="L81" t="s">
        <v>238</v>
      </c>
      <c r="N81" t="s">
        <v>346</v>
      </c>
      <c r="O81" t="s">
        <v>308</v>
      </c>
      <c r="P81">
        <v>1.6390494313295294E-5</v>
      </c>
      <c r="Q81" t="s">
        <v>238</v>
      </c>
      <c r="S81" t="s">
        <v>347</v>
      </c>
      <c r="T81" t="s">
        <v>308</v>
      </c>
      <c r="U81">
        <v>1.0691273269348942E-5</v>
      </c>
      <c r="V81" t="s">
        <v>238</v>
      </c>
      <c r="X81">
        <v>1.1415525114155251E-4</v>
      </c>
      <c r="Y81">
        <v>2.1215059377304864E-5</v>
      </c>
      <c r="Z81" t="s">
        <v>308</v>
      </c>
      <c r="AA81" t="s">
        <v>25</v>
      </c>
      <c r="AC81" t="s">
        <v>22</v>
      </c>
      <c r="AD81" t="s">
        <v>308</v>
      </c>
      <c r="AE81">
        <v>6.1235771598518212E-5</v>
      </c>
      <c r="AG81" t="s">
        <v>97</v>
      </c>
      <c r="AH81" t="s">
        <v>308</v>
      </c>
      <c r="AI81">
        <v>0</v>
      </c>
    </row>
    <row r="82" spans="5:35" x14ac:dyDescent="0.45">
      <c r="E82" t="s">
        <v>225</v>
      </c>
      <c r="G82" t="s">
        <v>156</v>
      </c>
      <c r="I82" t="s">
        <v>236</v>
      </c>
      <c r="J82" t="s">
        <v>309</v>
      </c>
      <c r="K82">
        <v>0</v>
      </c>
      <c r="L82" t="s">
        <v>238</v>
      </c>
      <c r="N82" t="s">
        <v>346</v>
      </c>
      <c r="O82" t="s">
        <v>309</v>
      </c>
      <c r="P82">
        <v>1.303933586582716E-5</v>
      </c>
      <c r="Q82" t="s">
        <v>238</v>
      </c>
      <c r="S82" t="s">
        <v>347</v>
      </c>
      <c r="T82" t="s">
        <v>309</v>
      </c>
      <c r="U82">
        <v>1.0277228536526072E-5</v>
      </c>
      <c r="V82" t="s">
        <v>238</v>
      </c>
      <c r="X82">
        <v>1.1415525114155251E-4</v>
      </c>
      <c r="Y82">
        <v>5.7678442682047593E-5</v>
      </c>
      <c r="Z82" t="s">
        <v>309</v>
      </c>
      <c r="AA82" t="s">
        <v>25</v>
      </c>
      <c r="AC82" t="s">
        <v>22</v>
      </c>
      <c r="AD82" t="s">
        <v>309</v>
      </c>
      <c r="AE82">
        <v>6.2611580685363794E-5</v>
      </c>
      <c r="AG82" t="s">
        <v>97</v>
      </c>
      <c r="AH82" t="s">
        <v>309</v>
      </c>
      <c r="AI82">
        <v>0</v>
      </c>
    </row>
    <row r="83" spans="5:35" x14ac:dyDescent="0.45">
      <c r="E83" t="s">
        <v>226</v>
      </c>
      <c r="G83" t="s">
        <v>146</v>
      </c>
      <c r="I83" t="s">
        <v>236</v>
      </c>
      <c r="J83" t="s">
        <v>310</v>
      </c>
      <c r="K83">
        <v>0</v>
      </c>
      <c r="L83" t="s">
        <v>238</v>
      </c>
      <c r="N83" t="s">
        <v>346</v>
      </c>
      <c r="O83" t="s">
        <v>310</v>
      </c>
      <c r="P83">
        <v>1.0685070718111404E-5</v>
      </c>
      <c r="Q83" t="s">
        <v>238</v>
      </c>
      <c r="S83" t="s">
        <v>347</v>
      </c>
      <c r="T83" t="s">
        <v>310</v>
      </c>
      <c r="U83">
        <v>1.073436312023141E-5</v>
      </c>
      <c r="V83" t="s">
        <v>238</v>
      </c>
      <c r="X83">
        <v>1.1415525114155251E-4</v>
      </c>
      <c r="Y83">
        <v>1.6905750441289813E-4</v>
      </c>
      <c r="Z83" t="s">
        <v>310</v>
      </c>
      <c r="AA83" t="s">
        <v>25</v>
      </c>
      <c r="AC83" t="s">
        <v>22</v>
      </c>
      <c r="AD83" t="s">
        <v>310</v>
      </c>
      <c r="AE83">
        <v>7.4240033738140002E-5</v>
      </c>
      <c r="AG83" t="s">
        <v>97</v>
      </c>
      <c r="AH83" t="s">
        <v>310</v>
      </c>
      <c r="AI83">
        <v>0</v>
      </c>
    </row>
    <row r="84" spans="5:35" x14ac:dyDescent="0.45">
      <c r="E84" t="s">
        <v>227</v>
      </c>
      <c r="G84" t="s">
        <v>146</v>
      </c>
      <c r="I84" t="s">
        <v>236</v>
      </c>
      <c r="J84" t="s">
        <v>311</v>
      </c>
      <c r="K84">
        <v>8.6959533267832638E-6</v>
      </c>
      <c r="L84" t="s">
        <v>238</v>
      </c>
      <c r="N84" t="s">
        <v>346</v>
      </c>
      <c r="O84" t="s">
        <v>311</v>
      </c>
      <c r="P84">
        <v>1.0419011915756948E-5</v>
      </c>
      <c r="Q84" t="s">
        <v>238</v>
      </c>
      <c r="S84" t="s">
        <v>347</v>
      </c>
      <c r="T84" t="s">
        <v>311</v>
      </c>
      <c r="U84">
        <v>1.2326624382868296E-5</v>
      </c>
      <c r="V84" t="s">
        <v>238</v>
      </c>
      <c r="X84">
        <v>1.1415525114155251E-4</v>
      </c>
      <c r="Y84">
        <v>1.9060404909297337E-4</v>
      </c>
      <c r="Z84" t="s">
        <v>311</v>
      </c>
      <c r="AA84" t="s">
        <v>25</v>
      </c>
      <c r="AC84" t="s">
        <v>22</v>
      </c>
      <c r="AD84" t="s">
        <v>311</v>
      </c>
      <c r="AE84">
        <v>8.6854483303155531E-5</v>
      </c>
      <c r="AG84" t="s">
        <v>97</v>
      </c>
      <c r="AH84" t="s">
        <v>311</v>
      </c>
      <c r="AI84">
        <v>0</v>
      </c>
    </row>
    <row r="85" spans="5:35" x14ac:dyDescent="0.45">
      <c r="E85" t="s">
        <v>228</v>
      </c>
      <c r="G85" t="s">
        <v>146</v>
      </c>
      <c r="I85" t="s">
        <v>236</v>
      </c>
      <c r="J85" t="s">
        <v>312</v>
      </c>
      <c r="K85">
        <v>2.8022329701780007E-5</v>
      </c>
      <c r="L85" t="s">
        <v>238</v>
      </c>
      <c r="N85" t="s">
        <v>346</v>
      </c>
      <c r="O85" t="s">
        <v>312</v>
      </c>
      <c r="P85">
        <v>1.02718956039358E-5</v>
      </c>
      <c r="Q85" t="s">
        <v>238</v>
      </c>
      <c r="S85" t="s">
        <v>347</v>
      </c>
      <c r="T85" t="s">
        <v>312</v>
      </c>
      <c r="U85">
        <v>1.4757504529974031E-5</v>
      </c>
      <c r="V85" t="s">
        <v>238</v>
      </c>
      <c r="X85">
        <v>1.1415525114155251E-4</v>
      </c>
      <c r="Y85">
        <v>1.4585353321897094E-4</v>
      </c>
      <c r="Z85" t="s">
        <v>312</v>
      </c>
      <c r="AA85" t="s">
        <v>25</v>
      </c>
      <c r="AC85" t="s">
        <v>22</v>
      </c>
      <c r="AD85" t="s">
        <v>312</v>
      </c>
      <c r="AE85">
        <v>9.341537288605046E-5</v>
      </c>
      <c r="AG85" t="s">
        <v>97</v>
      </c>
      <c r="AH85" t="s">
        <v>312</v>
      </c>
      <c r="AI85">
        <v>0</v>
      </c>
    </row>
    <row r="86" spans="5:35" x14ac:dyDescent="0.45">
      <c r="E86" t="s">
        <v>229</v>
      </c>
      <c r="G86" t="s">
        <v>146</v>
      </c>
      <c r="I86" t="s">
        <v>236</v>
      </c>
      <c r="J86" t="s">
        <v>313</v>
      </c>
      <c r="K86">
        <v>4.7613538160050058E-5</v>
      </c>
      <c r="L86" t="s">
        <v>238</v>
      </c>
      <c r="N86" t="s">
        <v>346</v>
      </c>
      <c r="O86" t="s">
        <v>313</v>
      </c>
      <c r="P86">
        <v>9.4404321569721215E-6</v>
      </c>
      <c r="Q86" t="s">
        <v>238</v>
      </c>
      <c r="S86" t="s">
        <v>347</v>
      </c>
      <c r="T86" t="s">
        <v>313</v>
      </c>
      <c r="U86">
        <v>1.7442292261083336E-5</v>
      </c>
      <c r="V86" t="s">
        <v>238</v>
      </c>
      <c r="X86">
        <v>1.1415525114155251E-4</v>
      </c>
      <c r="Y86">
        <v>1.4452759200788939E-4</v>
      </c>
      <c r="Z86" t="s">
        <v>313</v>
      </c>
      <c r="AA86" t="s">
        <v>25</v>
      </c>
      <c r="AC86" t="s">
        <v>22</v>
      </c>
      <c r="AD86" t="s">
        <v>313</v>
      </c>
      <c r="AE86">
        <v>9.6141194639363275E-5</v>
      </c>
      <c r="AG86" t="s">
        <v>97</v>
      </c>
      <c r="AH86" t="s">
        <v>313</v>
      </c>
      <c r="AI86">
        <v>0</v>
      </c>
    </row>
    <row r="87" spans="5:35" x14ac:dyDescent="0.45">
      <c r="E87" t="s">
        <v>230</v>
      </c>
      <c r="G87" t="s">
        <v>146</v>
      </c>
      <c r="I87" t="s">
        <v>236</v>
      </c>
      <c r="J87" t="s">
        <v>314</v>
      </c>
      <c r="K87">
        <v>6.8911691850348609E-5</v>
      </c>
      <c r="L87" t="s">
        <v>238</v>
      </c>
      <c r="N87" t="s">
        <v>346</v>
      </c>
      <c r="O87" t="s">
        <v>314</v>
      </c>
      <c r="P87">
        <v>7.7715796828536144E-6</v>
      </c>
      <c r="Q87" t="s">
        <v>238</v>
      </c>
      <c r="S87" t="s">
        <v>347</v>
      </c>
      <c r="T87" t="s">
        <v>314</v>
      </c>
      <c r="U87">
        <v>1.9139744935954811E-5</v>
      </c>
      <c r="V87" t="s">
        <v>238</v>
      </c>
      <c r="X87">
        <v>1.1415525114155251E-4</v>
      </c>
      <c r="Y87">
        <v>1.408812536774151E-4</v>
      </c>
      <c r="Z87" t="s">
        <v>314</v>
      </c>
      <c r="AA87" t="s">
        <v>25</v>
      </c>
      <c r="AC87" t="s">
        <v>22</v>
      </c>
      <c r="AD87" t="s">
        <v>314</v>
      </c>
      <c r="AE87">
        <v>9.4966024377682678E-5</v>
      </c>
      <c r="AG87" t="s">
        <v>97</v>
      </c>
      <c r="AH87" t="s">
        <v>314</v>
      </c>
      <c r="AI87">
        <v>0</v>
      </c>
    </row>
    <row r="88" spans="5:35" x14ac:dyDescent="0.45">
      <c r="E88" t="s">
        <v>231</v>
      </c>
      <c r="G88" t="s">
        <v>146</v>
      </c>
      <c r="I88" t="s">
        <v>236</v>
      </c>
      <c r="J88" t="s">
        <v>315</v>
      </c>
      <c r="K88">
        <v>8.8078731657053553E-5</v>
      </c>
      <c r="L88" t="s">
        <v>238</v>
      </c>
      <c r="N88" t="s">
        <v>346</v>
      </c>
      <c r="O88" t="s">
        <v>315</v>
      </c>
      <c r="P88">
        <v>7.6434829553905244E-6</v>
      </c>
      <c r="Q88" t="s">
        <v>238</v>
      </c>
      <c r="S88" t="s">
        <v>347</v>
      </c>
      <c r="T88" t="s">
        <v>315</v>
      </c>
      <c r="U88">
        <v>2.1849473281409998E-5</v>
      </c>
      <c r="V88" t="s">
        <v>238</v>
      </c>
      <c r="X88">
        <v>1.1415525114155251E-4</v>
      </c>
      <c r="Y88">
        <v>1.4054976837464471E-4</v>
      </c>
      <c r="Z88" t="s">
        <v>315</v>
      </c>
      <c r="AA88" t="s">
        <v>25</v>
      </c>
      <c r="AC88" t="s">
        <v>22</v>
      </c>
      <c r="AD88" t="s">
        <v>315</v>
      </c>
      <c r="AE88">
        <v>9.4880036309754831E-5</v>
      </c>
      <c r="AG88" t="s">
        <v>97</v>
      </c>
      <c r="AH88" t="s">
        <v>315</v>
      </c>
      <c r="AI88">
        <v>0</v>
      </c>
    </row>
    <row r="89" spans="5:35" x14ac:dyDescent="0.45">
      <c r="E89" t="s">
        <v>232</v>
      </c>
      <c r="G89" t="s">
        <v>146</v>
      </c>
      <c r="I89" t="s">
        <v>236</v>
      </c>
      <c r="J89" t="s">
        <v>316</v>
      </c>
      <c r="K89">
        <v>9.9134479780565107E-5</v>
      </c>
      <c r="L89" t="s">
        <v>238</v>
      </c>
      <c r="N89" t="s">
        <v>346</v>
      </c>
      <c r="O89" t="s">
        <v>316</v>
      </c>
      <c r="P89">
        <v>1.1930199972543029E-5</v>
      </c>
      <c r="Q89" t="s">
        <v>238</v>
      </c>
      <c r="S89" t="s">
        <v>347</v>
      </c>
      <c r="T89" t="s">
        <v>316</v>
      </c>
      <c r="U89">
        <v>2.2551867428991071E-5</v>
      </c>
      <c r="V89" t="s">
        <v>238</v>
      </c>
      <c r="X89">
        <v>1.1415525114155251E-4</v>
      </c>
      <c r="Y89">
        <v>1.4253868019126702E-4</v>
      </c>
      <c r="Z89" t="s">
        <v>316</v>
      </c>
      <c r="AA89" t="s">
        <v>25</v>
      </c>
      <c r="AC89" t="s">
        <v>22</v>
      </c>
      <c r="AD89" t="s">
        <v>316</v>
      </c>
      <c r="AE89">
        <v>9.4576211803076431E-5</v>
      </c>
      <c r="AG89" t="s">
        <v>97</v>
      </c>
      <c r="AH89" t="s">
        <v>316</v>
      </c>
      <c r="AI89">
        <v>0</v>
      </c>
    </row>
    <row r="90" spans="5:35" x14ac:dyDescent="0.45">
      <c r="E90" t="s">
        <v>233</v>
      </c>
      <c r="G90" t="s">
        <v>146</v>
      </c>
      <c r="I90" t="s">
        <v>236</v>
      </c>
      <c r="J90" t="s">
        <v>317</v>
      </c>
      <c r="K90">
        <v>1.124954710961E-4</v>
      </c>
      <c r="L90" t="s">
        <v>238</v>
      </c>
      <c r="N90" t="s">
        <v>346</v>
      </c>
      <c r="O90" t="s">
        <v>317</v>
      </c>
      <c r="P90">
        <v>1.5170722051069231E-5</v>
      </c>
      <c r="Q90" t="s">
        <v>238</v>
      </c>
      <c r="S90" t="s">
        <v>347</v>
      </c>
      <c r="T90" t="s">
        <v>317</v>
      </c>
      <c r="U90">
        <v>2.4054920438718008E-5</v>
      </c>
      <c r="V90" t="s">
        <v>238</v>
      </c>
      <c r="X90">
        <v>1.1415525114155251E-4</v>
      </c>
      <c r="Y90">
        <v>1.4883690094390442E-4</v>
      </c>
      <c r="Z90" t="s">
        <v>317</v>
      </c>
      <c r="AA90" t="s">
        <v>25</v>
      </c>
      <c r="AC90" t="s">
        <v>22</v>
      </c>
      <c r="AD90" t="s">
        <v>317</v>
      </c>
      <c r="AE90">
        <v>9.3555820063665921E-5</v>
      </c>
      <c r="AG90" t="s">
        <v>97</v>
      </c>
      <c r="AH90" t="s">
        <v>317</v>
      </c>
      <c r="AI90">
        <v>0</v>
      </c>
    </row>
    <row r="91" spans="5:35" x14ac:dyDescent="0.45">
      <c r="E91" t="s">
        <v>234</v>
      </c>
      <c r="G91" t="s">
        <v>146</v>
      </c>
      <c r="I91" t="s">
        <v>236</v>
      </c>
      <c r="J91" t="s">
        <v>318</v>
      </c>
      <c r="K91">
        <v>1.0325776692539999E-4</v>
      </c>
      <c r="L91" t="s">
        <v>238</v>
      </c>
      <c r="N91" t="s">
        <v>346</v>
      </c>
      <c r="O91" t="s">
        <v>318</v>
      </c>
      <c r="P91">
        <v>1.840462191585694E-5</v>
      </c>
      <c r="Q91" t="s">
        <v>238</v>
      </c>
      <c r="S91" t="s">
        <v>347</v>
      </c>
      <c r="T91" t="s">
        <v>318</v>
      </c>
      <c r="U91">
        <v>2.6152599690337569E-5</v>
      </c>
      <c r="V91" t="s">
        <v>238</v>
      </c>
      <c r="X91">
        <v>1.1415525114155251E-4</v>
      </c>
      <c r="Y91">
        <v>1.5049432745775637E-4</v>
      </c>
      <c r="Z91" t="s">
        <v>318</v>
      </c>
      <c r="AA91" t="s">
        <v>25</v>
      </c>
      <c r="AC91" t="s">
        <v>22</v>
      </c>
      <c r="AD91" t="s">
        <v>318</v>
      </c>
      <c r="AE91">
        <v>9.2876514327035927E-5</v>
      </c>
      <c r="AG91" t="s">
        <v>97</v>
      </c>
      <c r="AH91" t="s">
        <v>318</v>
      </c>
      <c r="AI91">
        <v>0</v>
      </c>
    </row>
    <row r="92" spans="5:35" x14ac:dyDescent="0.45">
      <c r="I92" t="s">
        <v>236</v>
      </c>
      <c r="J92" t="s">
        <v>319</v>
      </c>
      <c r="K92">
        <v>8.9447506332019633E-5</v>
      </c>
      <c r="L92" t="s">
        <v>238</v>
      </c>
      <c r="N92" t="s">
        <v>346</v>
      </c>
      <c r="O92" t="s">
        <v>319</v>
      </c>
      <c r="P92">
        <v>1.8879600156053442E-5</v>
      </c>
      <c r="Q92" t="s">
        <v>238</v>
      </c>
      <c r="S92" t="s">
        <v>347</v>
      </c>
      <c r="T92" t="s">
        <v>319</v>
      </c>
      <c r="U92">
        <v>2.8225475948737245E-5</v>
      </c>
      <c r="V92" t="s">
        <v>238</v>
      </c>
      <c r="X92">
        <v>1.1415525114155251E-4</v>
      </c>
      <c r="Y92">
        <v>1.7237235744060203E-4</v>
      </c>
      <c r="Z92" t="s">
        <v>319</v>
      </c>
      <c r="AA92" t="s">
        <v>25</v>
      </c>
      <c r="AC92" t="s">
        <v>22</v>
      </c>
      <c r="AD92" t="s">
        <v>319</v>
      </c>
      <c r="AE92">
        <v>9.3160274951197832E-5</v>
      </c>
      <c r="AG92" t="s">
        <v>97</v>
      </c>
      <c r="AH92" t="s">
        <v>319</v>
      </c>
      <c r="AI92">
        <v>0</v>
      </c>
    </row>
    <row r="93" spans="5:35" x14ac:dyDescent="0.45">
      <c r="I93" t="s">
        <v>236</v>
      </c>
      <c r="J93" t="s">
        <v>320</v>
      </c>
      <c r="K93">
        <v>6.0280175231801832E-5</v>
      </c>
      <c r="L93" t="s">
        <v>238</v>
      </c>
      <c r="N93" t="s">
        <v>346</v>
      </c>
      <c r="O93" t="s">
        <v>320</v>
      </c>
      <c r="P93">
        <v>2.0105461868299867E-5</v>
      </c>
      <c r="Q93" t="s">
        <v>238</v>
      </c>
      <c r="S93" t="s">
        <v>347</v>
      </c>
      <c r="T93" t="s">
        <v>320</v>
      </c>
      <c r="U93">
        <v>3.017158031353431E-5</v>
      </c>
      <c r="V93" t="s">
        <v>238</v>
      </c>
      <c r="X93">
        <v>1.1415525114155251E-4</v>
      </c>
      <c r="Y93">
        <v>2.2209515285616027E-4</v>
      </c>
      <c r="Z93" t="s">
        <v>320</v>
      </c>
      <c r="AA93" t="s">
        <v>25</v>
      </c>
      <c r="AC93" t="s">
        <v>22</v>
      </c>
      <c r="AD93" t="s">
        <v>320</v>
      </c>
      <c r="AE93">
        <v>9.4490223735148584E-5</v>
      </c>
      <c r="AG93" t="s">
        <v>97</v>
      </c>
      <c r="AH93" t="s">
        <v>320</v>
      </c>
      <c r="AI93">
        <v>0</v>
      </c>
    </row>
    <row r="94" spans="5:35" x14ac:dyDescent="0.45">
      <c r="I94" t="s">
        <v>236</v>
      </c>
      <c r="J94" t="s">
        <v>321</v>
      </c>
      <c r="K94">
        <v>3.3493743892819454E-5</v>
      </c>
      <c r="L94" t="s">
        <v>238</v>
      </c>
      <c r="N94" t="s">
        <v>346</v>
      </c>
      <c r="O94" t="s">
        <v>321</v>
      </c>
      <c r="P94">
        <v>1.9834157076084809E-5</v>
      </c>
      <c r="Q94" t="s">
        <v>238</v>
      </c>
      <c r="S94" t="s">
        <v>347</v>
      </c>
      <c r="T94" t="s">
        <v>321</v>
      </c>
      <c r="U94">
        <v>3.3880316763788743E-5</v>
      </c>
      <c r="V94" t="s">
        <v>238</v>
      </c>
      <c r="X94">
        <v>1.1415525114155251E-4</v>
      </c>
      <c r="Y94">
        <v>2.2209515285616027E-4</v>
      </c>
      <c r="Z94" t="s">
        <v>321</v>
      </c>
      <c r="AA94" t="s">
        <v>25</v>
      </c>
      <c r="AC94" t="s">
        <v>22</v>
      </c>
      <c r="AD94" t="s">
        <v>321</v>
      </c>
      <c r="AE94">
        <v>9.4748187938932112E-5</v>
      </c>
      <c r="AG94" t="s">
        <v>97</v>
      </c>
      <c r="AH94" t="s">
        <v>321</v>
      </c>
      <c r="AI94">
        <v>0</v>
      </c>
    </row>
    <row r="95" spans="5:35" x14ac:dyDescent="0.45">
      <c r="I95" t="s">
        <v>236</v>
      </c>
      <c r="J95" t="s">
        <v>322</v>
      </c>
      <c r="K95">
        <v>2.9970651830318938E-6</v>
      </c>
      <c r="L95" t="s">
        <v>238</v>
      </c>
      <c r="N95" t="s">
        <v>346</v>
      </c>
      <c r="O95" t="s">
        <v>322</v>
      </c>
      <c r="P95">
        <v>2.2973244542486662E-5</v>
      </c>
      <c r="Q95" t="s">
        <v>238</v>
      </c>
      <c r="S95" t="s">
        <v>347</v>
      </c>
      <c r="T95" t="s">
        <v>322</v>
      </c>
      <c r="U95">
        <v>4.0033961758395852E-5</v>
      </c>
      <c r="V95" t="s">
        <v>238</v>
      </c>
      <c r="X95">
        <v>1.1415525114155251E-4</v>
      </c>
      <c r="Y95">
        <v>1.7237235744060203E-4</v>
      </c>
      <c r="Z95" t="s">
        <v>322</v>
      </c>
      <c r="AA95" t="s">
        <v>25</v>
      </c>
      <c r="AC95" t="s">
        <v>22</v>
      </c>
      <c r="AD95" t="s">
        <v>322</v>
      </c>
      <c r="AE95">
        <v>9.479404824182697E-5</v>
      </c>
      <c r="AG95" t="s">
        <v>97</v>
      </c>
      <c r="AH95" t="s">
        <v>322</v>
      </c>
      <c r="AI95">
        <v>0</v>
      </c>
    </row>
    <row r="96" spans="5:35" x14ac:dyDescent="0.45">
      <c r="I96" t="s">
        <v>236</v>
      </c>
      <c r="J96" t="s">
        <v>323</v>
      </c>
      <c r="K96">
        <v>0</v>
      </c>
      <c r="L96" t="s">
        <v>238</v>
      </c>
      <c r="N96" t="s">
        <v>346</v>
      </c>
      <c r="O96" t="s">
        <v>323</v>
      </c>
      <c r="P96">
        <v>2.9371957733785545E-5</v>
      </c>
      <c r="Q96" t="s">
        <v>238</v>
      </c>
      <c r="S96" t="s">
        <v>347</v>
      </c>
      <c r="T96" t="s">
        <v>323</v>
      </c>
      <c r="U96">
        <v>4.6030290978479055E-5</v>
      </c>
      <c r="V96" t="s">
        <v>238</v>
      </c>
      <c r="X96">
        <v>1.1415525114155251E-4</v>
      </c>
      <c r="Y96">
        <v>1.5579809230208258E-4</v>
      </c>
      <c r="Z96" t="s">
        <v>323</v>
      </c>
      <c r="AA96" t="s">
        <v>25</v>
      </c>
      <c r="AC96" t="s">
        <v>22</v>
      </c>
      <c r="AD96" t="s">
        <v>323</v>
      </c>
      <c r="AE96">
        <v>9.4928762881580603E-5</v>
      </c>
      <c r="AG96" t="s">
        <v>97</v>
      </c>
      <c r="AH96" t="s">
        <v>323</v>
      </c>
      <c r="AI96">
        <v>0</v>
      </c>
    </row>
    <row r="97" spans="9:35" x14ac:dyDescent="0.45">
      <c r="I97" t="s">
        <v>236</v>
      </c>
      <c r="J97" t="s">
        <v>324</v>
      </c>
      <c r="K97">
        <v>0</v>
      </c>
      <c r="L97" t="s">
        <v>238</v>
      </c>
      <c r="N97" t="s">
        <v>346</v>
      </c>
      <c r="O97" t="s">
        <v>324</v>
      </c>
      <c r="P97">
        <v>3.3904847763952998E-5</v>
      </c>
      <c r="Q97" t="s">
        <v>238</v>
      </c>
      <c r="S97" t="s">
        <v>347</v>
      </c>
      <c r="T97" t="s">
        <v>324</v>
      </c>
      <c r="U97">
        <v>5.0388052655111682E-5</v>
      </c>
      <c r="V97" t="s">
        <v>238</v>
      </c>
      <c r="X97">
        <v>1.1415525114155251E-4</v>
      </c>
      <c r="Y97">
        <v>1.093901499142282E-4</v>
      </c>
      <c r="Z97" t="s">
        <v>324</v>
      </c>
      <c r="AA97" t="s">
        <v>25</v>
      </c>
      <c r="AC97" t="s">
        <v>22</v>
      </c>
      <c r="AD97" t="s">
        <v>324</v>
      </c>
      <c r="AE97">
        <v>9.3249129288056607E-5</v>
      </c>
      <c r="AG97" t="s">
        <v>97</v>
      </c>
      <c r="AH97" t="s">
        <v>324</v>
      </c>
      <c r="AI97">
        <v>0</v>
      </c>
    </row>
    <row r="98" spans="9:35" x14ac:dyDescent="0.45">
      <c r="I98" t="s">
        <v>236</v>
      </c>
      <c r="J98" t="s">
        <v>325</v>
      </c>
      <c r="K98">
        <v>0</v>
      </c>
      <c r="L98" t="s">
        <v>238</v>
      </c>
      <c r="N98" t="s">
        <v>346</v>
      </c>
      <c r="O98" t="s">
        <v>325</v>
      </c>
      <c r="P98">
        <v>3.9185236963807563E-5</v>
      </c>
      <c r="Q98" t="s">
        <v>238</v>
      </c>
      <c r="S98" t="s">
        <v>347</v>
      </c>
      <c r="T98" t="s">
        <v>325</v>
      </c>
      <c r="U98">
        <v>5.8974037720713233E-5</v>
      </c>
      <c r="V98" t="s">
        <v>238</v>
      </c>
      <c r="X98">
        <v>1.1415525114155251E-4</v>
      </c>
      <c r="Y98">
        <v>7.9556472664893237E-5</v>
      </c>
      <c r="Z98" t="s">
        <v>325</v>
      </c>
      <c r="AA98" t="s">
        <v>25</v>
      </c>
      <c r="AC98" t="s">
        <v>22</v>
      </c>
      <c r="AD98" t="s">
        <v>325</v>
      </c>
      <c r="AE98">
        <v>8.7966595648355744E-5</v>
      </c>
      <c r="AG98" t="s">
        <v>97</v>
      </c>
      <c r="AH98" t="s">
        <v>325</v>
      </c>
      <c r="AI98">
        <v>0</v>
      </c>
    </row>
    <row r="99" spans="9:35" x14ac:dyDescent="0.45">
      <c r="I99" t="s">
        <v>236</v>
      </c>
      <c r="J99" t="s">
        <v>326</v>
      </c>
      <c r="K99">
        <v>0</v>
      </c>
      <c r="L99" t="s">
        <v>238</v>
      </c>
      <c r="N99" t="s">
        <v>346</v>
      </c>
      <c r="O99" t="s">
        <v>326</v>
      </c>
      <c r="P99">
        <v>4.7913592449489336E-5</v>
      </c>
      <c r="Q99" t="s">
        <v>238</v>
      </c>
      <c r="S99" t="s">
        <v>347</v>
      </c>
      <c r="T99" t="s">
        <v>326</v>
      </c>
      <c r="U99">
        <v>7.4289607544449733E-5</v>
      </c>
      <c r="V99" t="s">
        <v>238</v>
      </c>
      <c r="X99">
        <v>1.1415525114155251E-4</v>
      </c>
      <c r="Y99">
        <v>5.6352501470966035E-5</v>
      </c>
      <c r="Z99" t="s">
        <v>326</v>
      </c>
      <c r="AA99" t="s">
        <v>25</v>
      </c>
      <c r="AC99" t="s">
        <v>22</v>
      </c>
      <c r="AD99" t="s">
        <v>326</v>
      </c>
      <c r="AE99">
        <v>8.8551314510265094E-5</v>
      </c>
      <c r="AG99" t="s">
        <v>97</v>
      </c>
      <c r="AH99" t="s">
        <v>326</v>
      </c>
      <c r="AI99">
        <v>0</v>
      </c>
    </row>
    <row r="100" spans="9:35" x14ac:dyDescent="0.45">
      <c r="I100" t="s">
        <v>236</v>
      </c>
      <c r="J100" t="s">
        <v>327</v>
      </c>
      <c r="K100">
        <v>0</v>
      </c>
      <c r="L100" t="s">
        <v>238</v>
      </c>
      <c r="N100" t="s">
        <v>346</v>
      </c>
      <c r="O100" t="s">
        <v>327</v>
      </c>
      <c r="P100">
        <v>5.0412180859024105E-5</v>
      </c>
      <c r="Q100" t="s">
        <v>238</v>
      </c>
      <c r="S100" t="s">
        <v>347</v>
      </c>
      <c r="T100" t="s">
        <v>327</v>
      </c>
      <c r="U100">
        <v>7.5977040902880293E-5</v>
      </c>
      <c r="V100" t="s">
        <v>238</v>
      </c>
      <c r="X100">
        <v>1.1415525114155251E-4</v>
      </c>
      <c r="Y100">
        <v>2.9833677249334962E-5</v>
      </c>
      <c r="Z100" t="s">
        <v>327</v>
      </c>
      <c r="AA100" t="s">
        <v>25</v>
      </c>
      <c r="AC100" t="s">
        <v>22</v>
      </c>
      <c r="AD100" t="s">
        <v>327</v>
      </c>
      <c r="AE100">
        <v>7.8390391150124226E-5</v>
      </c>
      <c r="AG100" t="s">
        <v>97</v>
      </c>
      <c r="AH100" t="s">
        <v>327</v>
      </c>
      <c r="AI100">
        <v>0</v>
      </c>
    </row>
    <row r="101" spans="9:35" x14ac:dyDescent="0.45">
      <c r="I101" t="s">
        <v>236</v>
      </c>
      <c r="J101" t="s">
        <v>328</v>
      </c>
      <c r="K101">
        <v>0</v>
      </c>
      <c r="L101" t="s">
        <v>238</v>
      </c>
      <c r="N101" t="s">
        <v>346</v>
      </c>
      <c r="O101" t="s">
        <v>328</v>
      </c>
      <c r="P101">
        <v>2.3270983243587194E-2</v>
      </c>
      <c r="Q101" t="s">
        <v>238</v>
      </c>
      <c r="S101" t="s">
        <v>347</v>
      </c>
      <c r="T101" t="s">
        <v>328</v>
      </c>
      <c r="U101">
        <v>2.3147017709462602E-2</v>
      </c>
      <c r="V101" t="s">
        <v>238</v>
      </c>
      <c r="X101">
        <v>2.0547945205479451E-2</v>
      </c>
      <c r="Y101">
        <v>4.3954951147353507E-3</v>
      </c>
      <c r="Z101" t="s">
        <v>328</v>
      </c>
      <c r="AA101" t="s">
        <v>25</v>
      </c>
      <c r="AC101" t="s">
        <v>22</v>
      </c>
      <c r="AD101" t="s">
        <v>328</v>
      </c>
      <c r="AE101">
        <v>1.5405648074805758E-2</v>
      </c>
      <c r="AG101" t="s">
        <v>97</v>
      </c>
      <c r="AH101" t="s">
        <v>328</v>
      </c>
      <c r="AI101">
        <v>0.22401999671530937</v>
      </c>
    </row>
    <row r="102" spans="9:35" x14ac:dyDescent="0.45">
      <c r="I102" t="s">
        <v>236</v>
      </c>
      <c r="J102" t="s">
        <v>329</v>
      </c>
      <c r="K102">
        <v>0</v>
      </c>
      <c r="L102" t="s">
        <v>238</v>
      </c>
      <c r="N102" t="s">
        <v>346</v>
      </c>
      <c r="O102" t="s">
        <v>329</v>
      </c>
      <c r="P102">
        <v>3.8521435915883453E-3</v>
      </c>
      <c r="Q102" t="s">
        <v>238</v>
      </c>
      <c r="S102" t="s">
        <v>347</v>
      </c>
      <c r="T102" t="s">
        <v>329</v>
      </c>
      <c r="U102">
        <v>3.7017099285008054E-3</v>
      </c>
      <c r="V102" t="s">
        <v>238</v>
      </c>
      <c r="X102">
        <v>3.4246575342465752E-3</v>
      </c>
      <c r="Y102">
        <v>5.0717251323869452E-3</v>
      </c>
      <c r="Z102" t="s">
        <v>329</v>
      </c>
      <c r="AA102" t="s">
        <v>25</v>
      </c>
      <c r="AC102" t="s">
        <v>22</v>
      </c>
      <c r="AD102" t="s">
        <v>329</v>
      </c>
      <c r="AE102">
        <v>3.6545444845130057E-3</v>
      </c>
      <c r="AG102" t="s">
        <v>97</v>
      </c>
      <c r="AH102" t="s">
        <v>329</v>
      </c>
      <c r="AI102">
        <v>0.11358643172197058</v>
      </c>
    </row>
    <row r="103" spans="9:35" x14ac:dyDescent="0.45">
      <c r="I103" t="s">
        <v>236</v>
      </c>
      <c r="J103" t="s">
        <v>330</v>
      </c>
      <c r="K103">
        <v>1.0476133313176833E-4</v>
      </c>
      <c r="L103" t="s">
        <v>238</v>
      </c>
      <c r="N103" t="s">
        <v>346</v>
      </c>
      <c r="O103" t="s">
        <v>330</v>
      </c>
      <c r="P103">
        <v>3.8484639890142948E-3</v>
      </c>
      <c r="Q103" t="s">
        <v>238</v>
      </c>
      <c r="S103" t="s">
        <v>347</v>
      </c>
      <c r="T103" t="s">
        <v>330</v>
      </c>
      <c r="U103">
        <v>3.7344516712660824E-3</v>
      </c>
      <c r="V103" t="s">
        <v>238</v>
      </c>
      <c r="X103">
        <v>3.4246575342465752E-3</v>
      </c>
      <c r="Y103">
        <v>5.7181214727892006E-3</v>
      </c>
      <c r="Z103" t="s">
        <v>330</v>
      </c>
      <c r="AA103" t="s">
        <v>25</v>
      </c>
      <c r="AC103" t="s">
        <v>22</v>
      </c>
      <c r="AD103" t="s">
        <v>330</v>
      </c>
      <c r="AE103">
        <v>3.8592792079802851E-3</v>
      </c>
      <c r="AG103" t="s">
        <v>97</v>
      </c>
      <c r="AH103" t="s">
        <v>330</v>
      </c>
      <c r="AI103">
        <v>9.6767771206650144E-2</v>
      </c>
    </row>
    <row r="104" spans="9:35" x14ac:dyDescent="0.45">
      <c r="I104" t="s">
        <v>236</v>
      </c>
      <c r="J104" t="s">
        <v>331</v>
      </c>
      <c r="K104">
        <v>1.2538470161843739E-3</v>
      </c>
      <c r="L104" t="s">
        <v>238</v>
      </c>
      <c r="N104" t="s">
        <v>346</v>
      </c>
      <c r="O104" t="s">
        <v>331</v>
      </c>
      <c r="P104">
        <v>3.8119593032673637E-3</v>
      </c>
      <c r="Q104" t="s">
        <v>238</v>
      </c>
      <c r="S104" t="s">
        <v>347</v>
      </c>
      <c r="T104" t="s">
        <v>331</v>
      </c>
      <c r="U104">
        <v>3.7651324667083864E-3</v>
      </c>
      <c r="V104" t="s">
        <v>238</v>
      </c>
      <c r="X104">
        <v>3.4246575342465752E-3</v>
      </c>
      <c r="Y104">
        <v>4.3756059965691279E-3</v>
      </c>
      <c r="Z104" t="s">
        <v>331</v>
      </c>
      <c r="AA104" t="s">
        <v>25</v>
      </c>
      <c r="AC104" t="s">
        <v>22</v>
      </c>
      <c r="AD104" t="s">
        <v>331</v>
      </c>
      <c r="AE104">
        <v>4.0647792252521209E-3</v>
      </c>
      <c r="AG104" t="s">
        <v>97</v>
      </c>
      <c r="AH104" t="s">
        <v>331</v>
      </c>
      <c r="AI104">
        <v>9.8207429969362936E-2</v>
      </c>
    </row>
    <row r="105" spans="9:35" x14ac:dyDescent="0.45">
      <c r="I105" t="s">
        <v>236</v>
      </c>
      <c r="J105" t="s">
        <v>332</v>
      </c>
      <c r="K105">
        <v>2.2926065465161544E-2</v>
      </c>
      <c r="L105" t="s">
        <v>238</v>
      </c>
      <c r="N105" t="s">
        <v>346</v>
      </c>
      <c r="O105" t="s">
        <v>332</v>
      </c>
      <c r="P105">
        <v>2.1471016169551323E-2</v>
      </c>
      <c r="Q105" t="s">
        <v>238</v>
      </c>
      <c r="S105" t="s">
        <v>347</v>
      </c>
      <c r="T105" t="s">
        <v>332</v>
      </c>
      <c r="U105">
        <v>2.2403695124684743E-2</v>
      </c>
      <c r="V105" t="s">
        <v>238</v>
      </c>
      <c r="X105">
        <v>2.0547945205479451E-2</v>
      </c>
      <c r="Y105">
        <v>2.603485567958631E-2</v>
      </c>
      <c r="Z105" t="s">
        <v>332</v>
      </c>
      <c r="AA105" t="s">
        <v>25</v>
      </c>
      <c r="AC105" t="s">
        <v>22</v>
      </c>
      <c r="AD105" t="s">
        <v>332</v>
      </c>
      <c r="AE105">
        <v>2.4436089172168145E-2</v>
      </c>
      <c r="AG105" t="s">
        <v>97</v>
      </c>
      <c r="AH105" t="s">
        <v>332</v>
      </c>
      <c r="AI105">
        <v>0.10643838391302185</v>
      </c>
    </row>
    <row r="106" spans="9:35" x14ac:dyDescent="0.45">
      <c r="I106" t="s">
        <v>236</v>
      </c>
      <c r="J106" t="s">
        <v>333</v>
      </c>
      <c r="K106">
        <v>2.9298361358901012E-3</v>
      </c>
      <c r="L106" t="s">
        <v>238</v>
      </c>
      <c r="N106" t="s">
        <v>346</v>
      </c>
      <c r="O106" t="s">
        <v>333</v>
      </c>
      <c r="P106">
        <v>3.548369714146351E-3</v>
      </c>
      <c r="Q106" t="s">
        <v>238</v>
      </c>
      <c r="S106" t="s">
        <v>347</v>
      </c>
      <c r="T106" t="s">
        <v>333</v>
      </c>
      <c r="U106">
        <v>3.6987711250508894E-3</v>
      </c>
      <c r="V106" t="s">
        <v>238</v>
      </c>
      <c r="X106">
        <v>3.4246575342465752E-3</v>
      </c>
      <c r="Y106">
        <v>5.1711707232180593E-3</v>
      </c>
      <c r="Z106" t="s">
        <v>333</v>
      </c>
      <c r="AA106" t="s">
        <v>25</v>
      </c>
      <c r="AC106" t="s">
        <v>22</v>
      </c>
      <c r="AD106" t="s">
        <v>333</v>
      </c>
      <c r="AE106">
        <v>4.0735442756429001E-3</v>
      </c>
      <c r="AG106" t="s">
        <v>97</v>
      </c>
      <c r="AH106" t="s">
        <v>333</v>
      </c>
      <c r="AI106">
        <v>8.8781792705193041E-2</v>
      </c>
    </row>
    <row r="107" spans="9:35" x14ac:dyDescent="0.45">
      <c r="I107" t="s">
        <v>236</v>
      </c>
      <c r="J107" t="s">
        <v>334</v>
      </c>
      <c r="K107">
        <v>1.4138907096779235E-3</v>
      </c>
      <c r="L107" t="s">
        <v>238</v>
      </c>
      <c r="N107" t="s">
        <v>346</v>
      </c>
      <c r="O107" t="s">
        <v>334</v>
      </c>
      <c r="P107">
        <v>3.5428459222883462E-3</v>
      </c>
      <c r="Q107" t="s">
        <v>238</v>
      </c>
      <c r="S107" t="s">
        <v>347</v>
      </c>
      <c r="T107" t="s">
        <v>334</v>
      </c>
      <c r="U107">
        <v>3.666361487071672E-3</v>
      </c>
      <c r="V107" t="s">
        <v>238</v>
      </c>
      <c r="X107">
        <v>3.4246575342465752E-3</v>
      </c>
      <c r="Y107">
        <v>6.662854585684809E-3</v>
      </c>
      <c r="Z107" t="s">
        <v>334</v>
      </c>
      <c r="AA107" t="s">
        <v>25</v>
      </c>
      <c r="AC107" t="s">
        <v>22</v>
      </c>
      <c r="AD107" t="s">
        <v>334</v>
      </c>
      <c r="AE107">
        <v>4.1594520880406842E-3</v>
      </c>
      <c r="AG107" t="s">
        <v>97</v>
      </c>
      <c r="AH107" t="s">
        <v>334</v>
      </c>
      <c r="AI107">
        <v>8.317484755177218E-2</v>
      </c>
    </row>
    <row r="108" spans="9:35" x14ac:dyDescent="0.45">
      <c r="I108" t="s">
        <v>236</v>
      </c>
      <c r="J108" t="s">
        <v>335</v>
      </c>
      <c r="K108">
        <v>8.1893093857031315E-5</v>
      </c>
      <c r="L108" t="s">
        <v>238</v>
      </c>
      <c r="N108" t="s">
        <v>346</v>
      </c>
      <c r="O108" t="s">
        <v>335</v>
      </c>
      <c r="P108">
        <v>3.5743609788995074E-3</v>
      </c>
      <c r="Q108" t="s">
        <v>238</v>
      </c>
      <c r="S108" t="s">
        <v>347</v>
      </c>
      <c r="T108" t="s">
        <v>335</v>
      </c>
      <c r="U108">
        <v>3.6848351928343848E-3</v>
      </c>
      <c r="V108" t="s">
        <v>238</v>
      </c>
      <c r="X108">
        <v>3.4246575342465752E-3</v>
      </c>
      <c r="Y108">
        <v>6.662854585684809E-3</v>
      </c>
      <c r="Z108" t="s">
        <v>335</v>
      </c>
      <c r="AA108" t="s">
        <v>25</v>
      </c>
      <c r="AC108" t="s">
        <v>22</v>
      </c>
      <c r="AD108" t="s">
        <v>335</v>
      </c>
      <c r="AE108">
        <v>4.1914023878137424E-3</v>
      </c>
      <c r="AG108" t="s">
        <v>97</v>
      </c>
      <c r="AH108" t="s">
        <v>335</v>
      </c>
      <c r="AI108">
        <v>8.3920125831570491E-2</v>
      </c>
    </row>
    <row r="109" spans="9:35" x14ac:dyDescent="0.45">
      <c r="I109" t="s">
        <v>236</v>
      </c>
      <c r="J109" t="s">
        <v>336</v>
      </c>
      <c r="K109">
        <v>0</v>
      </c>
      <c r="L109" t="s">
        <v>238</v>
      </c>
      <c r="N109" t="s">
        <v>346</v>
      </c>
      <c r="O109" t="s">
        <v>336</v>
      </c>
      <c r="P109">
        <v>2.1859367861878292E-2</v>
      </c>
      <c r="Q109" t="s">
        <v>238</v>
      </c>
      <c r="S109" t="s">
        <v>347</v>
      </c>
      <c r="T109" t="s">
        <v>336</v>
      </c>
      <c r="U109">
        <v>2.2846534635290027E-2</v>
      </c>
      <c r="V109" t="s">
        <v>238</v>
      </c>
      <c r="X109">
        <v>2.0547945205479451E-2</v>
      </c>
      <c r="Y109">
        <v>1.8099097531263209E-2</v>
      </c>
      <c r="Z109" t="s">
        <v>336</v>
      </c>
      <c r="AA109" t="s">
        <v>25</v>
      </c>
      <c r="AC109" t="s">
        <v>22</v>
      </c>
      <c r="AD109" t="s">
        <v>336</v>
      </c>
      <c r="AE109">
        <v>2.1718542337258902E-2</v>
      </c>
      <c r="AG109" t="s">
        <v>97</v>
      </c>
      <c r="AH109" t="s">
        <v>336</v>
      </c>
      <c r="AI109">
        <v>0.18965932033405553</v>
      </c>
    </row>
    <row r="110" spans="9:35" x14ac:dyDescent="0.45">
      <c r="I110" t="s">
        <v>236</v>
      </c>
      <c r="J110" t="s">
        <v>337</v>
      </c>
      <c r="K110">
        <v>0</v>
      </c>
      <c r="L110" t="s">
        <v>238</v>
      </c>
      <c r="N110" t="s">
        <v>346</v>
      </c>
      <c r="O110" t="s">
        <v>337</v>
      </c>
      <c r="P110">
        <v>3.2736869650750684E-2</v>
      </c>
      <c r="Q110" t="s">
        <v>238</v>
      </c>
      <c r="S110" t="s">
        <v>347</v>
      </c>
      <c r="T110" t="s">
        <v>337</v>
      </c>
      <c r="U110">
        <v>3.0780194376606354E-2</v>
      </c>
      <c r="V110" t="s">
        <v>238</v>
      </c>
      <c r="X110">
        <v>2.1232876712328767E-2</v>
      </c>
      <c r="Y110">
        <v>4.5420116185598634E-3</v>
      </c>
      <c r="Z110" t="s">
        <v>337</v>
      </c>
      <c r="AA110" t="s">
        <v>25</v>
      </c>
      <c r="AC110" t="s">
        <v>22</v>
      </c>
      <c r="AD110" t="s">
        <v>337</v>
      </c>
      <c r="AE110">
        <v>1.6670392473391051E-2</v>
      </c>
      <c r="AG110" t="s">
        <v>97</v>
      </c>
      <c r="AH110" t="s">
        <v>337</v>
      </c>
      <c r="AI110">
        <v>0.238545611948626</v>
      </c>
    </row>
    <row r="111" spans="9:35" x14ac:dyDescent="0.45">
      <c r="I111" t="s">
        <v>236</v>
      </c>
      <c r="J111" t="s">
        <v>338</v>
      </c>
      <c r="K111">
        <v>0</v>
      </c>
      <c r="L111" t="s">
        <v>238</v>
      </c>
      <c r="N111" t="s">
        <v>346</v>
      </c>
      <c r="O111" t="s">
        <v>338</v>
      </c>
      <c r="P111">
        <v>5.6504380713402287E-3</v>
      </c>
      <c r="Q111" t="s">
        <v>238</v>
      </c>
      <c r="S111" t="s">
        <v>347</v>
      </c>
      <c r="T111" t="s">
        <v>338</v>
      </c>
      <c r="U111">
        <v>5.1882266419378802E-3</v>
      </c>
      <c r="V111" t="s">
        <v>238</v>
      </c>
      <c r="X111">
        <v>3.5388127853881279E-3</v>
      </c>
      <c r="Y111">
        <v>5.240782636799844E-3</v>
      </c>
      <c r="Z111" t="s">
        <v>338</v>
      </c>
      <c r="AA111" t="s">
        <v>25</v>
      </c>
      <c r="AC111" t="s">
        <v>22</v>
      </c>
      <c r="AD111" t="s">
        <v>338</v>
      </c>
      <c r="AE111">
        <v>4.0687610115993757E-3</v>
      </c>
      <c r="AG111" t="s">
        <v>97</v>
      </c>
      <c r="AH111" t="s">
        <v>338</v>
      </c>
      <c r="AI111">
        <v>8.8374494449703134E-2</v>
      </c>
    </row>
    <row r="112" spans="9:35" x14ac:dyDescent="0.45">
      <c r="I112" t="s">
        <v>236</v>
      </c>
      <c r="J112" t="s">
        <v>339</v>
      </c>
      <c r="K112">
        <v>0</v>
      </c>
      <c r="L112" t="s">
        <v>238</v>
      </c>
      <c r="N112" t="s">
        <v>346</v>
      </c>
      <c r="O112" t="s">
        <v>339</v>
      </c>
      <c r="P112">
        <v>5.7246561551984381E-3</v>
      </c>
      <c r="Q112" t="s">
        <v>238</v>
      </c>
      <c r="S112" t="s">
        <v>347</v>
      </c>
      <c r="T112" t="s">
        <v>339</v>
      </c>
      <c r="U112">
        <v>5.2072656259497599E-3</v>
      </c>
      <c r="V112" t="s">
        <v>238</v>
      </c>
      <c r="X112">
        <v>3.5388127853881279E-3</v>
      </c>
      <c r="Y112">
        <v>5.9087255218821738E-3</v>
      </c>
      <c r="Z112" t="s">
        <v>339</v>
      </c>
      <c r="AA112" t="s">
        <v>25</v>
      </c>
      <c r="AC112" t="s">
        <v>22</v>
      </c>
      <c r="AD112" t="s">
        <v>339</v>
      </c>
      <c r="AE112">
        <v>4.2038454000450963E-3</v>
      </c>
      <c r="AG112" t="s">
        <v>97</v>
      </c>
      <c r="AH112" t="s">
        <v>339</v>
      </c>
      <c r="AI112">
        <v>6.5091704487547197E-2</v>
      </c>
    </row>
    <row r="113" spans="9:35" x14ac:dyDescent="0.45">
      <c r="I113" t="s">
        <v>236</v>
      </c>
      <c r="J113" t="s">
        <v>340</v>
      </c>
      <c r="K113">
        <v>1.0272097371431923E-3</v>
      </c>
      <c r="L113" t="s">
        <v>238</v>
      </c>
      <c r="N113" t="s">
        <v>346</v>
      </c>
      <c r="O113" t="s">
        <v>340</v>
      </c>
      <c r="P113">
        <v>5.7849962600277742E-3</v>
      </c>
      <c r="Q113" t="s">
        <v>238</v>
      </c>
      <c r="S113" t="s">
        <v>347</v>
      </c>
      <c r="T113" t="s">
        <v>340</v>
      </c>
      <c r="U113">
        <v>5.2610554246647918E-3</v>
      </c>
      <c r="V113" t="s">
        <v>238</v>
      </c>
      <c r="X113">
        <v>3.5388127853881279E-3</v>
      </c>
      <c r="Y113">
        <v>4.521459529788099E-3</v>
      </c>
      <c r="Z113" t="s">
        <v>340</v>
      </c>
      <c r="AA113" t="s">
        <v>25</v>
      </c>
      <c r="AC113" t="s">
        <v>22</v>
      </c>
      <c r="AD113" t="s">
        <v>340</v>
      </c>
      <c r="AE113">
        <v>4.3968656823916716E-3</v>
      </c>
      <c r="AG113" t="s">
        <v>97</v>
      </c>
      <c r="AH113" t="s">
        <v>340</v>
      </c>
      <c r="AI113">
        <v>6.750385296878858E-2</v>
      </c>
    </row>
    <row r="114" spans="9:35" x14ac:dyDescent="0.45">
      <c r="I114" t="s">
        <v>236</v>
      </c>
      <c r="J114" t="s">
        <v>341</v>
      </c>
      <c r="K114">
        <v>2.7457440120741562E-2</v>
      </c>
      <c r="L114" t="s">
        <v>238</v>
      </c>
      <c r="N114" t="s">
        <v>346</v>
      </c>
      <c r="O114" t="s">
        <v>341</v>
      </c>
      <c r="P114">
        <v>3.3017485165206945E-2</v>
      </c>
      <c r="Q114" t="s">
        <v>238</v>
      </c>
      <c r="S114" t="s">
        <v>347</v>
      </c>
      <c r="T114" t="s">
        <v>341</v>
      </c>
      <c r="U114">
        <v>3.0873624967903475E-2</v>
      </c>
      <c r="V114" t="s">
        <v>238</v>
      </c>
      <c r="X114">
        <v>2.1232876712328767E-2</v>
      </c>
      <c r="Y114">
        <v>2.6902684202239187E-2</v>
      </c>
      <c r="Z114" t="s">
        <v>341</v>
      </c>
      <c r="AA114" t="s">
        <v>25</v>
      </c>
      <c r="AC114" t="s">
        <v>22</v>
      </c>
      <c r="AD114" t="s">
        <v>341</v>
      </c>
      <c r="AE114">
        <v>2.629290154620172E-2</v>
      </c>
      <c r="AG114" t="s">
        <v>97</v>
      </c>
      <c r="AH114" t="s">
        <v>341</v>
      </c>
      <c r="AI114">
        <v>8.5603790592709617E-2</v>
      </c>
    </row>
    <row r="115" spans="9:35" x14ac:dyDescent="0.45">
      <c r="I115" t="s">
        <v>236</v>
      </c>
      <c r="J115" t="s">
        <v>342</v>
      </c>
      <c r="K115">
        <v>3.8252189848232226E-3</v>
      </c>
      <c r="L115" t="s">
        <v>238</v>
      </c>
      <c r="N115" t="s">
        <v>346</v>
      </c>
      <c r="O115" t="s">
        <v>342</v>
      </c>
      <c r="P115">
        <v>5.3404639714106361E-3</v>
      </c>
      <c r="Q115" t="s">
        <v>238</v>
      </c>
      <c r="S115" t="s">
        <v>347</v>
      </c>
      <c r="T115" t="s">
        <v>342</v>
      </c>
      <c r="U115">
        <v>5.041408980011341E-3</v>
      </c>
      <c r="V115" t="s">
        <v>238</v>
      </c>
      <c r="X115">
        <v>3.5388127853881279E-3</v>
      </c>
      <c r="Y115">
        <v>5.3435430806586613E-3</v>
      </c>
      <c r="Z115" t="s">
        <v>342</v>
      </c>
      <c r="AA115" t="s">
        <v>25</v>
      </c>
      <c r="AC115" t="s">
        <v>22</v>
      </c>
      <c r="AD115" t="s">
        <v>342</v>
      </c>
      <c r="AE115">
        <v>4.3825887968467177E-3</v>
      </c>
      <c r="AG115" t="s">
        <v>97</v>
      </c>
      <c r="AH115" t="s">
        <v>342</v>
      </c>
      <c r="AI115">
        <v>7.3270473694665883E-2</v>
      </c>
    </row>
    <row r="116" spans="9:35" x14ac:dyDescent="0.45">
      <c r="I116" t="s">
        <v>236</v>
      </c>
      <c r="J116" t="s">
        <v>343</v>
      </c>
      <c r="K116">
        <v>1.0104074563618622E-3</v>
      </c>
      <c r="L116" t="s">
        <v>238</v>
      </c>
      <c r="N116" t="s">
        <v>346</v>
      </c>
      <c r="O116" t="s">
        <v>343</v>
      </c>
      <c r="P116">
        <v>5.4775786312612857E-3</v>
      </c>
      <c r="Q116" t="s">
        <v>238</v>
      </c>
      <c r="S116" t="s">
        <v>347</v>
      </c>
      <c r="T116" t="s">
        <v>343</v>
      </c>
      <c r="U116">
        <v>5.123830979424461E-3</v>
      </c>
      <c r="V116" t="s">
        <v>238</v>
      </c>
      <c r="X116">
        <v>3.5388127853881279E-3</v>
      </c>
      <c r="Y116">
        <v>6.8849497385409693E-3</v>
      </c>
      <c r="Z116" t="s">
        <v>343</v>
      </c>
      <c r="AA116" t="s">
        <v>25</v>
      </c>
      <c r="AC116" t="s">
        <v>22</v>
      </c>
      <c r="AD116" t="s">
        <v>343</v>
      </c>
      <c r="AE116">
        <v>4.467192456880929E-3</v>
      </c>
      <c r="AG116" t="s">
        <v>97</v>
      </c>
      <c r="AH116" t="s">
        <v>343</v>
      </c>
      <c r="AI116">
        <v>7.3382032846391221E-2</v>
      </c>
    </row>
    <row r="117" spans="9:35" x14ac:dyDescent="0.45">
      <c r="I117" t="s">
        <v>236</v>
      </c>
      <c r="J117" t="s">
        <v>344</v>
      </c>
      <c r="K117">
        <v>0</v>
      </c>
      <c r="L117" t="s">
        <v>238</v>
      </c>
      <c r="N117" t="s">
        <v>346</v>
      </c>
      <c r="O117" t="s">
        <v>344</v>
      </c>
      <c r="P117">
        <v>5.5579987889586074E-3</v>
      </c>
      <c r="Q117" t="s">
        <v>238</v>
      </c>
      <c r="S117" t="s">
        <v>347</v>
      </c>
      <c r="T117" t="s">
        <v>344</v>
      </c>
      <c r="U117">
        <v>5.0881884999339905E-3</v>
      </c>
      <c r="V117" t="s">
        <v>238</v>
      </c>
      <c r="X117">
        <v>3.5388127853881279E-3</v>
      </c>
      <c r="Y117">
        <v>6.8849497385409693E-3</v>
      </c>
      <c r="Z117" t="s">
        <v>344</v>
      </c>
      <c r="AA117" t="s">
        <v>25</v>
      </c>
      <c r="AC117" t="s">
        <v>22</v>
      </c>
      <c r="AD117" t="s">
        <v>344</v>
      </c>
      <c r="AE117">
        <v>4.4859837159920953E-3</v>
      </c>
      <c r="AG117" t="s">
        <v>97</v>
      </c>
      <c r="AH117" t="s">
        <v>344</v>
      </c>
      <c r="AI117">
        <v>7.2204719550229779E-2</v>
      </c>
    </row>
    <row r="118" spans="9:35" x14ac:dyDescent="0.45">
      <c r="I118" t="s">
        <v>236</v>
      </c>
      <c r="J118" t="s">
        <v>345</v>
      </c>
      <c r="K118">
        <v>0</v>
      </c>
      <c r="L118" t="s">
        <v>238</v>
      </c>
      <c r="N118" t="s">
        <v>346</v>
      </c>
      <c r="O118" t="s">
        <v>345</v>
      </c>
      <c r="P118">
        <v>3.3173230194001944E-2</v>
      </c>
      <c r="Q118" t="s">
        <v>238</v>
      </c>
      <c r="S118" t="s">
        <v>347</v>
      </c>
      <c r="T118" t="s">
        <v>345</v>
      </c>
      <c r="U118">
        <v>3.0508743271377835E-2</v>
      </c>
      <c r="V118" t="s">
        <v>238</v>
      </c>
      <c r="X118">
        <v>2.1232876712328767E-2</v>
      </c>
      <c r="Y118">
        <v>1.8702400782305319E-2</v>
      </c>
      <c r="Z118" t="s">
        <v>345</v>
      </c>
      <c r="AA118" t="s">
        <v>25</v>
      </c>
      <c r="AC118" t="s">
        <v>22</v>
      </c>
      <c r="AD118" t="s">
        <v>345</v>
      </c>
      <c r="AE118">
        <v>2.313533083755422E-2</v>
      </c>
      <c r="AG118" t="s">
        <v>97</v>
      </c>
      <c r="AH118" t="s">
        <v>345</v>
      </c>
      <c r="AI118">
        <v>0.173387686403907</v>
      </c>
    </row>
    <row r="119" spans="9:35" x14ac:dyDescent="0.45">
      <c r="AC119" t="s">
        <v>19</v>
      </c>
      <c r="AD119" t="s">
        <v>237</v>
      </c>
      <c r="AE119">
        <v>3.9707320225947071E-2</v>
      </c>
    </row>
    <row r="120" spans="9:35" x14ac:dyDescent="0.45">
      <c r="AC120" t="s">
        <v>19</v>
      </c>
      <c r="AD120" t="s">
        <v>239</v>
      </c>
      <c r="AE120">
        <v>6.7596278770507834E-3</v>
      </c>
    </row>
    <row r="121" spans="9:35" x14ac:dyDescent="0.45">
      <c r="AC121" t="s">
        <v>19</v>
      </c>
      <c r="AD121" t="s">
        <v>240</v>
      </c>
      <c r="AE121">
        <v>6.7836594249260918E-3</v>
      </c>
    </row>
    <row r="122" spans="9:35" x14ac:dyDescent="0.45">
      <c r="AC122" t="s">
        <v>19</v>
      </c>
      <c r="AD122" t="s">
        <v>241</v>
      </c>
      <c r="AE122">
        <v>6.8029382163175564E-3</v>
      </c>
    </row>
    <row r="123" spans="9:35" x14ac:dyDescent="0.45">
      <c r="AC123" t="s">
        <v>19</v>
      </c>
      <c r="AD123" t="s">
        <v>242</v>
      </c>
      <c r="AE123">
        <v>4.0840930517910011E-2</v>
      </c>
    </row>
    <row r="124" spans="9:35" x14ac:dyDescent="0.45">
      <c r="AC124" t="s">
        <v>19</v>
      </c>
      <c r="AD124" t="s">
        <v>243</v>
      </c>
      <c r="AE124">
        <v>6.8091268771139583E-3</v>
      </c>
    </row>
    <row r="125" spans="9:35" x14ac:dyDescent="0.45">
      <c r="AC125" t="s">
        <v>19</v>
      </c>
      <c r="AD125" t="s">
        <v>244</v>
      </c>
      <c r="AE125">
        <v>6.8199361796253506E-3</v>
      </c>
    </row>
    <row r="126" spans="9:35" x14ac:dyDescent="0.45">
      <c r="AC126" t="s">
        <v>19</v>
      </c>
      <c r="AD126" t="s">
        <v>245</v>
      </c>
      <c r="AE126">
        <v>6.8223878568565753E-3</v>
      </c>
    </row>
    <row r="127" spans="9:35" x14ac:dyDescent="0.45">
      <c r="AC127" t="s">
        <v>19</v>
      </c>
      <c r="AD127" t="s">
        <v>246</v>
      </c>
      <c r="AE127">
        <v>4.0494564167635499E-2</v>
      </c>
    </row>
    <row r="128" spans="9:35" x14ac:dyDescent="0.45">
      <c r="AC128" t="s">
        <v>19</v>
      </c>
      <c r="AD128" t="s">
        <v>247</v>
      </c>
      <c r="AE128">
        <v>0.16325776029290906</v>
      </c>
    </row>
    <row r="129" spans="29:31" x14ac:dyDescent="0.45">
      <c r="AC129" t="s">
        <v>19</v>
      </c>
      <c r="AD129" t="s">
        <v>248</v>
      </c>
      <c r="AE129">
        <v>2.7633799798029886E-2</v>
      </c>
    </row>
    <row r="130" spans="29:31" x14ac:dyDescent="0.45">
      <c r="AC130" t="s">
        <v>19</v>
      </c>
      <c r="AD130" t="s">
        <v>249</v>
      </c>
      <c r="AE130">
        <v>2.7775488548087333E-2</v>
      </c>
    </row>
    <row r="131" spans="29:31" x14ac:dyDescent="0.45">
      <c r="AC131" t="s">
        <v>19</v>
      </c>
      <c r="AD131" t="s">
        <v>250</v>
      </c>
      <c r="AE131">
        <v>2.7854987565540796E-2</v>
      </c>
    </row>
    <row r="132" spans="29:31" x14ac:dyDescent="0.45">
      <c r="AC132" t="s">
        <v>19</v>
      </c>
      <c r="AD132" t="s">
        <v>251</v>
      </c>
      <c r="AE132">
        <v>0.16709362678014095</v>
      </c>
    </row>
    <row r="133" spans="29:31" x14ac:dyDescent="0.45">
      <c r="AC133" t="s">
        <v>19</v>
      </c>
      <c r="AD133" t="s">
        <v>252</v>
      </c>
      <c r="AE133">
        <v>2.7829963871110596E-2</v>
      </c>
    </row>
    <row r="134" spans="29:31" x14ac:dyDescent="0.45">
      <c r="AC134" t="s">
        <v>19</v>
      </c>
      <c r="AD134" t="s">
        <v>253</v>
      </c>
      <c r="AE134">
        <v>2.783620267765868E-2</v>
      </c>
    </row>
    <row r="135" spans="29:31" x14ac:dyDescent="0.45">
      <c r="AC135" t="s">
        <v>19</v>
      </c>
      <c r="AD135" t="s">
        <v>254</v>
      </c>
      <c r="AE135">
        <v>2.7842092553351312E-2</v>
      </c>
    </row>
    <row r="136" spans="29:31" x14ac:dyDescent="0.45">
      <c r="AC136" t="s">
        <v>19</v>
      </c>
      <c r="AD136" t="s">
        <v>255</v>
      </c>
      <c r="AE136">
        <v>0.16565614335857556</v>
      </c>
    </row>
    <row r="137" spans="29:31" x14ac:dyDescent="0.45">
      <c r="AC137" t="s">
        <v>19</v>
      </c>
      <c r="AD137" t="s">
        <v>256</v>
      </c>
      <c r="AE137">
        <v>1.1236443810452119E-4</v>
      </c>
    </row>
    <row r="138" spans="29:31" x14ac:dyDescent="0.45">
      <c r="AC138" t="s">
        <v>19</v>
      </c>
      <c r="AD138" t="s">
        <v>257</v>
      </c>
      <c r="AE138">
        <v>1.1229371973676592E-4</v>
      </c>
    </row>
    <row r="139" spans="29:31" x14ac:dyDescent="0.45">
      <c r="AC139" t="s">
        <v>19</v>
      </c>
      <c r="AD139" t="s">
        <v>258</v>
      </c>
      <c r="AE139">
        <v>1.1225996778851908E-4</v>
      </c>
    </row>
    <row r="140" spans="29:31" x14ac:dyDescent="0.45">
      <c r="AC140" t="s">
        <v>19</v>
      </c>
      <c r="AD140" t="s">
        <v>259</v>
      </c>
      <c r="AE140">
        <v>1.1227652231551634E-4</v>
      </c>
    </row>
    <row r="141" spans="29:31" x14ac:dyDescent="0.45">
      <c r="AC141" t="s">
        <v>19</v>
      </c>
      <c r="AD141" t="s">
        <v>260</v>
      </c>
      <c r="AE141">
        <v>1.1274792452603044E-4</v>
      </c>
    </row>
    <row r="142" spans="29:31" x14ac:dyDescent="0.45">
      <c r="AC142" t="s">
        <v>19</v>
      </c>
      <c r="AD142" t="s">
        <v>261</v>
      </c>
      <c r="AE142">
        <v>1.1436030331085057E-4</v>
      </c>
    </row>
    <row r="143" spans="29:31" x14ac:dyDescent="0.45">
      <c r="AC143" t="s">
        <v>19</v>
      </c>
      <c r="AD143" t="s">
        <v>262</v>
      </c>
      <c r="AE143">
        <v>1.1565396727008273E-4</v>
      </c>
    </row>
    <row r="144" spans="29:31" x14ac:dyDescent="0.45">
      <c r="AC144" t="s">
        <v>19</v>
      </c>
      <c r="AD144" t="s">
        <v>263</v>
      </c>
      <c r="AE144">
        <v>1.1609434983292236E-4</v>
      </c>
    </row>
    <row r="145" spans="29:31" x14ac:dyDescent="0.45">
      <c r="AC145" t="s">
        <v>19</v>
      </c>
      <c r="AD145" t="s">
        <v>264</v>
      </c>
      <c r="AE145">
        <v>1.1638654527060209E-4</v>
      </c>
    </row>
    <row r="146" spans="29:31" x14ac:dyDescent="0.45">
      <c r="AC146" t="s">
        <v>19</v>
      </c>
      <c r="AD146" t="s">
        <v>265</v>
      </c>
      <c r="AE146">
        <v>1.1625426977818712E-4</v>
      </c>
    </row>
    <row r="147" spans="29:31" x14ac:dyDescent="0.45">
      <c r="AC147" t="s">
        <v>19</v>
      </c>
      <c r="AD147" t="s">
        <v>266</v>
      </c>
      <c r="AE147">
        <v>1.162129638224755E-4</v>
      </c>
    </row>
    <row r="148" spans="29:31" x14ac:dyDescent="0.45">
      <c r="AC148" t="s">
        <v>19</v>
      </c>
      <c r="AD148" t="s">
        <v>267</v>
      </c>
      <c r="AE148">
        <v>1.1617053280182235E-4</v>
      </c>
    </row>
    <row r="149" spans="29:31" x14ac:dyDescent="0.45">
      <c r="AC149" t="s">
        <v>19</v>
      </c>
      <c r="AD149" t="s">
        <v>268</v>
      </c>
      <c r="AE149">
        <v>1.1611669040819051E-4</v>
      </c>
    </row>
    <row r="150" spans="29:31" x14ac:dyDescent="0.45">
      <c r="AC150" t="s">
        <v>19</v>
      </c>
      <c r="AD150" t="s">
        <v>269</v>
      </c>
      <c r="AE150">
        <v>1.1611669040819051E-4</v>
      </c>
    </row>
    <row r="151" spans="29:31" x14ac:dyDescent="0.45">
      <c r="AC151" t="s">
        <v>19</v>
      </c>
      <c r="AD151" t="s">
        <v>270</v>
      </c>
      <c r="AE151">
        <v>1.1611669040819051E-4</v>
      </c>
    </row>
    <row r="152" spans="29:31" x14ac:dyDescent="0.45">
      <c r="AC152" t="s">
        <v>19</v>
      </c>
      <c r="AD152" t="s">
        <v>271</v>
      </c>
      <c r="AE152">
        <v>1.1615429972195125E-4</v>
      </c>
    </row>
    <row r="153" spans="29:31" x14ac:dyDescent="0.45">
      <c r="AC153" t="s">
        <v>19</v>
      </c>
      <c r="AD153" t="s">
        <v>272</v>
      </c>
      <c r="AE153">
        <v>1.1629252198620019E-4</v>
      </c>
    </row>
    <row r="154" spans="29:31" x14ac:dyDescent="0.45">
      <c r="AC154" t="s">
        <v>19</v>
      </c>
      <c r="AD154" t="s">
        <v>273</v>
      </c>
      <c r="AE154">
        <v>1.1634282846144428E-4</v>
      </c>
    </row>
    <row r="155" spans="29:31" x14ac:dyDescent="0.45">
      <c r="AC155" t="s">
        <v>19</v>
      </c>
      <c r="AD155" t="s">
        <v>274</v>
      </c>
      <c r="AE155">
        <v>1.1650757011360143E-4</v>
      </c>
    </row>
    <row r="156" spans="29:31" x14ac:dyDescent="0.45">
      <c r="AC156" t="s">
        <v>19</v>
      </c>
      <c r="AD156" t="s">
        <v>275</v>
      </c>
      <c r="AE156">
        <v>1.1623128630866664E-4</v>
      </c>
    </row>
    <row r="157" spans="29:31" x14ac:dyDescent="0.45">
      <c r="AC157" t="s">
        <v>19</v>
      </c>
      <c r="AD157" t="s">
        <v>276</v>
      </c>
      <c r="AE157">
        <v>1.1544181216681693E-4</v>
      </c>
    </row>
    <row r="158" spans="29:31" x14ac:dyDescent="0.45">
      <c r="AC158" t="s">
        <v>19</v>
      </c>
      <c r="AD158" t="s">
        <v>277</v>
      </c>
      <c r="AE158">
        <v>1.1487944041959947E-4</v>
      </c>
    </row>
    <row r="159" spans="29:31" x14ac:dyDescent="0.45">
      <c r="AC159" t="s">
        <v>19</v>
      </c>
      <c r="AD159" t="s">
        <v>278</v>
      </c>
      <c r="AE159">
        <v>1.1436158909935519E-4</v>
      </c>
    </row>
    <row r="160" spans="29:31" x14ac:dyDescent="0.45">
      <c r="AC160" t="s">
        <v>19</v>
      </c>
      <c r="AD160" t="s">
        <v>279</v>
      </c>
      <c r="AE160">
        <v>1.1256164591642054E-4</v>
      </c>
    </row>
    <row r="161" spans="29:31" x14ac:dyDescent="0.45">
      <c r="AC161" t="s">
        <v>19</v>
      </c>
      <c r="AD161" t="s">
        <v>280</v>
      </c>
      <c r="AE161">
        <v>1.1225016365117119E-4</v>
      </c>
    </row>
    <row r="162" spans="29:31" x14ac:dyDescent="0.45">
      <c r="AC162" t="s">
        <v>19</v>
      </c>
      <c r="AD162" t="s">
        <v>281</v>
      </c>
      <c r="AE162">
        <v>1.121779987713482E-4</v>
      </c>
    </row>
    <row r="163" spans="29:31" x14ac:dyDescent="0.45">
      <c r="AC163" t="s">
        <v>19</v>
      </c>
      <c r="AD163" t="s">
        <v>282</v>
      </c>
      <c r="AE163">
        <v>1.1216690884549567E-4</v>
      </c>
    </row>
    <row r="164" spans="29:31" x14ac:dyDescent="0.45">
      <c r="AC164" t="s">
        <v>19</v>
      </c>
      <c r="AD164" t="s">
        <v>283</v>
      </c>
      <c r="AE164">
        <v>1.1216690884549567E-4</v>
      </c>
    </row>
    <row r="165" spans="29:31" x14ac:dyDescent="0.45">
      <c r="AC165" t="s">
        <v>19</v>
      </c>
      <c r="AD165" t="s">
        <v>284</v>
      </c>
      <c r="AE165">
        <v>1.1220017862305327E-4</v>
      </c>
    </row>
    <row r="166" spans="29:31" x14ac:dyDescent="0.45">
      <c r="AC166" t="s">
        <v>19</v>
      </c>
      <c r="AD166" t="s">
        <v>285</v>
      </c>
      <c r="AE166">
        <v>1.1228487994079651E-4</v>
      </c>
    </row>
    <row r="167" spans="29:31" x14ac:dyDescent="0.45">
      <c r="AC167" t="s">
        <v>19</v>
      </c>
      <c r="AD167" t="s">
        <v>286</v>
      </c>
      <c r="AE167">
        <v>1.1300427860914327E-4</v>
      </c>
    </row>
    <row r="168" spans="29:31" x14ac:dyDescent="0.45">
      <c r="AC168" t="s">
        <v>19</v>
      </c>
      <c r="AD168" t="s">
        <v>287</v>
      </c>
      <c r="AE168">
        <v>1.1391333108192466E-4</v>
      </c>
    </row>
    <row r="169" spans="29:31" x14ac:dyDescent="0.45">
      <c r="AC169" t="s">
        <v>19</v>
      </c>
      <c r="AD169" t="s">
        <v>288</v>
      </c>
      <c r="AE169">
        <v>1.1439051934070962E-4</v>
      </c>
    </row>
    <row r="170" spans="29:31" x14ac:dyDescent="0.45">
      <c r="AC170" t="s">
        <v>19</v>
      </c>
      <c r="AD170" t="s">
        <v>289</v>
      </c>
      <c r="AE170">
        <v>1.1443230746711047E-4</v>
      </c>
    </row>
    <row r="171" spans="29:31" x14ac:dyDescent="0.45">
      <c r="AC171" t="s">
        <v>19</v>
      </c>
      <c r="AD171" t="s">
        <v>290</v>
      </c>
      <c r="AE171">
        <v>1.1437332191946005E-4</v>
      </c>
    </row>
    <row r="172" spans="29:31" x14ac:dyDescent="0.45">
      <c r="AC172" t="s">
        <v>19</v>
      </c>
      <c r="AD172" t="s">
        <v>291</v>
      </c>
      <c r="AE172">
        <v>1.143138542011204E-4</v>
      </c>
    </row>
    <row r="173" spans="29:31" x14ac:dyDescent="0.45">
      <c r="AC173" t="s">
        <v>19</v>
      </c>
      <c r="AD173" t="s">
        <v>292</v>
      </c>
      <c r="AE173">
        <v>1.1419540093513031E-4</v>
      </c>
    </row>
    <row r="174" spans="29:31" x14ac:dyDescent="0.45">
      <c r="AC174" t="s">
        <v>19</v>
      </c>
      <c r="AD174" t="s">
        <v>293</v>
      </c>
      <c r="AE174">
        <v>1.1416679214090204E-4</v>
      </c>
    </row>
    <row r="175" spans="29:31" x14ac:dyDescent="0.45">
      <c r="AC175" t="s">
        <v>19</v>
      </c>
      <c r="AD175" t="s">
        <v>294</v>
      </c>
      <c r="AE175">
        <v>1.1411005672313475E-4</v>
      </c>
    </row>
    <row r="176" spans="29:31" x14ac:dyDescent="0.45">
      <c r="AC176" t="s">
        <v>19</v>
      </c>
      <c r="AD176" t="s">
        <v>295</v>
      </c>
      <c r="AE176">
        <v>1.1415345208516641E-4</v>
      </c>
    </row>
    <row r="177" spans="29:31" x14ac:dyDescent="0.45">
      <c r="AC177" t="s">
        <v>19</v>
      </c>
      <c r="AD177" t="s">
        <v>296</v>
      </c>
      <c r="AE177">
        <v>1.1446541652110497E-4</v>
      </c>
    </row>
    <row r="178" spans="29:31" x14ac:dyDescent="0.45">
      <c r="AC178" t="s">
        <v>19</v>
      </c>
      <c r="AD178" t="s">
        <v>297</v>
      </c>
      <c r="AE178">
        <v>1.1450125787567186E-4</v>
      </c>
    </row>
    <row r="179" spans="29:31" x14ac:dyDescent="0.45">
      <c r="AC179" t="s">
        <v>19</v>
      </c>
      <c r="AD179" t="s">
        <v>298</v>
      </c>
      <c r="AE179">
        <v>1.1468142898988472E-4</v>
      </c>
    </row>
    <row r="180" spans="29:31" x14ac:dyDescent="0.45">
      <c r="AC180" t="s">
        <v>19</v>
      </c>
      <c r="AD180" t="s">
        <v>299</v>
      </c>
      <c r="AE180">
        <v>1.1447313125213283E-4</v>
      </c>
    </row>
    <row r="181" spans="29:31" x14ac:dyDescent="0.45">
      <c r="AC181" t="s">
        <v>19</v>
      </c>
      <c r="AD181" t="s">
        <v>300</v>
      </c>
      <c r="AE181">
        <v>1.1433105162236997E-4</v>
      </c>
    </row>
    <row r="182" spans="29:31" x14ac:dyDescent="0.45">
      <c r="AC182" t="s">
        <v>19</v>
      </c>
      <c r="AD182" t="s">
        <v>301</v>
      </c>
      <c r="AE182">
        <v>1.1407598332776178E-4</v>
      </c>
    </row>
    <row r="183" spans="29:31" x14ac:dyDescent="0.45">
      <c r="AC183" t="s">
        <v>19</v>
      </c>
      <c r="AD183" t="s">
        <v>302</v>
      </c>
      <c r="AE183">
        <v>1.1383120134119068E-4</v>
      </c>
    </row>
    <row r="184" spans="29:31" x14ac:dyDescent="0.45">
      <c r="AC184" t="s">
        <v>19</v>
      </c>
      <c r="AD184" t="s">
        <v>303</v>
      </c>
      <c r="AE184">
        <v>1.1189994700721954E-4</v>
      </c>
    </row>
    <row r="185" spans="29:31" x14ac:dyDescent="0.45">
      <c r="AC185" t="s">
        <v>19</v>
      </c>
      <c r="AD185" t="s">
        <v>304</v>
      </c>
      <c r="AE185">
        <v>1.1193968798204351E-4</v>
      </c>
    </row>
    <row r="186" spans="29:31" x14ac:dyDescent="0.45">
      <c r="AC186" t="s">
        <v>19</v>
      </c>
      <c r="AD186" t="s">
        <v>305</v>
      </c>
      <c r="AE186">
        <v>1.1173058662647624E-4</v>
      </c>
    </row>
    <row r="187" spans="29:31" x14ac:dyDescent="0.45">
      <c r="AC187" t="s">
        <v>19</v>
      </c>
      <c r="AD187" t="s">
        <v>306</v>
      </c>
      <c r="AE187">
        <v>1.1173058662647624E-4</v>
      </c>
    </row>
    <row r="188" spans="29:31" x14ac:dyDescent="0.45">
      <c r="AC188" t="s">
        <v>19</v>
      </c>
      <c r="AD188" t="s">
        <v>307</v>
      </c>
      <c r="AE188">
        <v>1.117357297804948E-4</v>
      </c>
    </row>
    <row r="189" spans="29:31" x14ac:dyDescent="0.45">
      <c r="AC189" t="s">
        <v>19</v>
      </c>
      <c r="AD189" t="s">
        <v>308</v>
      </c>
      <c r="AE189">
        <v>1.1176466002184924E-4</v>
      </c>
    </row>
    <row r="190" spans="29:31" x14ac:dyDescent="0.45">
      <c r="AC190" t="s">
        <v>19</v>
      </c>
      <c r="AD190" t="s">
        <v>309</v>
      </c>
      <c r="AE190">
        <v>1.1184180733212771E-4</v>
      </c>
    </row>
    <row r="191" spans="29:31" x14ac:dyDescent="0.45">
      <c r="AC191" t="s">
        <v>19</v>
      </c>
      <c r="AD191" t="s">
        <v>310</v>
      </c>
      <c r="AE191">
        <v>1.1249386282754389E-4</v>
      </c>
    </row>
    <row r="192" spans="29:31" x14ac:dyDescent="0.45">
      <c r="AC192" t="s">
        <v>19</v>
      </c>
      <c r="AD192" t="s">
        <v>311</v>
      </c>
      <c r="AE192">
        <v>1.1320120722865966E-4</v>
      </c>
    </row>
    <row r="193" spans="29:31" x14ac:dyDescent="0.45">
      <c r="AC193" t="s">
        <v>19</v>
      </c>
      <c r="AD193" t="s">
        <v>312</v>
      </c>
      <c r="AE193">
        <v>1.1356910346455014E-4</v>
      </c>
    </row>
    <row r="194" spans="29:31" x14ac:dyDescent="0.45">
      <c r="AC194" t="s">
        <v>19</v>
      </c>
      <c r="AD194" t="s">
        <v>313</v>
      </c>
      <c r="AE194">
        <v>1.1372195157303936E-4</v>
      </c>
    </row>
    <row r="195" spans="29:31" x14ac:dyDescent="0.45">
      <c r="AC195" t="s">
        <v>19</v>
      </c>
      <c r="AD195" t="s">
        <v>314</v>
      </c>
      <c r="AE195">
        <v>1.1365605491217651E-4</v>
      </c>
    </row>
    <row r="196" spans="29:31" x14ac:dyDescent="0.45">
      <c r="AC196" t="s">
        <v>19</v>
      </c>
      <c r="AD196" t="s">
        <v>315</v>
      </c>
      <c r="AE196">
        <v>1.1365123320528409E-4</v>
      </c>
    </row>
    <row r="197" spans="29:31" x14ac:dyDescent="0.45">
      <c r="AC197" t="s">
        <v>19</v>
      </c>
      <c r="AD197" t="s">
        <v>316</v>
      </c>
      <c r="AE197">
        <v>1.1363419650759761E-4</v>
      </c>
    </row>
    <row r="198" spans="29:31" x14ac:dyDescent="0.45">
      <c r="AC198" t="s">
        <v>19</v>
      </c>
      <c r="AD198" t="s">
        <v>317</v>
      </c>
      <c r="AE198">
        <v>1.1357697891914107E-4</v>
      </c>
    </row>
    <row r="199" spans="29:31" x14ac:dyDescent="0.45">
      <c r="AC199" t="s">
        <v>19</v>
      </c>
      <c r="AD199" t="s">
        <v>318</v>
      </c>
      <c r="AE199">
        <v>1.1353888743469106E-4</v>
      </c>
    </row>
    <row r="200" spans="29:31" x14ac:dyDescent="0.45">
      <c r="AC200" t="s">
        <v>19</v>
      </c>
      <c r="AD200" t="s">
        <v>319</v>
      </c>
      <c r="AE200">
        <v>1.1355479906743602E-4</v>
      </c>
    </row>
    <row r="201" spans="29:31" x14ac:dyDescent="0.45">
      <c r="AC201" t="s">
        <v>19</v>
      </c>
      <c r="AD201" t="s">
        <v>320</v>
      </c>
      <c r="AE201">
        <v>1.1362937480070518E-4</v>
      </c>
    </row>
    <row r="202" spans="29:31" x14ac:dyDescent="0.45">
      <c r="AC202" t="s">
        <v>19</v>
      </c>
      <c r="AD202" t="s">
        <v>321</v>
      </c>
      <c r="AE202">
        <v>1.1364383992138241E-4</v>
      </c>
    </row>
    <row r="203" spans="29:31" x14ac:dyDescent="0.45">
      <c r="AC203" t="s">
        <v>19</v>
      </c>
      <c r="AD203" t="s">
        <v>322</v>
      </c>
      <c r="AE203">
        <v>1.1364641149839169E-4</v>
      </c>
    </row>
    <row r="204" spans="29:31" x14ac:dyDescent="0.45">
      <c r="AC204" t="s">
        <v>19</v>
      </c>
      <c r="AD204" t="s">
        <v>323</v>
      </c>
      <c r="AE204">
        <v>1.1365396550585648E-4</v>
      </c>
    </row>
    <row r="205" spans="29:31" x14ac:dyDescent="0.45">
      <c r="AC205" t="s">
        <v>19</v>
      </c>
      <c r="AD205" t="s">
        <v>324</v>
      </c>
      <c r="AE205">
        <v>1.1355978149789148E-4</v>
      </c>
    </row>
    <row r="206" spans="29:31" x14ac:dyDescent="0.45">
      <c r="AC206" t="s">
        <v>19</v>
      </c>
      <c r="AD206" t="s">
        <v>325</v>
      </c>
      <c r="AE206">
        <v>1.1326356797113475E-4</v>
      </c>
    </row>
    <row r="207" spans="29:31" x14ac:dyDescent="0.45">
      <c r="AC207" t="s">
        <v>19</v>
      </c>
      <c r="AD207" t="s">
        <v>326</v>
      </c>
      <c r="AE207">
        <v>1.1329635557800313E-4</v>
      </c>
    </row>
    <row r="208" spans="29:31" x14ac:dyDescent="0.45">
      <c r="AC208" t="s">
        <v>19</v>
      </c>
      <c r="AD208" t="s">
        <v>327</v>
      </c>
      <c r="AE208">
        <v>1.1272659054688395E-4</v>
      </c>
    </row>
    <row r="209" spans="29:31" x14ac:dyDescent="0.45">
      <c r="AC209" t="s">
        <v>19</v>
      </c>
      <c r="AD209" t="s">
        <v>328</v>
      </c>
      <c r="AE209">
        <v>2.02168593004276E-2</v>
      </c>
    </row>
    <row r="210" spans="29:31" x14ac:dyDescent="0.45">
      <c r="AC210" t="s">
        <v>19</v>
      </c>
      <c r="AD210" t="s">
        <v>329</v>
      </c>
      <c r="AE210">
        <v>3.4304255771300525E-3</v>
      </c>
    </row>
    <row r="211" spans="29:31" x14ac:dyDescent="0.45">
      <c r="AC211" t="s">
        <v>19</v>
      </c>
      <c r="AD211" t="s">
        <v>330</v>
      </c>
      <c r="AE211">
        <v>3.4419059005173051E-3</v>
      </c>
    </row>
    <row r="212" spans="29:31" x14ac:dyDescent="0.45">
      <c r="AC212" t="s">
        <v>19</v>
      </c>
      <c r="AD212" t="s">
        <v>331</v>
      </c>
      <c r="AE212">
        <v>3.4534291370958998E-3</v>
      </c>
    </row>
    <row r="213" spans="29:31" x14ac:dyDescent="0.45">
      <c r="AC213" t="s">
        <v>19</v>
      </c>
      <c r="AD213" t="s">
        <v>332</v>
      </c>
      <c r="AE213">
        <v>2.0723233511755871E-2</v>
      </c>
    </row>
    <row r="214" spans="29:31" x14ac:dyDescent="0.45">
      <c r="AC214" t="s">
        <v>19</v>
      </c>
      <c r="AD214" t="s">
        <v>333</v>
      </c>
      <c r="AE214">
        <v>3.453920629751799E-3</v>
      </c>
    </row>
    <row r="215" spans="29:31" x14ac:dyDescent="0.45">
      <c r="AC215" t="s">
        <v>19</v>
      </c>
      <c r="AD215" t="s">
        <v>334</v>
      </c>
      <c r="AE215">
        <v>3.4587378363844373E-3</v>
      </c>
    </row>
    <row r="216" spans="29:31" x14ac:dyDescent="0.45">
      <c r="AC216" t="s">
        <v>19</v>
      </c>
      <c r="AD216" t="s">
        <v>335</v>
      </c>
      <c r="AE216">
        <v>3.4605294219420919E-3</v>
      </c>
    </row>
    <row r="217" spans="29:31" x14ac:dyDescent="0.45">
      <c r="AC217" t="s">
        <v>19</v>
      </c>
      <c r="AD217" t="s">
        <v>336</v>
      </c>
      <c r="AE217">
        <v>2.0570849412193257E-2</v>
      </c>
    </row>
    <row r="218" spans="29:31" x14ac:dyDescent="0.45">
      <c r="AC218" t="s">
        <v>19</v>
      </c>
      <c r="AD218" t="s">
        <v>337</v>
      </c>
      <c r="AE218">
        <v>2.0886124944902419E-2</v>
      </c>
    </row>
    <row r="219" spans="29:31" x14ac:dyDescent="0.45">
      <c r="AC219" t="s">
        <v>19</v>
      </c>
      <c r="AD219" t="s">
        <v>338</v>
      </c>
      <c r="AE219">
        <v>3.5533767775026348E-3</v>
      </c>
    </row>
    <row r="220" spans="29:31" x14ac:dyDescent="0.45">
      <c r="AC220" t="s">
        <v>19</v>
      </c>
      <c r="AD220" t="s">
        <v>339</v>
      </c>
      <c r="AE220">
        <v>3.5609515183070393E-3</v>
      </c>
    </row>
    <row r="221" spans="29:31" x14ac:dyDescent="0.45">
      <c r="AC221" t="s">
        <v>19</v>
      </c>
      <c r="AD221" t="s">
        <v>340</v>
      </c>
      <c r="AE221">
        <v>3.571774964491983E-3</v>
      </c>
    </row>
    <row r="222" spans="29:31" x14ac:dyDescent="0.45">
      <c r="AC222" t="s">
        <v>19</v>
      </c>
      <c r="AD222" t="s">
        <v>341</v>
      </c>
      <c r="AE222">
        <v>2.1425698858314777E-2</v>
      </c>
    </row>
    <row r="223" spans="29:31" x14ac:dyDescent="0.45">
      <c r="AC223" t="s">
        <v>19</v>
      </c>
      <c r="AD223" t="s">
        <v>342</v>
      </c>
      <c r="AE223">
        <v>3.5709744004242807E-3</v>
      </c>
    </row>
    <row r="224" spans="29:31" x14ac:dyDescent="0.45">
      <c r="AC224" t="s">
        <v>19</v>
      </c>
      <c r="AD224" t="s">
        <v>343</v>
      </c>
      <c r="AE224">
        <v>3.5757184778357179E-3</v>
      </c>
    </row>
    <row r="225" spans="29:31" x14ac:dyDescent="0.45">
      <c r="AC225" t="s">
        <v>19</v>
      </c>
      <c r="AD225" t="s">
        <v>344</v>
      </c>
      <c r="AE225">
        <v>3.5767721815152713E-3</v>
      </c>
    </row>
    <row r="226" spans="29:31" x14ac:dyDescent="0.45">
      <c r="AC226" t="s">
        <v>19</v>
      </c>
      <c r="AD226" t="s">
        <v>345</v>
      </c>
      <c r="AE226">
        <v>2.1248640798795224E-2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4CEF-DF06-4EFB-9672-BA3B8FF4BD4C}">
  <dimension ref="A9:AM538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103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235</v>
      </c>
      <c r="L10" t="s">
        <v>30</v>
      </c>
      <c r="N10" t="s">
        <v>13</v>
      </c>
      <c r="O10" t="s">
        <v>134</v>
      </c>
      <c r="P10" t="s">
        <v>235</v>
      </c>
      <c r="Q10" t="s">
        <v>30</v>
      </c>
      <c r="S10" t="s">
        <v>13</v>
      </c>
      <c r="T10" t="s">
        <v>134</v>
      </c>
      <c r="U10" t="s">
        <v>235</v>
      </c>
      <c r="V10" t="s">
        <v>30</v>
      </c>
      <c r="X10" t="s">
        <v>348</v>
      </c>
      <c r="Y10" t="s">
        <v>235</v>
      </c>
      <c r="Z10" t="s">
        <v>134</v>
      </c>
      <c r="AA10" t="s">
        <v>13</v>
      </c>
      <c r="AC10" t="s">
        <v>13</v>
      </c>
      <c r="AD10" t="s">
        <v>134</v>
      </c>
      <c r="AE10" t="s">
        <v>235</v>
      </c>
      <c r="AG10" t="s">
        <v>13</v>
      </c>
      <c r="AH10" t="s">
        <v>134</v>
      </c>
      <c r="AI10" t="s">
        <v>354</v>
      </c>
      <c r="AK10" t="s">
        <v>134</v>
      </c>
      <c r="AL10" t="s">
        <v>355</v>
      </c>
      <c r="AM10" t="s">
        <v>356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358</v>
      </c>
      <c r="F11" t="s">
        <v>359</v>
      </c>
      <c r="G11" t="s">
        <v>149</v>
      </c>
      <c r="I11" t="s">
        <v>236</v>
      </c>
      <c r="J11" t="s">
        <v>237</v>
      </c>
      <c r="K11">
        <v>0</v>
      </c>
      <c r="L11" t="s">
        <v>238</v>
      </c>
      <c r="N11" t="s">
        <v>346</v>
      </c>
      <c r="O11" t="s">
        <v>237</v>
      </c>
      <c r="P11">
        <v>4.2498302829210015E-2</v>
      </c>
      <c r="Q11" t="s">
        <v>238</v>
      </c>
      <c r="S11" t="s">
        <v>347</v>
      </c>
      <c r="T11" t="s">
        <v>237</v>
      </c>
      <c r="U11">
        <v>4.127032635692103E-2</v>
      </c>
      <c r="V11" t="s">
        <v>238</v>
      </c>
      <c r="X11">
        <v>3.9726027397260277E-2</v>
      </c>
      <c r="Y11">
        <v>8.4979572218216795E-3</v>
      </c>
      <c r="Z11" t="s">
        <v>237</v>
      </c>
      <c r="AA11" t="s">
        <v>25</v>
      </c>
      <c r="AC11" t="s">
        <v>22</v>
      </c>
      <c r="AD11" t="s">
        <v>237</v>
      </c>
      <c r="AE11">
        <v>3.5562652922811758E-2</v>
      </c>
      <c r="AG11" t="s">
        <v>97</v>
      </c>
      <c r="AH11" t="s">
        <v>237</v>
      </c>
      <c r="AI11">
        <v>0.20925643048313725</v>
      </c>
      <c r="AK11" t="s">
        <v>145</v>
      </c>
      <c r="AL11">
        <v>0.18244762256583458</v>
      </c>
      <c r="AM11" t="s">
        <v>357</v>
      </c>
    </row>
    <row r="12" spans="1:39" x14ac:dyDescent="0.45">
      <c r="C12" t="s">
        <v>150</v>
      </c>
      <c r="D12" t="s">
        <v>149</v>
      </c>
      <c r="E12" t="s">
        <v>360</v>
      </c>
      <c r="F12" t="s">
        <v>145</v>
      </c>
      <c r="G12" t="s">
        <v>149</v>
      </c>
      <c r="I12" t="s">
        <v>236</v>
      </c>
      <c r="J12" t="s">
        <v>239</v>
      </c>
      <c r="K12">
        <v>0</v>
      </c>
      <c r="L12" t="s">
        <v>238</v>
      </c>
      <c r="N12" t="s">
        <v>346</v>
      </c>
      <c r="O12" t="s">
        <v>239</v>
      </c>
      <c r="P12">
        <v>7.2034861525085165E-3</v>
      </c>
      <c r="Q12" t="s">
        <v>238</v>
      </c>
      <c r="S12" t="s">
        <v>347</v>
      </c>
      <c r="T12" t="s">
        <v>239</v>
      </c>
      <c r="U12">
        <v>6.8022629341664021E-3</v>
      </c>
      <c r="V12" t="s">
        <v>238</v>
      </c>
      <c r="X12">
        <v>6.6210045662100456E-3</v>
      </c>
      <c r="Y12">
        <v>9.8053352559480909E-3</v>
      </c>
      <c r="Z12" t="s">
        <v>239</v>
      </c>
      <c r="AA12" t="s">
        <v>25</v>
      </c>
      <c r="AC12" t="s">
        <v>22</v>
      </c>
      <c r="AD12" t="s">
        <v>239</v>
      </c>
      <c r="AE12">
        <v>8.4034428826496414E-3</v>
      </c>
      <c r="AG12" t="s">
        <v>97</v>
      </c>
      <c r="AH12" t="s">
        <v>239</v>
      </c>
      <c r="AI12">
        <v>8.4701940672069043E-2</v>
      </c>
      <c r="AK12" t="s">
        <v>155</v>
      </c>
      <c r="AL12">
        <v>9.0812180062272388E-2</v>
      </c>
      <c r="AM12" t="s">
        <v>357</v>
      </c>
    </row>
    <row r="13" spans="1:39" x14ac:dyDescent="0.45">
      <c r="C13" t="s">
        <v>152</v>
      </c>
      <c r="D13" t="s">
        <v>153</v>
      </c>
      <c r="E13" t="s">
        <v>361</v>
      </c>
      <c r="F13" t="s">
        <v>150</v>
      </c>
      <c r="G13" t="s">
        <v>149</v>
      </c>
      <c r="I13" t="s">
        <v>236</v>
      </c>
      <c r="J13" t="s">
        <v>240</v>
      </c>
      <c r="K13">
        <v>2.1283100409942801E-4</v>
      </c>
      <c r="L13" t="s">
        <v>238</v>
      </c>
      <c r="N13" t="s">
        <v>346</v>
      </c>
      <c r="O13" t="s">
        <v>240</v>
      </c>
      <c r="P13">
        <v>7.2125695125916482E-3</v>
      </c>
      <c r="Q13" t="s">
        <v>238</v>
      </c>
      <c r="S13" t="s">
        <v>347</v>
      </c>
      <c r="T13" t="s">
        <v>240</v>
      </c>
      <c r="U13">
        <v>6.8057513203632816E-3</v>
      </c>
      <c r="V13" t="s">
        <v>238</v>
      </c>
      <c r="X13">
        <v>6.6210045662100456E-3</v>
      </c>
      <c r="Y13">
        <v>1.1055034847392457E-2</v>
      </c>
      <c r="Z13" t="s">
        <v>240</v>
      </c>
      <c r="AA13" t="s">
        <v>25</v>
      </c>
      <c r="AC13" t="s">
        <v>22</v>
      </c>
      <c r="AD13" t="s">
        <v>240</v>
      </c>
      <c r="AE13">
        <v>8.8193986961748912E-3</v>
      </c>
      <c r="AG13" t="s">
        <v>97</v>
      </c>
      <c r="AH13" t="s">
        <v>240</v>
      </c>
      <c r="AI13">
        <v>8.523826723187522E-2</v>
      </c>
      <c r="AK13" t="s">
        <v>150</v>
      </c>
      <c r="AL13">
        <v>0.32525199218956147</v>
      </c>
      <c r="AM13" t="s">
        <v>357</v>
      </c>
    </row>
    <row r="14" spans="1:39" x14ac:dyDescent="0.45">
      <c r="C14" t="s">
        <v>155</v>
      </c>
      <c r="D14" t="s">
        <v>156</v>
      </c>
      <c r="E14" t="s">
        <v>362</v>
      </c>
      <c r="F14" t="s">
        <v>150</v>
      </c>
      <c r="G14" t="s">
        <v>149</v>
      </c>
      <c r="I14" t="s">
        <v>236</v>
      </c>
      <c r="J14" t="s">
        <v>241</v>
      </c>
      <c r="K14">
        <v>2.4401686609739851E-3</v>
      </c>
      <c r="L14" t="s">
        <v>238</v>
      </c>
      <c r="N14" t="s">
        <v>346</v>
      </c>
      <c r="O14" t="s">
        <v>241</v>
      </c>
      <c r="P14">
        <v>7.1597974170227374E-3</v>
      </c>
      <c r="Q14" t="s">
        <v>238</v>
      </c>
      <c r="S14" t="s">
        <v>347</v>
      </c>
      <c r="T14" t="s">
        <v>241</v>
      </c>
      <c r="U14">
        <v>6.8492181532286136E-3</v>
      </c>
      <c r="V14" t="s">
        <v>238</v>
      </c>
      <c r="X14">
        <v>6.6210045662100456E-3</v>
      </c>
      <c r="Y14">
        <v>8.4595049267003151E-3</v>
      </c>
      <c r="Z14" t="s">
        <v>241</v>
      </c>
      <c r="AA14" t="s">
        <v>25</v>
      </c>
      <c r="AC14" t="s">
        <v>22</v>
      </c>
      <c r="AD14" t="s">
        <v>241</v>
      </c>
      <c r="AE14">
        <v>9.161229928877402E-3</v>
      </c>
      <c r="AG14" t="s">
        <v>97</v>
      </c>
      <c r="AH14" t="s">
        <v>241</v>
      </c>
      <c r="AI14">
        <v>8.0624193257442966E-2</v>
      </c>
      <c r="AK14" t="s">
        <v>366</v>
      </c>
      <c r="AL14">
        <v>8.4099424771755762E-2</v>
      </c>
      <c r="AM14" t="s">
        <v>357</v>
      </c>
    </row>
    <row r="15" spans="1:39" x14ac:dyDescent="0.45">
      <c r="C15" t="s">
        <v>363</v>
      </c>
      <c r="D15" t="s">
        <v>364</v>
      </c>
      <c r="E15" t="s">
        <v>365</v>
      </c>
      <c r="F15" t="s">
        <v>150</v>
      </c>
      <c r="G15" t="s">
        <v>149</v>
      </c>
      <c r="I15" t="s">
        <v>236</v>
      </c>
      <c r="J15" t="s">
        <v>242</v>
      </c>
      <c r="K15">
        <v>6.1035614725047808E-2</v>
      </c>
      <c r="L15" t="s">
        <v>238</v>
      </c>
      <c r="N15" t="s">
        <v>346</v>
      </c>
      <c r="O15" t="s">
        <v>242</v>
      </c>
      <c r="P15">
        <v>4.8312417890556639E-2</v>
      </c>
      <c r="Q15" t="s">
        <v>238</v>
      </c>
      <c r="S15" t="s">
        <v>347</v>
      </c>
      <c r="T15" t="s">
        <v>242</v>
      </c>
      <c r="U15">
        <v>4.7886865524074548E-2</v>
      </c>
      <c r="V15" t="s">
        <v>238</v>
      </c>
      <c r="X15">
        <v>4.6347031963470321E-2</v>
      </c>
      <c r="Y15">
        <v>6.0331651045421784E-2</v>
      </c>
      <c r="Z15" t="s">
        <v>242</v>
      </c>
      <c r="AA15" t="s">
        <v>25</v>
      </c>
      <c r="AC15" t="s">
        <v>22</v>
      </c>
      <c r="AD15" t="s">
        <v>242</v>
      </c>
      <c r="AE15">
        <v>6.4657312870334063E-2</v>
      </c>
      <c r="AG15" t="s">
        <v>97</v>
      </c>
      <c r="AH15" t="s">
        <v>242</v>
      </c>
      <c r="AI15">
        <v>8.5892017130101417E-2</v>
      </c>
      <c r="AK15" t="s">
        <v>363</v>
      </c>
      <c r="AL15">
        <v>7.4790226397171353E-2</v>
      </c>
      <c r="AM15" t="s">
        <v>357</v>
      </c>
    </row>
    <row r="16" spans="1:39" x14ac:dyDescent="0.45">
      <c r="C16" t="s">
        <v>366</v>
      </c>
      <c r="D16" t="s">
        <v>367</v>
      </c>
      <c r="E16" t="s">
        <v>368</v>
      </c>
      <c r="F16" t="s">
        <v>152</v>
      </c>
      <c r="G16" t="s">
        <v>149</v>
      </c>
      <c r="I16" t="s">
        <v>236</v>
      </c>
      <c r="J16" t="s">
        <v>243</v>
      </c>
      <c r="K16">
        <v>4.793203188826551E-3</v>
      </c>
      <c r="L16" t="s">
        <v>238</v>
      </c>
      <c r="N16" t="s">
        <v>346</v>
      </c>
      <c r="O16" t="s">
        <v>243</v>
      </c>
      <c r="P16">
        <v>6.868141039640889E-3</v>
      </c>
      <c r="Q16" t="s">
        <v>238</v>
      </c>
      <c r="S16" t="s">
        <v>347</v>
      </c>
      <c r="T16" t="s">
        <v>243</v>
      </c>
      <c r="U16">
        <v>6.9505265652123416E-3</v>
      </c>
      <c r="V16" t="s">
        <v>238</v>
      </c>
      <c r="X16">
        <v>6.6210045662100456E-3</v>
      </c>
      <c r="Y16">
        <v>1.2881518865657292E-2</v>
      </c>
      <c r="Z16" t="s">
        <v>243</v>
      </c>
      <c r="AA16" t="s">
        <v>25</v>
      </c>
      <c r="AC16" t="s">
        <v>22</v>
      </c>
      <c r="AD16" t="s">
        <v>243</v>
      </c>
      <c r="AE16">
        <v>9.4636241673592709E-3</v>
      </c>
      <c r="AG16" t="s">
        <v>97</v>
      </c>
      <c r="AH16" t="s">
        <v>243</v>
      </c>
      <c r="AI16">
        <v>7.946588887461048E-2</v>
      </c>
      <c r="AK16" t="s">
        <v>152</v>
      </c>
      <c r="AL16">
        <v>0.44259855401340437</v>
      </c>
      <c r="AM16" t="s">
        <v>357</v>
      </c>
    </row>
    <row r="17" spans="4:35" x14ac:dyDescent="0.45">
      <c r="D17" t="s">
        <v>369</v>
      </c>
      <c r="E17" t="s">
        <v>370</v>
      </c>
      <c r="F17" t="s">
        <v>152</v>
      </c>
      <c r="G17" t="s">
        <v>149</v>
      </c>
      <c r="I17" t="s">
        <v>236</v>
      </c>
      <c r="J17" t="s">
        <v>244</v>
      </c>
      <c r="K17">
        <v>1.7858553812785194E-3</v>
      </c>
      <c r="L17" t="s">
        <v>238</v>
      </c>
      <c r="N17" t="s">
        <v>346</v>
      </c>
      <c r="O17" t="s">
        <v>244</v>
      </c>
      <c r="P17">
        <v>6.9984369396866915E-3</v>
      </c>
      <c r="Q17" t="s">
        <v>238</v>
      </c>
      <c r="S17" t="s">
        <v>347</v>
      </c>
      <c r="T17" t="s">
        <v>244</v>
      </c>
      <c r="U17">
        <v>7.0637211244846017E-3</v>
      </c>
      <c r="V17" t="s">
        <v>238</v>
      </c>
      <c r="X17">
        <v>6.6210045662100456E-3</v>
      </c>
      <c r="Y17">
        <v>1.2881518865657292E-2</v>
      </c>
      <c r="Z17" t="s">
        <v>244</v>
      </c>
      <c r="AA17" t="s">
        <v>25</v>
      </c>
      <c r="AC17" t="s">
        <v>22</v>
      </c>
      <c r="AD17" t="s">
        <v>244</v>
      </c>
      <c r="AE17">
        <v>9.5073748963209609E-3</v>
      </c>
      <c r="AG17" t="s">
        <v>97</v>
      </c>
      <c r="AH17" t="s">
        <v>244</v>
      </c>
      <c r="AI17">
        <v>8.0464809575472307E-2</v>
      </c>
    </row>
    <row r="18" spans="4:35" x14ac:dyDescent="0.45">
      <c r="D18" t="s">
        <v>371</v>
      </c>
      <c r="E18" t="s">
        <v>372</v>
      </c>
      <c r="F18" t="s">
        <v>152</v>
      </c>
      <c r="G18" t="s">
        <v>149</v>
      </c>
      <c r="I18" t="s">
        <v>236</v>
      </c>
      <c r="J18" t="s">
        <v>245</v>
      </c>
      <c r="K18">
        <v>1.260548737735539E-4</v>
      </c>
      <c r="L18" t="s">
        <v>238</v>
      </c>
      <c r="N18" t="s">
        <v>346</v>
      </c>
      <c r="O18" t="s">
        <v>245</v>
      </c>
      <c r="P18">
        <v>4.2698664724026496E-2</v>
      </c>
      <c r="Q18" t="s">
        <v>238</v>
      </c>
      <c r="S18" t="s">
        <v>347</v>
      </c>
      <c r="T18" t="s">
        <v>245</v>
      </c>
      <c r="U18">
        <v>4.1960987959104627E-2</v>
      </c>
      <c r="V18" t="s">
        <v>238</v>
      </c>
      <c r="X18">
        <v>3.9726027397260277E-2</v>
      </c>
      <c r="Y18">
        <v>3.4991588560442204E-2</v>
      </c>
      <c r="Z18" t="s">
        <v>245</v>
      </c>
      <c r="AA18" t="s">
        <v>25</v>
      </c>
      <c r="AC18" t="s">
        <v>22</v>
      </c>
      <c r="AD18" t="s">
        <v>245</v>
      </c>
      <c r="AE18">
        <v>4.9358819307746146E-2</v>
      </c>
      <c r="AG18" t="s">
        <v>97</v>
      </c>
      <c r="AH18" t="s">
        <v>245</v>
      </c>
      <c r="AI18">
        <v>0.18324838591799963</v>
      </c>
    </row>
    <row r="19" spans="4:35" x14ac:dyDescent="0.45">
      <c r="D19" t="s">
        <v>373</v>
      </c>
      <c r="E19" t="s">
        <v>374</v>
      </c>
      <c r="F19" t="s">
        <v>155</v>
      </c>
      <c r="G19" t="s">
        <v>149</v>
      </c>
      <c r="I19" t="s">
        <v>236</v>
      </c>
      <c r="J19" t="s">
        <v>511</v>
      </c>
      <c r="K19">
        <v>0</v>
      </c>
      <c r="L19" t="s">
        <v>238</v>
      </c>
      <c r="N19" t="s">
        <v>346</v>
      </c>
      <c r="O19" t="s">
        <v>511</v>
      </c>
      <c r="P19">
        <v>2.7729086311139997E-4</v>
      </c>
      <c r="Q19" t="s">
        <v>238</v>
      </c>
      <c r="S19" t="s">
        <v>347</v>
      </c>
      <c r="T19" t="s">
        <v>511</v>
      </c>
      <c r="U19">
        <v>1.837780645452E-4</v>
      </c>
      <c r="V19" t="s">
        <v>238</v>
      </c>
      <c r="X19">
        <v>1.1415525114155251E-4</v>
      </c>
      <c r="Y19">
        <v>2.1546544680075254E-5</v>
      </c>
      <c r="Z19" t="s">
        <v>511</v>
      </c>
      <c r="AA19" t="s">
        <v>25</v>
      </c>
      <c r="AC19" t="s">
        <v>22</v>
      </c>
      <c r="AD19" t="s">
        <v>511</v>
      </c>
      <c r="AE19">
        <v>9.2709630336976554E-5</v>
      </c>
      <c r="AG19" t="s">
        <v>97</v>
      </c>
      <c r="AH19" t="s">
        <v>511</v>
      </c>
      <c r="AI19">
        <v>0</v>
      </c>
    </row>
    <row r="20" spans="4:35" x14ac:dyDescent="0.45">
      <c r="D20" t="s">
        <v>375</v>
      </c>
      <c r="E20" t="s">
        <v>376</v>
      </c>
      <c r="F20" t="s">
        <v>363</v>
      </c>
      <c r="G20" t="s">
        <v>149</v>
      </c>
      <c r="I20" t="s">
        <v>236</v>
      </c>
      <c r="J20" t="s">
        <v>512</v>
      </c>
      <c r="K20">
        <v>0</v>
      </c>
      <c r="L20" t="s">
        <v>238</v>
      </c>
      <c r="N20" t="s">
        <v>346</v>
      </c>
      <c r="O20" t="s">
        <v>512</v>
      </c>
      <c r="P20">
        <v>2.7622229075149998E-4</v>
      </c>
      <c r="Q20" t="s">
        <v>238</v>
      </c>
      <c r="S20" t="s">
        <v>347</v>
      </c>
      <c r="T20" t="s">
        <v>512</v>
      </c>
      <c r="U20">
        <v>1.365242800594E-4</v>
      </c>
      <c r="V20" t="s">
        <v>238</v>
      </c>
      <c r="X20">
        <v>1.1415525114155251E-4</v>
      </c>
      <c r="Y20">
        <v>1.4916838624667481E-5</v>
      </c>
      <c r="Z20" t="s">
        <v>512</v>
      </c>
      <c r="AA20" t="s">
        <v>25</v>
      </c>
      <c r="AC20" t="s">
        <v>22</v>
      </c>
      <c r="AD20" t="s">
        <v>512</v>
      </c>
      <c r="AE20">
        <v>8.8507680084235656E-5</v>
      </c>
      <c r="AG20" t="s">
        <v>97</v>
      </c>
      <c r="AH20" t="s">
        <v>512</v>
      </c>
      <c r="AI20">
        <v>0</v>
      </c>
    </row>
    <row r="21" spans="4:35" x14ac:dyDescent="0.45">
      <c r="E21" t="s">
        <v>377</v>
      </c>
      <c r="G21" t="s">
        <v>149</v>
      </c>
      <c r="I21" t="s">
        <v>236</v>
      </c>
      <c r="J21" t="s">
        <v>513</v>
      </c>
      <c r="K21">
        <v>0</v>
      </c>
      <c r="L21" t="s">
        <v>238</v>
      </c>
      <c r="N21" t="s">
        <v>346</v>
      </c>
      <c r="O21" t="s">
        <v>513</v>
      </c>
      <c r="P21">
        <v>2.7622229075149998E-4</v>
      </c>
      <c r="Q21" t="s">
        <v>238</v>
      </c>
      <c r="S21" t="s">
        <v>347</v>
      </c>
      <c r="T21" t="s">
        <v>513</v>
      </c>
      <c r="U21">
        <v>1.6814186236610001E-4</v>
      </c>
      <c r="V21" t="s">
        <v>238</v>
      </c>
      <c r="X21">
        <v>1.1415525114155251E-4</v>
      </c>
      <c r="Y21">
        <v>1.6574265138519424E-5</v>
      </c>
      <c r="Z21" t="s">
        <v>513</v>
      </c>
      <c r="AA21" t="s">
        <v>25</v>
      </c>
      <c r="AC21" t="s">
        <v>22</v>
      </c>
      <c r="AD21" t="s">
        <v>513</v>
      </c>
      <c r="AE21">
        <v>8.8218186922211882E-5</v>
      </c>
      <c r="AG21" t="s">
        <v>97</v>
      </c>
      <c r="AH21" t="s">
        <v>513</v>
      </c>
      <c r="AI21">
        <v>0</v>
      </c>
    </row>
    <row r="22" spans="4:35" x14ac:dyDescent="0.45">
      <c r="E22" t="s">
        <v>378</v>
      </c>
      <c r="G22" t="s">
        <v>149</v>
      </c>
      <c r="I22" t="s">
        <v>236</v>
      </c>
      <c r="J22" t="s">
        <v>514</v>
      </c>
      <c r="K22">
        <v>0</v>
      </c>
      <c r="L22" t="s">
        <v>238</v>
      </c>
      <c r="N22" t="s">
        <v>346</v>
      </c>
      <c r="O22" t="s">
        <v>514</v>
      </c>
      <c r="P22">
        <v>2.7557127380149998E-4</v>
      </c>
      <c r="Q22" t="s">
        <v>238</v>
      </c>
      <c r="S22" t="s">
        <v>347</v>
      </c>
      <c r="T22" t="s">
        <v>514</v>
      </c>
      <c r="U22">
        <v>1.699560261652E-4</v>
      </c>
      <c r="V22" t="s">
        <v>238</v>
      </c>
      <c r="X22">
        <v>1.1415525114155251E-4</v>
      </c>
      <c r="Y22">
        <v>1.4585353321897093E-5</v>
      </c>
      <c r="Z22" t="s">
        <v>514</v>
      </c>
      <c r="AA22" t="s">
        <v>25</v>
      </c>
      <c r="AC22" t="s">
        <v>22</v>
      </c>
      <c r="AD22" t="s">
        <v>514</v>
      </c>
      <c r="AE22">
        <v>8.8218186922211882E-5</v>
      </c>
      <c r="AG22" t="s">
        <v>97</v>
      </c>
      <c r="AH22" t="s">
        <v>514</v>
      </c>
      <c r="AI22">
        <v>0</v>
      </c>
    </row>
    <row r="23" spans="4:35" x14ac:dyDescent="0.45">
      <c r="E23" t="s">
        <v>379</v>
      </c>
      <c r="G23" t="s">
        <v>149</v>
      </c>
      <c r="I23" t="s">
        <v>236</v>
      </c>
      <c r="J23" t="s">
        <v>515</v>
      </c>
      <c r="K23">
        <v>0</v>
      </c>
      <c r="L23" t="s">
        <v>238</v>
      </c>
      <c r="N23" t="s">
        <v>346</v>
      </c>
      <c r="O23" t="s">
        <v>515</v>
      </c>
      <c r="P23">
        <v>2.7557127380149998E-4</v>
      </c>
      <c r="Q23" t="s">
        <v>238</v>
      </c>
      <c r="S23" t="s">
        <v>347</v>
      </c>
      <c r="T23" t="s">
        <v>515</v>
      </c>
      <c r="U23">
        <v>1.9319761373500001E-4</v>
      </c>
      <c r="V23" t="s">
        <v>238</v>
      </c>
      <c r="X23">
        <v>1.1415525114155251E-4</v>
      </c>
      <c r="Y23">
        <v>2.1215059377304864E-5</v>
      </c>
      <c r="Z23" t="s">
        <v>515</v>
      </c>
      <c r="AA23" t="s">
        <v>25</v>
      </c>
      <c r="AC23" t="s">
        <v>22</v>
      </c>
      <c r="AD23" t="s">
        <v>515</v>
      </c>
      <c r="AE23">
        <v>9.5902653926030707E-5</v>
      </c>
      <c r="AG23" t="s">
        <v>97</v>
      </c>
      <c r="AH23" t="s">
        <v>515</v>
      </c>
      <c r="AI23">
        <v>0</v>
      </c>
    </row>
    <row r="24" spans="4:35" x14ac:dyDescent="0.45">
      <c r="E24" t="s">
        <v>380</v>
      </c>
      <c r="G24" t="s">
        <v>149</v>
      </c>
      <c r="I24" t="s">
        <v>236</v>
      </c>
      <c r="J24" t="s">
        <v>516</v>
      </c>
      <c r="K24">
        <v>0</v>
      </c>
      <c r="L24" t="s">
        <v>238</v>
      </c>
      <c r="N24" t="s">
        <v>346</v>
      </c>
      <c r="O24" t="s">
        <v>516</v>
      </c>
      <c r="P24">
        <v>2.7586692060550003E-4</v>
      </c>
      <c r="Q24" t="s">
        <v>238</v>
      </c>
      <c r="S24" t="s">
        <v>347</v>
      </c>
      <c r="T24" t="s">
        <v>516</v>
      </c>
      <c r="U24">
        <v>2.086513126725E-4</v>
      </c>
      <c r="V24" t="s">
        <v>238</v>
      </c>
      <c r="X24">
        <v>1.1415525114155251E-4</v>
      </c>
      <c r="Y24">
        <v>5.7678442682047593E-5</v>
      </c>
      <c r="Z24" t="s">
        <v>516</v>
      </c>
      <c r="AA24" t="s">
        <v>25</v>
      </c>
      <c r="AC24" t="s">
        <v>22</v>
      </c>
      <c r="AD24" t="s">
        <v>516</v>
      </c>
      <c r="AE24">
        <v>1.2241277526818674E-4</v>
      </c>
      <c r="AG24" t="s">
        <v>97</v>
      </c>
      <c r="AH24" t="s">
        <v>516</v>
      </c>
      <c r="AI24">
        <v>0</v>
      </c>
    </row>
    <row r="25" spans="4:35" x14ac:dyDescent="0.45">
      <c r="E25" t="s">
        <v>381</v>
      </c>
      <c r="G25" t="s">
        <v>149</v>
      </c>
      <c r="I25" t="s">
        <v>236</v>
      </c>
      <c r="J25" t="s">
        <v>517</v>
      </c>
      <c r="K25">
        <v>0</v>
      </c>
      <c r="L25" t="s">
        <v>238</v>
      </c>
      <c r="N25" t="s">
        <v>346</v>
      </c>
      <c r="O25" t="s">
        <v>517</v>
      </c>
      <c r="P25">
        <v>2.7371071034830002E-4</v>
      </c>
      <c r="Q25" t="s">
        <v>238</v>
      </c>
      <c r="S25" t="s">
        <v>347</v>
      </c>
      <c r="T25" t="s">
        <v>517</v>
      </c>
      <c r="U25">
        <v>2.232422076204E-4</v>
      </c>
      <c r="V25" t="s">
        <v>238</v>
      </c>
      <c r="X25">
        <v>1.1415525114155251E-4</v>
      </c>
      <c r="Y25">
        <v>1.6905750441289813E-4</v>
      </c>
      <c r="Z25" t="s">
        <v>517</v>
      </c>
      <c r="AA25" t="s">
        <v>25</v>
      </c>
      <c r="AC25" t="s">
        <v>22</v>
      </c>
      <c r="AD25" t="s">
        <v>517</v>
      </c>
      <c r="AE25">
        <v>1.474066403458817E-4</v>
      </c>
      <c r="AG25" t="s">
        <v>97</v>
      </c>
      <c r="AH25" t="s">
        <v>517</v>
      </c>
      <c r="AI25">
        <v>0</v>
      </c>
    </row>
    <row r="26" spans="4:35" x14ac:dyDescent="0.45">
      <c r="E26" t="s">
        <v>382</v>
      </c>
      <c r="G26" t="s">
        <v>149</v>
      </c>
      <c r="I26" t="s">
        <v>236</v>
      </c>
      <c r="J26" t="s">
        <v>518</v>
      </c>
      <c r="K26">
        <v>0</v>
      </c>
      <c r="L26" t="s">
        <v>238</v>
      </c>
      <c r="N26" t="s">
        <v>346</v>
      </c>
      <c r="O26" t="s">
        <v>518</v>
      </c>
      <c r="P26">
        <v>2.7348289802580001E-4</v>
      </c>
      <c r="Q26" t="s">
        <v>238</v>
      </c>
      <c r="S26" t="s">
        <v>347</v>
      </c>
      <c r="T26" t="s">
        <v>518</v>
      </c>
      <c r="U26">
        <v>2.232422076204E-4</v>
      </c>
      <c r="V26" t="s">
        <v>238</v>
      </c>
      <c r="X26">
        <v>1.1415525114155251E-4</v>
      </c>
      <c r="Y26">
        <v>1.9060404909297337E-4</v>
      </c>
      <c r="Z26" t="s">
        <v>518</v>
      </c>
      <c r="AA26" t="s">
        <v>25</v>
      </c>
      <c r="AC26" t="s">
        <v>22</v>
      </c>
      <c r="AD26" t="s">
        <v>518</v>
      </c>
      <c r="AE26">
        <v>1.600182236419663E-4</v>
      </c>
      <c r="AG26" t="s">
        <v>97</v>
      </c>
      <c r="AH26" t="s">
        <v>518</v>
      </c>
      <c r="AI26">
        <v>0</v>
      </c>
    </row>
    <row r="27" spans="4:35" x14ac:dyDescent="0.45">
      <c r="E27" t="s">
        <v>383</v>
      </c>
      <c r="G27" t="s">
        <v>149</v>
      </c>
      <c r="I27" t="s">
        <v>236</v>
      </c>
      <c r="J27" t="s">
        <v>519</v>
      </c>
      <c r="K27">
        <v>7.4700989692661428E-5</v>
      </c>
      <c r="L27" t="s">
        <v>238</v>
      </c>
      <c r="N27" t="s">
        <v>346</v>
      </c>
      <c r="O27" t="s">
        <v>519</v>
      </c>
      <c r="P27">
        <v>2.7157582901690002E-4</v>
      </c>
      <c r="Q27" t="s">
        <v>238</v>
      </c>
      <c r="S27" t="s">
        <v>347</v>
      </c>
      <c r="T27" t="s">
        <v>519</v>
      </c>
      <c r="U27">
        <v>2.1801267162719999E-4</v>
      </c>
      <c r="V27" t="s">
        <v>238</v>
      </c>
      <c r="X27">
        <v>1.1415525114155251E-4</v>
      </c>
      <c r="Y27">
        <v>1.4585353321897094E-4</v>
      </c>
      <c r="Z27" t="s">
        <v>519</v>
      </c>
      <c r="AA27" t="s">
        <v>25</v>
      </c>
      <c r="AC27" t="s">
        <v>22</v>
      </c>
      <c r="AD27" t="s">
        <v>519</v>
      </c>
      <c r="AE27">
        <v>1.619959492043068E-4</v>
      </c>
      <c r="AG27" t="s">
        <v>97</v>
      </c>
      <c r="AH27" t="s">
        <v>519</v>
      </c>
      <c r="AI27">
        <v>0</v>
      </c>
    </row>
    <row r="28" spans="4:35" x14ac:dyDescent="0.45">
      <c r="E28" t="s">
        <v>384</v>
      </c>
      <c r="G28" t="s">
        <v>149</v>
      </c>
      <c r="I28" t="s">
        <v>236</v>
      </c>
      <c r="J28" t="s">
        <v>520</v>
      </c>
      <c r="K28">
        <v>1.7061969582189999E-4</v>
      </c>
      <c r="L28" t="s">
        <v>238</v>
      </c>
      <c r="N28" t="s">
        <v>346</v>
      </c>
      <c r="O28" t="s">
        <v>520</v>
      </c>
      <c r="P28">
        <v>2.7321120085920002E-4</v>
      </c>
      <c r="Q28" t="s">
        <v>238</v>
      </c>
      <c r="S28" t="s">
        <v>347</v>
      </c>
      <c r="T28" t="s">
        <v>520</v>
      </c>
      <c r="U28">
        <v>2.2274873564990001E-4</v>
      </c>
      <c r="V28" t="s">
        <v>238</v>
      </c>
      <c r="X28">
        <v>1.1415525114155251E-4</v>
      </c>
      <c r="Y28">
        <v>1.4452759200788939E-4</v>
      </c>
      <c r="Z28" t="s">
        <v>520</v>
      </c>
      <c r="AA28" t="s">
        <v>25</v>
      </c>
      <c r="AC28" t="s">
        <v>22</v>
      </c>
      <c r="AD28" t="s">
        <v>520</v>
      </c>
      <c r="AE28">
        <v>1.6164053185687173E-4</v>
      </c>
      <c r="AG28" t="s">
        <v>97</v>
      </c>
      <c r="AH28" t="s">
        <v>520</v>
      </c>
      <c r="AI28">
        <v>0</v>
      </c>
    </row>
    <row r="29" spans="4:35" x14ac:dyDescent="0.45">
      <c r="E29" t="s">
        <v>385</v>
      </c>
      <c r="G29" t="s">
        <v>149</v>
      </c>
      <c r="I29" t="s">
        <v>236</v>
      </c>
      <c r="J29" t="s">
        <v>521</v>
      </c>
      <c r="K29">
        <v>2.216945556211E-4</v>
      </c>
      <c r="L29" t="s">
        <v>238</v>
      </c>
      <c r="N29" t="s">
        <v>346</v>
      </c>
      <c r="O29" t="s">
        <v>521</v>
      </c>
      <c r="P29">
        <v>2.7604780601309998E-4</v>
      </c>
      <c r="Q29" t="s">
        <v>238</v>
      </c>
      <c r="S29" t="s">
        <v>347</v>
      </c>
      <c r="T29" t="s">
        <v>521</v>
      </c>
      <c r="U29">
        <v>2.2314558077870001E-4</v>
      </c>
      <c r="V29" t="s">
        <v>238</v>
      </c>
      <c r="X29">
        <v>1.1415525114155251E-4</v>
      </c>
      <c r="Y29">
        <v>1.408812536774151E-4</v>
      </c>
      <c r="Z29" t="s">
        <v>521</v>
      </c>
      <c r="AA29" t="s">
        <v>25</v>
      </c>
      <c r="AC29" t="s">
        <v>22</v>
      </c>
      <c r="AD29" t="s">
        <v>521</v>
      </c>
      <c r="AE29">
        <v>1.6164626439473358E-4</v>
      </c>
      <c r="AG29" t="s">
        <v>97</v>
      </c>
      <c r="AH29" t="s">
        <v>521</v>
      </c>
      <c r="AI29">
        <v>0</v>
      </c>
    </row>
    <row r="30" spans="4:35" x14ac:dyDescent="0.45">
      <c r="E30" t="s">
        <v>386</v>
      </c>
      <c r="G30" t="s">
        <v>149</v>
      </c>
      <c r="I30" t="s">
        <v>236</v>
      </c>
      <c r="J30" t="s">
        <v>522</v>
      </c>
      <c r="K30">
        <v>2.560316561682E-4</v>
      </c>
      <c r="L30" t="s">
        <v>238</v>
      </c>
      <c r="N30" t="s">
        <v>346</v>
      </c>
      <c r="O30" t="s">
        <v>522</v>
      </c>
      <c r="P30">
        <v>2.7762880185370001E-4</v>
      </c>
      <c r="Q30" t="s">
        <v>238</v>
      </c>
      <c r="S30" t="s">
        <v>347</v>
      </c>
      <c r="T30" t="s">
        <v>522</v>
      </c>
      <c r="U30">
        <v>2.231698256223E-4</v>
      </c>
      <c r="V30" t="s">
        <v>238</v>
      </c>
      <c r="X30">
        <v>1.1415525114155251E-4</v>
      </c>
      <c r="Y30">
        <v>1.4054976837464471E-4</v>
      </c>
      <c r="Z30" t="s">
        <v>522</v>
      </c>
      <c r="AA30" t="s">
        <v>25</v>
      </c>
      <c r="AC30" t="s">
        <v>22</v>
      </c>
      <c r="AD30" t="s">
        <v>522</v>
      </c>
      <c r="AE30">
        <v>1.6148861960353251E-4</v>
      </c>
      <c r="AG30" t="s">
        <v>97</v>
      </c>
      <c r="AH30" t="s">
        <v>522</v>
      </c>
      <c r="AI30">
        <v>0</v>
      </c>
    </row>
    <row r="31" spans="4:35" x14ac:dyDescent="0.45">
      <c r="E31" t="s">
        <v>387</v>
      </c>
      <c r="G31" t="s">
        <v>149</v>
      </c>
      <c r="I31" t="s">
        <v>236</v>
      </c>
      <c r="J31" t="s">
        <v>523</v>
      </c>
      <c r="K31">
        <v>2.378572844844E-4</v>
      </c>
      <c r="L31" t="s">
        <v>238</v>
      </c>
      <c r="N31" t="s">
        <v>346</v>
      </c>
      <c r="O31" t="s">
        <v>523</v>
      </c>
      <c r="P31">
        <v>2.7833053423410002E-4</v>
      </c>
      <c r="Q31" t="s">
        <v>238</v>
      </c>
      <c r="S31" t="s">
        <v>347</v>
      </c>
      <c r="T31" t="s">
        <v>523</v>
      </c>
      <c r="U31">
        <v>2.2322072986999999E-4</v>
      </c>
      <c r="V31" t="s">
        <v>238</v>
      </c>
      <c r="X31">
        <v>1.1415525114155251E-4</v>
      </c>
      <c r="Y31">
        <v>1.4253868019126702E-4</v>
      </c>
      <c r="Z31" t="s">
        <v>523</v>
      </c>
      <c r="AA31" t="s">
        <v>25</v>
      </c>
      <c r="AC31" t="s">
        <v>22</v>
      </c>
      <c r="AD31" t="s">
        <v>523</v>
      </c>
      <c r="AE31">
        <v>1.6171218858014493E-4</v>
      </c>
      <c r="AG31" t="s">
        <v>97</v>
      </c>
      <c r="AH31" t="s">
        <v>523</v>
      </c>
      <c r="AI31">
        <v>0</v>
      </c>
    </row>
    <row r="32" spans="4:35" x14ac:dyDescent="0.45">
      <c r="E32" t="s">
        <v>388</v>
      </c>
      <c r="G32" t="s">
        <v>149</v>
      </c>
      <c r="I32" t="s">
        <v>236</v>
      </c>
      <c r="J32" t="s">
        <v>524</v>
      </c>
      <c r="K32">
        <v>2.3886955538609999E-4</v>
      </c>
      <c r="L32" t="s">
        <v>238</v>
      </c>
      <c r="N32" t="s">
        <v>346</v>
      </c>
      <c r="O32" t="s">
        <v>524</v>
      </c>
      <c r="P32">
        <v>2.783589245441E-4</v>
      </c>
      <c r="Q32" t="s">
        <v>238</v>
      </c>
      <c r="S32" t="s">
        <v>347</v>
      </c>
      <c r="T32" t="s">
        <v>524</v>
      </c>
      <c r="U32">
        <v>2.231861998809E-4</v>
      </c>
      <c r="V32" t="s">
        <v>238</v>
      </c>
      <c r="X32">
        <v>1.1415525114155251E-4</v>
      </c>
      <c r="Y32">
        <v>1.4883690094390442E-4</v>
      </c>
      <c r="Z32" t="s">
        <v>524</v>
      </c>
      <c r="AA32" t="s">
        <v>25</v>
      </c>
      <c r="AC32" t="s">
        <v>22</v>
      </c>
      <c r="AD32" t="s">
        <v>524</v>
      </c>
      <c r="AE32">
        <v>1.6171218858014493E-4</v>
      </c>
      <c r="AG32" t="s">
        <v>97</v>
      </c>
      <c r="AH32" t="s">
        <v>524</v>
      </c>
      <c r="AI32">
        <v>0</v>
      </c>
    </row>
    <row r="33" spans="5:35" x14ac:dyDescent="0.45">
      <c r="E33" t="s">
        <v>389</v>
      </c>
      <c r="G33" t="s">
        <v>149</v>
      </c>
      <c r="I33" t="s">
        <v>236</v>
      </c>
      <c r="J33" t="s">
        <v>525</v>
      </c>
      <c r="K33">
        <v>2.351733013595E-4</v>
      </c>
      <c r="L33" t="s">
        <v>238</v>
      </c>
      <c r="N33" t="s">
        <v>346</v>
      </c>
      <c r="O33" t="s">
        <v>525</v>
      </c>
      <c r="P33">
        <v>2.7845313831310003E-4</v>
      </c>
      <c r="Q33" t="s">
        <v>238</v>
      </c>
      <c r="S33" t="s">
        <v>347</v>
      </c>
      <c r="T33" t="s">
        <v>525</v>
      </c>
      <c r="U33">
        <v>2.2319321874119999E-4</v>
      </c>
      <c r="V33" t="s">
        <v>238</v>
      </c>
      <c r="X33">
        <v>1.1415525114155251E-4</v>
      </c>
      <c r="Y33">
        <v>1.5049432745775637E-4</v>
      </c>
      <c r="Z33" t="s">
        <v>525</v>
      </c>
      <c r="AA33" t="s">
        <v>25</v>
      </c>
      <c r="AC33" t="s">
        <v>22</v>
      </c>
      <c r="AD33" t="s">
        <v>525</v>
      </c>
      <c r="AE33">
        <v>1.6148861960353251E-4</v>
      </c>
      <c r="AG33" t="s">
        <v>97</v>
      </c>
      <c r="AH33" t="s">
        <v>525</v>
      </c>
      <c r="AI33">
        <v>0</v>
      </c>
    </row>
    <row r="34" spans="5:35" x14ac:dyDescent="0.45">
      <c r="E34" t="s">
        <v>390</v>
      </c>
      <c r="G34" t="s">
        <v>149</v>
      </c>
      <c r="I34" t="s">
        <v>236</v>
      </c>
      <c r="J34" t="s">
        <v>526</v>
      </c>
      <c r="K34">
        <v>1.628116654072E-4</v>
      </c>
      <c r="L34" t="s">
        <v>238</v>
      </c>
      <c r="N34" t="s">
        <v>346</v>
      </c>
      <c r="O34" t="s">
        <v>526</v>
      </c>
      <c r="P34">
        <v>2.7859729984660003E-4</v>
      </c>
      <c r="Q34" t="s">
        <v>238</v>
      </c>
      <c r="S34" t="s">
        <v>347</v>
      </c>
      <c r="T34" t="s">
        <v>526</v>
      </c>
      <c r="U34">
        <v>2.231208565233E-4</v>
      </c>
      <c r="V34" t="s">
        <v>238</v>
      </c>
      <c r="X34">
        <v>1.1415525114155251E-4</v>
      </c>
      <c r="Y34">
        <v>1.7237235744060203E-4</v>
      </c>
      <c r="Z34" t="s">
        <v>526</v>
      </c>
      <c r="AA34" t="s">
        <v>25</v>
      </c>
      <c r="AC34" t="s">
        <v>22</v>
      </c>
      <c r="AD34" t="s">
        <v>526</v>
      </c>
      <c r="AE34">
        <v>1.6148861960353251E-4</v>
      </c>
      <c r="AG34" t="s">
        <v>97</v>
      </c>
      <c r="AH34" t="s">
        <v>526</v>
      </c>
      <c r="AI34">
        <v>0</v>
      </c>
    </row>
    <row r="35" spans="5:35" x14ac:dyDescent="0.45">
      <c r="E35" t="s">
        <v>147</v>
      </c>
      <c r="G35" t="s">
        <v>153</v>
      </c>
      <c r="I35" t="s">
        <v>236</v>
      </c>
      <c r="J35" t="s">
        <v>527</v>
      </c>
      <c r="K35">
        <v>9.1246756020698437E-5</v>
      </c>
      <c r="L35" t="s">
        <v>238</v>
      </c>
      <c r="N35" t="s">
        <v>346</v>
      </c>
      <c r="O35" t="s">
        <v>527</v>
      </c>
      <c r="P35">
        <v>2.7840606492499998E-4</v>
      </c>
      <c r="Q35" t="s">
        <v>238</v>
      </c>
      <c r="S35" t="s">
        <v>347</v>
      </c>
      <c r="T35" t="s">
        <v>527</v>
      </c>
      <c r="U35">
        <v>2.231086973268E-4</v>
      </c>
      <c r="V35" t="s">
        <v>238</v>
      </c>
      <c r="X35">
        <v>1.1415525114155251E-4</v>
      </c>
      <c r="Y35">
        <v>2.2209515285616027E-4</v>
      </c>
      <c r="Z35" t="s">
        <v>527</v>
      </c>
      <c r="AA35" t="s">
        <v>25</v>
      </c>
      <c r="AC35" t="s">
        <v>22</v>
      </c>
      <c r="AD35" t="s">
        <v>527</v>
      </c>
      <c r="AE35">
        <v>1.6273544658848633E-4</v>
      </c>
      <c r="AG35" t="s">
        <v>97</v>
      </c>
      <c r="AH35" t="s">
        <v>527</v>
      </c>
      <c r="AI35">
        <v>0</v>
      </c>
    </row>
    <row r="36" spans="5:35" x14ac:dyDescent="0.45">
      <c r="E36" t="s">
        <v>151</v>
      </c>
      <c r="G36" t="s">
        <v>153</v>
      </c>
      <c r="I36" t="s">
        <v>236</v>
      </c>
      <c r="J36" t="s">
        <v>528</v>
      </c>
      <c r="K36">
        <v>2.038341182099642E-5</v>
      </c>
      <c r="L36" t="s">
        <v>238</v>
      </c>
      <c r="N36" t="s">
        <v>346</v>
      </c>
      <c r="O36" t="s">
        <v>528</v>
      </c>
      <c r="P36">
        <v>2.785998089831E-4</v>
      </c>
      <c r="Q36" t="s">
        <v>238</v>
      </c>
      <c r="S36" t="s">
        <v>347</v>
      </c>
      <c r="T36" t="s">
        <v>528</v>
      </c>
      <c r="U36">
        <v>2.2322751108430001E-4</v>
      </c>
      <c r="V36" t="s">
        <v>238</v>
      </c>
      <c r="X36">
        <v>1.1415525114155251E-4</v>
      </c>
      <c r="Y36">
        <v>2.2209515285616027E-4</v>
      </c>
      <c r="Z36" t="s">
        <v>528</v>
      </c>
      <c r="AA36" t="s">
        <v>25</v>
      </c>
      <c r="AC36" t="s">
        <v>22</v>
      </c>
      <c r="AD36" t="s">
        <v>528</v>
      </c>
      <c r="AE36">
        <v>1.6270678389917705E-4</v>
      </c>
      <c r="AG36" t="s">
        <v>97</v>
      </c>
      <c r="AH36" t="s">
        <v>528</v>
      </c>
      <c r="AI36">
        <v>0</v>
      </c>
    </row>
    <row r="37" spans="5:35" x14ac:dyDescent="0.45">
      <c r="E37" t="s">
        <v>154</v>
      </c>
      <c r="G37" t="s">
        <v>153</v>
      </c>
      <c r="I37" t="s">
        <v>236</v>
      </c>
      <c r="J37" t="s">
        <v>529</v>
      </c>
      <c r="K37">
        <v>0</v>
      </c>
      <c r="L37" t="s">
        <v>238</v>
      </c>
      <c r="N37" t="s">
        <v>346</v>
      </c>
      <c r="O37" t="s">
        <v>529</v>
      </c>
      <c r="P37">
        <v>2.7857798016139997E-4</v>
      </c>
      <c r="Q37" t="s">
        <v>238</v>
      </c>
      <c r="S37" t="s">
        <v>347</v>
      </c>
      <c r="T37" t="s">
        <v>529</v>
      </c>
      <c r="U37">
        <v>2.2321249606549999E-4</v>
      </c>
      <c r="V37" t="s">
        <v>238</v>
      </c>
      <c r="X37">
        <v>1.1415525114155251E-4</v>
      </c>
      <c r="Y37">
        <v>1.7237235744060203E-4</v>
      </c>
      <c r="Z37" t="s">
        <v>529</v>
      </c>
      <c r="AA37" t="s">
        <v>25</v>
      </c>
      <c r="AC37" t="s">
        <v>22</v>
      </c>
      <c r="AD37" t="s">
        <v>529</v>
      </c>
      <c r="AE37">
        <v>1.6270678389917705E-4</v>
      </c>
      <c r="AG37" t="s">
        <v>97</v>
      </c>
      <c r="AH37" t="s">
        <v>529</v>
      </c>
      <c r="AI37">
        <v>0</v>
      </c>
    </row>
    <row r="38" spans="5:35" x14ac:dyDescent="0.45">
      <c r="E38" t="s">
        <v>157</v>
      </c>
      <c r="G38" t="s">
        <v>153</v>
      </c>
      <c r="I38" t="s">
        <v>236</v>
      </c>
      <c r="J38" t="s">
        <v>530</v>
      </c>
      <c r="K38">
        <v>0</v>
      </c>
      <c r="L38" t="s">
        <v>238</v>
      </c>
      <c r="N38" t="s">
        <v>346</v>
      </c>
      <c r="O38" t="s">
        <v>530</v>
      </c>
      <c r="P38">
        <v>2.7857254403860002E-4</v>
      </c>
      <c r="Q38" t="s">
        <v>238</v>
      </c>
      <c r="S38" t="s">
        <v>347</v>
      </c>
      <c r="T38" t="s">
        <v>530</v>
      </c>
      <c r="U38">
        <v>2.2321398432690001E-4</v>
      </c>
      <c r="V38" t="s">
        <v>238</v>
      </c>
      <c r="X38">
        <v>1.1415525114155251E-4</v>
      </c>
      <c r="Y38">
        <v>1.5579809230208258E-4</v>
      </c>
      <c r="Z38" t="s">
        <v>530</v>
      </c>
      <c r="AA38" t="s">
        <v>25</v>
      </c>
      <c r="AC38" t="s">
        <v>22</v>
      </c>
      <c r="AD38" t="s">
        <v>530</v>
      </c>
      <c r="AE38">
        <v>1.5833859004844229E-4</v>
      </c>
      <c r="AG38" t="s">
        <v>97</v>
      </c>
      <c r="AH38" t="s">
        <v>530</v>
      </c>
      <c r="AI38">
        <v>0</v>
      </c>
    </row>
    <row r="39" spans="5:35" x14ac:dyDescent="0.45">
      <c r="E39" t="s">
        <v>158</v>
      </c>
      <c r="G39" t="s">
        <v>153</v>
      </c>
      <c r="I39" t="s">
        <v>236</v>
      </c>
      <c r="J39" t="s">
        <v>531</v>
      </c>
      <c r="K39">
        <v>0</v>
      </c>
      <c r="L39" t="s">
        <v>238</v>
      </c>
      <c r="N39" t="s">
        <v>346</v>
      </c>
      <c r="O39" t="s">
        <v>531</v>
      </c>
      <c r="P39">
        <v>2.7844618372200003E-4</v>
      </c>
      <c r="Q39" t="s">
        <v>238</v>
      </c>
      <c r="S39" t="s">
        <v>347</v>
      </c>
      <c r="T39" t="s">
        <v>531</v>
      </c>
      <c r="U39">
        <v>2.23163927041E-4</v>
      </c>
      <c r="V39" t="s">
        <v>238</v>
      </c>
      <c r="X39">
        <v>1.1415525114155251E-4</v>
      </c>
      <c r="Y39">
        <v>1.093901499142282E-4</v>
      </c>
      <c r="Z39" t="s">
        <v>531</v>
      </c>
      <c r="AA39" t="s">
        <v>25</v>
      </c>
      <c r="AC39" t="s">
        <v>22</v>
      </c>
      <c r="AD39" t="s">
        <v>531</v>
      </c>
      <c r="AE39">
        <v>1.4356010744057587E-4</v>
      </c>
      <c r="AG39" t="s">
        <v>97</v>
      </c>
      <c r="AH39" t="s">
        <v>531</v>
      </c>
      <c r="AI39">
        <v>0</v>
      </c>
    </row>
    <row r="40" spans="5:35" x14ac:dyDescent="0.45">
      <c r="E40" t="s">
        <v>159</v>
      </c>
      <c r="G40" t="s">
        <v>153</v>
      </c>
      <c r="I40" t="s">
        <v>236</v>
      </c>
      <c r="J40" t="s">
        <v>532</v>
      </c>
      <c r="K40">
        <v>0</v>
      </c>
      <c r="L40" t="s">
        <v>238</v>
      </c>
      <c r="N40" t="s">
        <v>346</v>
      </c>
      <c r="O40" t="s">
        <v>532</v>
      </c>
      <c r="P40">
        <v>2.7744010759789999E-4</v>
      </c>
      <c r="Q40" t="s">
        <v>238</v>
      </c>
      <c r="S40" t="s">
        <v>347</v>
      </c>
      <c r="T40" t="s">
        <v>532</v>
      </c>
      <c r="U40">
        <v>2.2313177786429999E-4</v>
      </c>
      <c r="V40" t="s">
        <v>238</v>
      </c>
      <c r="X40">
        <v>1.1415525114155251E-4</v>
      </c>
      <c r="Y40">
        <v>7.9556472664893237E-5</v>
      </c>
      <c r="Z40" t="s">
        <v>532</v>
      </c>
      <c r="AA40" t="s">
        <v>25</v>
      </c>
      <c r="AC40" t="s">
        <v>22</v>
      </c>
      <c r="AD40" t="s">
        <v>532</v>
      </c>
      <c r="AE40">
        <v>1.3318994644847721E-4</v>
      </c>
      <c r="AG40" t="s">
        <v>97</v>
      </c>
      <c r="AH40" t="s">
        <v>532</v>
      </c>
      <c r="AI40">
        <v>0</v>
      </c>
    </row>
    <row r="41" spans="5:35" x14ac:dyDescent="0.45">
      <c r="E41" t="s">
        <v>160</v>
      </c>
      <c r="G41" t="s">
        <v>153</v>
      </c>
      <c r="I41" t="s">
        <v>236</v>
      </c>
      <c r="J41" t="s">
        <v>533</v>
      </c>
      <c r="K41">
        <v>0</v>
      </c>
      <c r="L41" t="s">
        <v>238</v>
      </c>
      <c r="N41" t="s">
        <v>346</v>
      </c>
      <c r="O41" t="s">
        <v>533</v>
      </c>
      <c r="P41">
        <v>2.757774100191E-4</v>
      </c>
      <c r="Q41" t="s">
        <v>238</v>
      </c>
      <c r="S41" t="s">
        <v>347</v>
      </c>
      <c r="T41" t="s">
        <v>533</v>
      </c>
      <c r="U41">
        <v>2.230915564535E-4</v>
      </c>
      <c r="V41" t="s">
        <v>238</v>
      </c>
      <c r="X41">
        <v>1.1415525114155251E-4</v>
      </c>
      <c r="Y41">
        <v>5.6352501470966035E-5</v>
      </c>
      <c r="Z41" t="s">
        <v>533</v>
      </c>
      <c r="AA41" t="s">
        <v>25</v>
      </c>
      <c r="AC41" t="s">
        <v>22</v>
      </c>
      <c r="AD41" t="s">
        <v>533</v>
      </c>
      <c r="AE41">
        <v>1.2433890798977057E-4</v>
      </c>
      <c r="AG41" t="s">
        <v>97</v>
      </c>
      <c r="AH41" t="s">
        <v>533</v>
      </c>
      <c r="AI41">
        <v>0</v>
      </c>
    </row>
    <row r="42" spans="5:35" x14ac:dyDescent="0.45">
      <c r="E42" t="s">
        <v>161</v>
      </c>
      <c r="G42" t="s">
        <v>153</v>
      </c>
      <c r="I42" t="s">
        <v>236</v>
      </c>
      <c r="J42" t="s">
        <v>534</v>
      </c>
      <c r="K42">
        <v>0</v>
      </c>
      <c r="L42" t="s">
        <v>238</v>
      </c>
      <c r="N42" t="s">
        <v>346</v>
      </c>
      <c r="O42" t="s">
        <v>534</v>
      </c>
      <c r="P42">
        <v>2.7373347002850002E-4</v>
      </c>
      <c r="Q42" t="s">
        <v>238</v>
      </c>
      <c r="S42" t="s">
        <v>347</v>
      </c>
      <c r="T42" t="s">
        <v>534</v>
      </c>
      <c r="U42">
        <v>2.2277101012439999E-4</v>
      </c>
      <c r="V42" t="s">
        <v>238</v>
      </c>
      <c r="X42">
        <v>1.1415525114155251E-4</v>
      </c>
      <c r="Y42">
        <v>2.9833677249334962E-5</v>
      </c>
      <c r="Z42" t="s">
        <v>534</v>
      </c>
      <c r="AA42" t="s">
        <v>25</v>
      </c>
      <c r="AC42" t="s">
        <v>22</v>
      </c>
      <c r="AD42" t="s">
        <v>534</v>
      </c>
      <c r="AE42">
        <v>9.7009033733369023E-5</v>
      </c>
      <c r="AG42" t="s">
        <v>97</v>
      </c>
      <c r="AH42" t="s">
        <v>534</v>
      </c>
      <c r="AI42">
        <v>0</v>
      </c>
    </row>
    <row r="43" spans="5:35" x14ac:dyDescent="0.45">
      <c r="E43" t="s">
        <v>162</v>
      </c>
      <c r="G43" t="s">
        <v>153</v>
      </c>
      <c r="I43" t="s">
        <v>236</v>
      </c>
      <c r="J43" t="s">
        <v>247</v>
      </c>
      <c r="K43">
        <v>1.7390279363962665E-3</v>
      </c>
      <c r="L43" t="s">
        <v>238</v>
      </c>
      <c r="N43" t="s">
        <v>346</v>
      </c>
      <c r="O43" t="s">
        <v>247</v>
      </c>
      <c r="P43">
        <v>5.8871151605607207E-2</v>
      </c>
      <c r="Q43" t="s">
        <v>238</v>
      </c>
      <c r="S43" t="s">
        <v>347</v>
      </c>
      <c r="T43" t="s">
        <v>247</v>
      </c>
      <c r="U43">
        <v>5.8892064716887418E-2</v>
      </c>
      <c r="V43" t="s">
        <v>238</v>
      </c>
      <c r="X43">
        <v>6.095890410958904E-2</v>
      </c>
      <c r="Y43">
        <v>1.3039968840381539E-2</v>
      </c>
      <c r="Z43" t="s">
        <v>247</v>
      </c>
      <c r="AA43" t="s">
        <v>25</v>
      </c>
      <c r="AC43" t="s">
        <v>22</v>
      </c>
      <c r="AD43" t="s">
        <v>247</v>
      </c>
      <c r="AE43">
        <v>4.6341477900639694E-2</v>
      </c>
      <c r="AG43" t="s">
        <v>97</v>
      </c>
      <c r="AH43" t="s">
        <v>247</v>
      </c>
      <c r="AI43">
        <v>0.34040059020894797</v>
      </c>
    </row>
    <row r="44" spans="5:35" x14ac:dyDescent="0.45">
      <c r="E44" t="s">
        <v>163</v>
      </c>
      <c r="G44" t="s">
        <v>153</v>
      </c>
      <c r="I44" t="s">
        <v>236</v>
      </c>
      <c r="J44" t="s">
        <v>248</v>
      </c>
      <c r="K44">
        <v>7.1998476246754352E-3</v>
      </c>
      <c r="L44" t="s">
        <v>238</v>
      </c>
      <c r="N44" t="s">
        <v>346</v>
      </c>
      <c r="O44" t="s">
        <v>248</v>
      </c>
      <c r="P44">
        <v>9.3865826472019683E-3</v>
      </c>
      <c r="Q44" t="s">
        <v>238</v>
      </c>
      <c r="S44" t="s">
        <v>347</v>
      </c>
      <c r="T44" t="s">
        <v>248</v>
      </c>
      <c r="U44">
        <v>9.380989788386529E-3</v>
      </c>
      <c r="V44" t="s">
        <v>238</v>
      </c>
      <c r="X44">
        <v>1.0159817351598174E-2</v>
      </c>
      <c r="Y44">
        <v>1.5046117892747931E-2</v>
      </c>
      <c r="Z44" t="s">
        <v>248</v>
      </c>
      <c r="AA44" t="s">
        <v>25</v>
      </c>
      <c r="AC44" t="s">
        <v>22</v>
      </c>
      <c r="AD44" t="s">
        <v>248</v>
      </c>
      <c r="AE44">
        <v>1.0833483351009797E-2</v>
      </c>
      <c r="AG44" t="s">
        <v>97</v>
      </c>
      <c r="AH44" t="s">
        <v>248</v>
      </c>
      <c r="AI44">
        <v>0.22294881259274546</v>
      </c>
    </row>
    <row r="45" spans="5:35" x14ac:dyDescent="0.45">
      <c r="E45" t="s">
        <v>164</v>
      </c>
      <c r="G45" t="s">
        <v>153</v>
      </c>
      <c r="I45" t="s">
        <v>236</v>
      </c>
      <c r="J45" t="s">
        <v>249</v>
      </c>
      <c r="K45">
        <v>1.4410316581072479E-2</v>
      </c>
      <c r="L45" t="s">
        <v>238</v>
      </c>
      <c r="N45" t="s">
        <v>346</v>
      </c>
      <c r="O45" t="s">
        <v>249</v>
      </c>
      <c r="P45">
        <v>8.9809781093034471E-3</v>
      </c>
      <c r="Q45" t="s">
        <v>238</v>
      </c>
      <c r="S45" t="s">
        <v>347</v>
      </c>
      <c r="T45" t="s">
        <v>249</v>
      </c>
      <c r="U45">
        <v>9.286789526101057E-3</v>
      </c>
      <c r="V45" t="s">
        <v>238</v>
      </c>
      <c r="X45">
        <v>1.0159817351598174E-2</v>
      </c>
      <c r="Y45">
        <v>1.6963760369274626E-2</v>
      </c>
      <c r="Z45" t="s">
        <v>249</v>
      </c>
      <c r="AA45" t="s">
        <v>25</v>
      </c>
      <c r="AC45" t="s">
        <v>22</v>
      </c>
      <c r="AD45" t="s">
        <v>249</v>
      </c>
      <c r="AE45">
        <v>1.1724786936578061E-2</v>
      </c>
      <c r="AG45" t="s">
        <v>97</v>
      </c>
      <c r="AH45" t="s">
        <v>249</v>
      </c>
      <c r="AI45">
        <v>0.20307000544936904</v>
      </c>
    </row>
    <row r="46" spans="5:35" x14ac:dyDescent="0.45">
      <c r="E46" t="s">
        <v>165</v>
      </c>
      <c r="G46" t="s">
        <v>153</v>
      </c>
      <c r="I46" t="s">
        <v>236</v>
      </c>
      <c r="J46" t="s">
        <v>250</v>
      </c>
      <c r="K46">
        <v>2.1358020130711537E-2</v>
      </c>
      <c r="L46" t="s">
        <v>238</v>
      </c>
      <c r="N46" t="s">
        <v>346</v>
      </c>
      <c r="O46" t="s">
        <v>250</v>
      </c>
      <c r="P46">
        <v>8.8369853447591296E-3</v>
      </c>
      <c r="Q46" t="s">
        <v>238</v>
      </c>
      <c r="S46" t="s">
        <v>347</v>
      </c>
      <c r="T46" t="s">
        <v>250</v>
      </c>
      <c r="U46">
        <v>9.2674216932121401E-3</v>
      </c>
      <c r="V46" t="s">
        <v>238</v>
      </c>
      <c r="X46">
        <v>1.0159817351598174E-2</v>
      </c>
      <c r="Y46">
        <v>1.2980964456488416E-2</v>
      </c>
      <c r="Z46" t="s">
        <v>250</v>
      </c>
      <c r="AA46" t="s">
        <v>25</v>
      </c>
      <c r="AC46" t="s">
        <v>22</v>
      </c>
      <c r="AD46" t="s">
        <v>250</v>
      </c>
      <c r="AE46">
        <v>1.2174117585535037E-2</v>
      </c>
      <c r="AG46" t="s">
        <v>97</v>
      </c>
      <c r="AH46" t="s">
        <v>250</v>
      </c>
      <c r="AI46">
        <v>0.19709741315637097</v>
      </c>
    </row>
    <row r="47" spans="5:35" x14ac:dyDescent="0.45">
      <c r="E47" t="s">
        <v>166</v>
      </c>
      <c r="G47" t="s">
        <v>153</v>
      </c>
      <c r="I47" t="s">
        <v>236</v>
      </c>
      <c r="J47" t="s">
        <v>251</v>
      </c>
      <c r="K47">
        <v>0.20191827212175761</v>
      </c>
      <c r="L47" t="s">
        <v>238</v>
      </c>
      <c r="N47" t="s">
        <v>346</v>
      </c>
      <c r="O47" t="s">
        <v>251</v>
      </c>
      <c r="P47">
        <v>6.421636565429284E-2</v>
      </c>
      <c r="Q47" t="s">
        <v>238</v>
      </c>
      <c r="S47" t="s">
        <v>347</v>
      </c>
      <c r="T47" t="s">
        <v>251</v>
      </c>
      <c r="U47">
        <v>6.3667348331865908E-2</v>
      </c>
      <c r="V47" t="s">
        <v>238</v>
      </c>
      <c r="X47">
        <v>7.1118721461187209E-2</v>
      </c>
      <c r="Y47">
        <v>9.2577878328319624E-2</v>
      </c>
      <c r="Z47" t="s">
        <v>251</v>
      </c>
      <c r="AA47" t="s">
        <v>25</v>
      </c>
      <c r="AC47" t="s">
        <v>22</v>
      </c>
      <c r="AD47" t="s">
        <v>251</v>
      </c>
      <c r="AE47">
        <v>8.3754039291745797E-2</v>
      </c>
      <c r="AG47" t="s">
        <v>97</v>
      </c>
      <c r="AH47" t="s">
        <v>251</v>
      </c>
      <c r="AI47">
        <v>0.20597532236860006</v>
      </c>
    </row>
    <row r="48" spans="5:35" x14ac:dyDescent="0.45">
      <c r="E48" t="s">
        <v>167</v>
      </c>
      <c r="G48" t="s">
        <v>153</v>
      </c>
      <c r="I48" t="s">
        <v>236</v>
      </c>
      <c r="J48" t="s">
        <v>252</v>
      </c>
      <c r="K48">
        <v>2.1012107611192547E-2</v>
      </c>
      <c r="L48" t="s">
        <v>238</v>
      </c>
      <c r="N48" t="s">
        <v>346</v>
      </c>
      <c r="O48" t="s">
        <v>252</v>
      </c>
      <c r="P48">
        <v>9.3960080986512234E-3</v>
      </c>
      <c r="Q48" t="s">
        <v>238</v>
      </c>
      <c r="S48" t="s">
        <v>347</v>
      </c>
      <c r="T48" t="s">
        <v>252</v>
      </c>
      <c r="U48">
        <v>9.5996315211831426E-3</v>
      </c>
      <c r="V48" t="s">
        <v>238</v>
      </c>
      <c r="X48">
        <v>1.0159817351598174E-2</v>
      </c>
      <c r="Y48">
        <v>1.9766468604198267E-2</v>
      </c>
      <c r="Z48" t="s">
        <v>252</v>
      </c>
      <c r="AA48" t="s">
        <v>25</v>
      </c>
      <c r="AC48" t="s">
        <v>22</v>
      </c>
      <c r="AD48" t="s">
        <v>252</v>
      </c>
      <c r="AE48">
        <v>1.1950468353392564E-2</v>
      </c>
      <c r="AG48" t="s">
        <v>97</v>
      </c>
      <c r="AH48" t="s">
        <v>252</v>
      </c>
      <c r="AI48">
        <v>0.21801456283617315</v>
      </c>
    </row>
    <row r="49" spans="5:35" x14ac:dyDescent="0.45">
      <c r="E49" t="s">
        <v>168</v>
      </c>
      <c r="G49" t="s">
        <v>153</v>
      </c>
      <c r="I49" t="s">
        <v>236</v>
      </c>
      <c r="J49" t="s">
        <v>253</v>
      </c>
      <c r="K49">
        <v>1.5309498246136624E-2</v>
      </c>
      <c r="L49" t="s">
        <v>238</v>
      </c>
      <c r="N49" t="s">
        <v>346</v>
      </c>
      <c r="O49" t="s">
        <v>253</v>
      </c>
      <c r="P49">
        <v>9.1764870942938181E-3</v>
      </c>
      <c r="Q49" t="s">
        <v>238</v>
      </c>
      <c r="S49" t="s">
        <v>347</v>
      </c>
      <c r="T49" t="s">
        <v>253</v>
      </c>
      <c r="U49">
        <v>9.7142374885738399E-3</v>
      </c>
      <c r="V49" t="s">
        <v>238</v>
      </c>
      <c r="X49">
        <v>1.0159817351598174E-2</v>
      </c>
      <c r="Y49">
        <v>1.9766468604198267E-2</v>
      </c>
      <c r="Z49" t="s">
        <v>253</v>
      </c>
      <c r="AA49" t="s">
        <v>25</v>
      </c>
      <c r="AC49" t="s">
        <v>22</v>
      </c>
      <c r="AD49" t="s">
        <v>253</v>
      </c>
      <c r="AE49">
        <v>1.2031913385064891E-2</v>
      </c>
      <c r="AG49" t="s">
        <v>97</v>
      </c>
      <c r="AH49" t="s">
        <v>253</v>
      </c>
      <c r="AI49">
        <v>0.21559016127208852</v>
      </c>
    </row>
    <row r="50" spans="5:35" x14ac:dyDescent="0.45">
      <c r="E50" t="s">
        <v>169</v>
      </c>
      <c r="G50" t="s">
        <v>153</v>
      </c>
      <c r="I50" t="s">
        <v>236</v>
      </c>
      <c r="J50" t="s">
        <v>254</v>
      </c>
      <c r="K50">
        <v>1.1832568880426636E-2</v>
      </c>
      <c r="L50" t="s">
        <v>238</v>
      </c>
      <c r="N50" t="s">
        <v>346</v>
      </c>
      <c r="O50" t="s">
        <v>254</v>
      </c>
      <c r="P50">
        <v>5.9750057325783812E-2</v>
      </c>
      <c r="Q50" t="s">
        <v>238</v>
      </c>
      <c r="S50" t="s">
        <v>347</v>
      </c>
      <c r="T50" t="s">
        <v>254</v>
      </c>
      <c r="U50">
        <v>6.0180477061202921E-2</v>
      </c>
      <c r="V50" t="s">
        <v>238</v>
      </c>
      <c r="X50">
        <v>6.095890410958904E-2</v>
      </c>
      <c r="Y50">
        <v>5.3693989342747522E-2</v>
      </c>
      <c r="Z50" t="s">
        <v>254</v>
      </c>
      <c r="AA50" t="s">
        <v>25</v>
      </c>
      <c r="AC50" t="s">
        <v>22</v>
      </c>
      <c r="AD50" t="s">
        <v>254</v>
      </c>
      <c r="AE50">
        <v>6.2134783087383801E-2</v>
      </c>
      <c r="AG50" t="s">
        <v>97</v>
      </c>
      <c r="AH50" t="s">
        <v>254</v>
      </c>
      <c r="AI50">
        <v>0.32762155650425284</v>
      </c>
    </row>
    <row r="51" spans="5:35" x14ac:dyDescent="0.45">
      <c r="E51" t="s">
        <v>170</v>
      </c>
      <c r="G51" t="s">
        <v>153</v>
      </c>
      <c r="I51" t="s">
        <v>236</v>
      </c>
      <c r="J51" t="s">
        <v>535</v>
      </c>
      <c r="K51">
        <v>0</v>
      </c>
      <c r="L51" t="s">
        <v>238</v>
      </c>
      <c r="N51" t="s">
        <v>346</v>
      </c>
      <c r="O51" t="s">
        <v>535</v>
      </c>
      <c r="P51">
        <v>3.5652081652399689E-5</v>
      </c>
      <c r="Q51" t="s">
        <v>238</v>
      </c>
      <c r="S51" t="s">
        <v>347</v>
      </c>
      <c r="T51" t="s">
        <v>535</v>
      </c>
      <c r="U51">
        <v>6.1558372424228198E-5</v>
      </c>
      <c r="V51" t="s">
        <v>238</v>
      </c>
      <c r="X51">
        <v>1.1415525114155251E-4</v>
      </c>
      <c r="Y51">
        <v>2.1546544680075254E-5</v>
      </c>
      <c r="Z51" t="s">
        <v>535</v>
      </c>
      <c r="AA51" t="s">
        <v>25</v>
      </c>
      <c r="AC51" t="s">
        <v>22</v>
      </c>
      <c r="AD51" t="s">
        <v>535</v>
      </c>
      <c r="AE51">
        <v>1.1043564077295478E-4</v>
      </c>
      <c r="AG51" t="s">
        <v>97</v>
      </c>
      <c r="AH51" t="s">
        <v>535</v>
      </c>
      <c r="AI51">
        <v>0</v>
      </c>
    </row>
    <row r="52" spans="5:35" x14ac:dyDescent="0.45">
      <c r="E52" t="s">
        <v>171</v>
      </c>
      <c r="G52" t="s">
        <v>153</v>
      </c>
      <c r="I52" t="s">
        <v>236</v>
      </c>
      <c r="J52" t="s">
        <v>536</v>
      </c>
      <c r="K52">
        <v>0</v>
      </c>
      <c r="L52" t="s">
        <v>238</v>
      </c>
      <c r="N52" t="s">
        <v>346</v>
      </c>
      <c r="O52" t="s">
        <v>536</v>
      </c>
      <c r="P52">
        <v>3.9713110204440548E-5</v>
      </c>
      <c r="Q52" t="s">
        <v>238</v>
      </c>
      <c r="S52" t="s">
        <v>347</v>
      </c>
      <c r="T52" t="s">
        <v>536</v>
      </c>
      <c r="U52">
        <v>7.6320426594718847E-5</v>
      </c>
      <c r="V52" t="s">
        <v>238</v>
      </c>
      <c r="X52">
        <v>1.1415525114155251E-4</v>
      </c>
      <c r="Y52">
        <v>1.4916838624667481E-5</v>
      </c>
      <c r="Z52" t="s">
        <v>536</v>
      </c>
      <c r="AA52" t="s">
        <v>25</v>
      </c>
      <c r="AC52" t="s">
        <v>22</v>
      </c>
      <c r="AD52" t="s">
        <v>536</v>
      </c>
      <c r="AE52">
        <v>1.0917448244334632E-4</v>
      </c>
      <c r="AG52" t="s">
        <v>97</v>
      </c>
      <c r="AH52" t="s">
        <v>536</v>
      </c>
      <c r="AI52">
        <v>0</v>
      </c>
    </row>
    <row r="53" spans="5:35" x14ac:dyDescent="0.45">
      <c r="E53" t="s">
        <v>172</v>
      </c>
      <c r="G53" t="s">
        <v>153</v>
      </c>
      <c r="I53" t="s">
        <v>236</v>
      </c>
      <c r="J53" t="s">
        <v>537</v>
      </c>
      <c r="K53">
        <v>0</v>
      </c>
      <c r="L53" t="s">
        <v>238</v>
      </c>
      <c r="N53" t="s">
        <v>346</v>
      </c>
      <c r="O53" t="s">
        <v>537</v>
      </c>
      <c r="P53">
        <v>4.388545360839228E-5</v>
      </c>
      <c r="Q53" t="s">
        <v>238</v>
      </c>
      <c r="S53" t="s">
        <v>347</v>
      </c>
      <c r="T53" t="s">
        <v>537</v>
      </c>
      <c r="U53">
        <v>8.6871007132757088E-5</v>
      </c>
      <c r="V53" t="s">
        <v>238</v>
      </c>
      <c r="X53">
        <v>1.1415525114155251E-4</v>
      </c>
      <c r="Y53">
        <v>1.6574265138519424E-5</v>
      </c>
      <c r="Z53" t="s">
        <v>537</v>
      </c>
      <c r="AA53" t="s">
        <v>25</v>
      </c>
      <c r="AC53" t="s">
        <v>22</v>
      </c>
      <c r="AD53" t="s">
        <v>537</v>
      </c>
      <c r="AE53">
        <v>1.0857256596785138E-4</v>
      </c>
      <c r="AG53" t="s">
        <v>97</v>
      </c>
      <c r="AH53" t="s">
        <v>537</v>
      </c>
      <c r="AI53">
        <v>0</v>
      </c>
    </row>
    <row r="54" spans="5:35" x14ac:dyDescent="0.45">
      <c r="E54" t="s">
        <v>173</v>
      </c>
      <c r="G54" t="s">
        <v>153</v>
      </c>
      <c r="I54" t="s">
        <v>236</v>
      </c>
      <c r="J54" t="s">
        <v>538</v>
      </c>
      <c r="K54">
        <v>0</v>
      </c>
      <c r="L54" t="s">
        <v>238</v>
      </c>
      <c r="N54" t="s">
        <v>346</v>
      </c>
      <c r="O54" t="s">
        <v>538</v>
      </c>
      <c r="P54">
        <v>4.8526825622038661E-5</v>
      </c>
      <c r="Q54" t="s">
        <v>238</v>
      </c>
      <c r="S54" t="s">
        <v>347</v>
      </c>
      <c r="T54" t="s">
        <v>538</v>
      </c>
      <c r="U54">
        <v>9.2191533240804294E-5</v>
      </c>
      <c r="V54" t="s">
        <v>238</v>
      </c>
      <c r="X54">
        <v>1.1415525114155251E-4</v>
      </c>
      <c r="Y54">
        <v>1.4585353321897093E-5</v>
      </c>
      <c r="Z54" t="s">
        <v>538</v>
      </c>
      <c r="AA54" t="s">
        <v>25</v>
      </c>
      <c r="AC54" t="s">
        <v>22</v>
      </c>
      <c r="AD54" t="s">
        <v>538</v>
      </c>
      <c r="AE54">
        <v>1.0886779166773699E-4</v>
      </c>
      <c r="AG54" t="s">
        <v>97</v>
      </c>
      <c r="AH54" t="s">
        <v>538</v>
      </c>
      <c r="AI54">
        <v>0</v>
      </c>
    </row>
    <row r="55" spans="5:35" x14ac:dyDescent="0.45">
      <c r="E55" t="s">
        <v>174</v>
      </c>
      <c r="G55" t="s">
        <v>153</v>
      </c>
      <c r="I55" t="s">
        <v>236</v>
      </c>
      <c r="J55" t="s">
        <v>539</v>
      </c>
      <c r="K55">
        <v>0</v>
      </c>
      <c r="L55" t="s">
        <v>238</v>
      </c>
      <c r="N55" t="s">
        <v>346</v>
      </c>
      <c r="O55" t="s">
        <v>539</v>
      </c>
      <c r="P55">
        <v>5.2038480303231322E-5</v>
      </c>
      <c r="Q55" t="s">
        <v>238</v>
      </c>
      <c r="S55" t="s">
        <v>347</v>
      </c>
      <c r="T55" t="s">
        <v>539</v>
      </c>
      <c r="U55">
        <v>8.6859863293397912E-5</v>
      </c>
      <c r="V55" t="s">
        <v>238</v>
      </c>
      <c r="X55">
        <v>1.1415525114155251E-4</v>
      </c>
      <c r="Y55">
        <v>2.1215059377304864E-5</v>
      </c>
      <c r="Z55" t="s">
        <v>539</v>
      </c>
      <c r="AA55" t="s">
        <v>25</v>
      </c>
      <c r="AC55" t="s">
        <v>22</v>
      </c>
      <c r="AD55" t="s">
        <v>539</v>
      </c>
      <c r="AE55">
        <v>1.1727455844214976E-4</v>
      </c>
      <c r="AG55" t="s">
        <v>97</v>
      </c>
      <c r="AH55" t="s">
        <v>539</v>
      </c>
      <c r="AI55">
        <v>0</v>
      </c>
    </row>
    <row r="56" spans="5:35" x14ac:dyDescent="0.45">
      <c r="E56" t="s">
        <v>175</v>
      </c>
      <c r="G56" t="s">
        <v>153</v>
      </c>
      <c r="I56" t="s">
        <v>236</v>
      </c>
      <c r="J56" t="s">
        <v>540</v>
      </c>
      <c r="K56">
        <v>0</v>
      </c>
      <c r="L56" t="s">
        <v>238</v>
      </c>
      <c r="N56" t="s">
        <v>346</v>
      </c>
      <c r="O56" t="s">
        <v>540</v>
      </c>
      <c r="P56">
        <v>5.5660246631562421E-5</v>
      </c>
      <c r="Q56" t="s">
        <v>238</v>
      </c>
      <c r="S56" t="s">
        <v>347</v>
      </c>
      <c r="T56" t="s">
        <v>540</v>
      </c>
      <c r="U56">
        <v>7.8731370190520899E-5</v>
      </c>
      <c r="V56" t="s">
        <v>238</v>
      </c>
      <c r="X56">
        <v>1.1415525114155251E-4</v>
      </c>
      <c r="Y56">
        <v>5.7678442682047593E-5</v>
      </c>
      <c r="Z56" t="s">
        <v>540</v>
      </c>
      <c r="AA56" t="s">
        <v>25</v>
      </c>
      <c r="AC56" t="s">
        <v>22</v>
      </c>
      <c r="AD56" t="s">
        <v>540</v>
      </c>
      <c r="AE56">
        <v>1.4602896835722265E-4</v>
      </c>
      <c r="AG56" t="s">
        <v>97</v>
      </c>
      <c r="AH56" t="s">
        <v>540</v>
      </c>
      <c r="AI56">
        <v>0</v>
      </c>
    </row>
    <row r="57" spans="5:35" x14ac:dyDescent="0.45">
      <c r="E57" t="s">
        <v>176</v>
      </c>
      <c r="G57" t="s">
        <v>153</v>
      </c>
      <c r="I57" t="s">
        <v>236</v>
      </c>
      <c r="J57" t="s">
        <v>541</v>
      </c>
      <c r="K57">
        <v>0</v>
      </c>
      <c r="L57" t="s">
        <v>238</v>
      </c>
      <c r="N57" t="s">
        <v>346</v>
      </c>
      <c r="O57" t="s">
        <v>541</v>
      </c>
      <c r="P57">
        <v>5.5095277086408587E-5</v>
      </c>
      <c r="Q57" t="s">
        <v>238</v>
      </c>
      <c r="S57" t="s">
        <v>347</v>
      </c>
      <c r="T57" t="s">
        <v>541</v>
      </c>
      <c r="U57">
        <v>7.173181044515266E-5</v>
      </c>
      <c r="V57" t="s">
        <v>238</v>
      </c>
      <c r="X57">
        <v>1.1415525114155251E-4</v>
      </c>
      <c r="Y57">
        <v>1.6905750441289813E-4</v>
      </c>
      <c r="Z57" t="s">
        <v>541</v>
      </c>
      <c r="AA57" t="s">
        <v>25</v>
      </c>
      <c r="AC57" t="s">
        <v>22</v>
      </c>
      <c r="AD57" t="s">
        <v>541</v>
      </c>
      <c r="AE57">
        <v>1.6909956698226472E-4</v>
      </c>
      <c r="AG57" t="s">
        <v>97</v>
      </c>
      <c r="AH57" t="s">
        <v>541</v>
      </c>
      <c r="AI57">
        <v>0</v>
      </c>
    </row>
    <row r="58" spans="5:35" x14ac:dyDescent="0.45">
      <c r="E58" t="s">
        <v>177</v>
      </c>
      <c r="G58" t="s">
        <v>153</v>
      </c>
      <c r="I58" t="s">
        <v>236</v>
      </c>
      <c r="J58" t="s">
        <v>542</v>
      </c>
      <c r="K58">
        <v>9.6738363955163839E-5</v>
      </c>
      <c r="L58" t="s">
        <v>238</v>
      </c>
      <c r="N58" t="s">
        <v>346</v>
      </c>
      <c r="O58" t="s">
        <v>542</v>
      </c>
      <c r="P58">
        <v>4.6774858887348148E-5</v>
      </c>
      <c r="Q58" t="s">
        <v>238</v>
      </c>
      <c r="S58" t="s">
        <v>347</v>
      </c>
      <c r="T58" t="s">
        <v>542</v>
      </c>
      <c r="U58">
        <v>6.5059299768047789E-5</v>
      </c>
      <c r="V58" t="s">
        <v>238</v>
      </c>
      <c r="X58">
        <v>1.1415525114155251E-4</v>
      </c>
      <c r="Y58">
        <v>1.9060404909297337E-4</v>
      </c>
      <c r="Z58" t="s">
        <v>542</v>
      </c>
      <c r="AA58" t="s">
        <v>25</v>
      </c>
      <c r="AC58" t="s">
        <v>22</v>
      </c>
      <c r="AD58" t="s">
        <v>542</v>
      </c>
      <c r="AE58">
        <v>1.7695314385300829E-4</v>
      </c>
      <c r="AG58" t="s">
        <v>97</v>
      </c>
      <c r="AH58" t="s">
        <v>542</v>
      </c>
      <c r="AI58">
        <v>0</v>
      </c>
    </row>
    <row r="59" spans="5:35" x14ac:dyDescent="0.45">
      <c r="E59" t="s">
        <v>178</v>
      </c>
      <c r="G59" t="s">
        <v>156</v>
      </c>
      <c r="I59" t="s">
        <v>236</v>
      </c>
      <c r="J59" t="s">
        <v>543</v>
      </c>
      <c r="K59">
        <v>2.1982958219030001E-4</v>
      </c>
      <c r="L59" t="s">
        <v>238</v>
      </c>
      <c r="N59" t="s">
        <v>346</v>
      </c>
      <c r="O59" t="s">
        <v>543</v>
      </c>
      <c r="P59">
        <v>3.6578512757888986E-5</v>
      </c>
      <c r="Q59" t="s">
        <v>238</v>
      </c>
      <c r="S59" t="s">
        <v>347</v>
      </c>
      <c r="T59" t="s">
        <v>543</v>
      </c>
      <c r="U59">
        <v>5.6688946969197641E-5</v>
      </c>
      <c r="V59" t="s">
        <v>238</v>
      </c>
      <c r="X59">
        <v>1.1415525114155251E-4</v>
      </c>
      <c r="Y59">
        <v>1.4585353321897094E-4</v>
      </c>
      <c r="Z59" t="s">
        <v>543</v>
      </c>
      <c r="AA59" t="s">
        <v>25</v>
      </c>
      <c r="AC59" t="s">
        <v>22</v>
      </c>
      <c r="AD59" t="s">
        <v>543</v>
      </c>
      <c r="AE59">
        <v>1.8216402076943599E-4</v>
      </c>
      <c r="AG59" t="s">
        <v>97</v>
      </c>
      <c r="AH59" t="s">
        <v>543</v>
      </c>
      <c r="AI59">
        <v>0</v>
      </c>
    </row>
    <row r="60" spans="5:35" x14ac:dyDescent="0.45">
      <c r="E60" t="s">
        <v>179</v>
      </c>
      <c r="G60" t="s">
        <v>156</v>
      </c>
      <c r="I60" t="s">
        <v>236</v>
      </c>
      <c r="J60" t="s">
        <v>544</v>
      </c>
      <c r="K60">
        <v>3.0528512119319998E-4</v>
      </c>
      <c r="L60" t="s">
        <v>238</v>
      </c>
      <c r="N60" t="s">
        <v>346</v>
      </c>
      <c r="O60" t="s">
        <v>544</v>
      </c>
      <c r="P60">
        <v>3.496831591591123E-5</v>
      </c>
      <c r="Q60" t="s">
        <v>238</v>
      </c>
      <c r="S60" t="s">
        <v>347</v>
      </c>
      <c r="T60" t="s">
        <v>544</v>
      </c>
      <c r="U60">
        <v>4.8114007131497203E-5</v>
      </c>
      <c r="V60" t="s">
        <v>238</v>
      </c>
      <c r="X60">
        <v>1.1415525114155251E-4</v>
      </c>
      <c r="Y60">
        <v>1.4452759200788939E-4</v>
      </c>
      <c r="Z60" t="s">
        <v>544</v>
      </c>
      <c r="AA60" t="s">
        <v>25</v>
      </c>
      <c r="AC60" t="s">
        <v>22</v>
      </c>
      <c r="AD60" t="s">
        <v>544</v>
      </c>
      <c r="AE60">
        <v>1.7980508143928197E-4</v>
      </c>
      <c r="AG60" t="s">
        <v>97</v>
      </c>
      <c r="AH60" t="s">
        <v>544</v>
      </c>
      <c r="AI60">
        <v>0</v>
      </c>
    </row>
    <row r="61" spans="5:35" x14ac:dyDescent="0.45">
      <c r="E61" t="s">
        <v>180</v>
      </c>
      <c r="G61" t="s">
        <v>156</v>
      </c>
      <c r="I61" t="s">
        <v>236</v>
      </c>
      <c r="J61" t="s">
        <v>545</v>
      </c>
      <c r="K61">
        <v>3.6325226283629998E-4</v>
      </c>
      <c r="L61" t="s">
        <v>238</v>
      </c>
      <c r="N61" t="s">
        <v>346</v>
      </c>
      <c r="O61" t="s">
        <v>545</v>
      </c>
      <c r="P61">
        <v>2.095680400271489E-5</v>
      </c>
      <c r="Q61" t="s">
        <v>238</v>
      </c>
      <c r="S61" t="s">
        <v>347</v>
      </c>
      <c r="T61" t="s">
        <v>545</v>
      </c>
      <c r="U61">
        <v>3.3882269706545399E-5</v>
      </c>
      <c r="V61" t="s">
        <v>238</v>
      </c>
      <c r="X61">
        <v>1.1415525114155251E-4</v>
      </c>
      <c r="Y61">
        <v>1.408812536774151E-4</v>
      </c>
      <c r="Z61" t="s">
        <v>545</v>
      </c>
      <c r="AA61" t="s">
        <v>25</v>
      </c>
      <c r="AC61" t="s">
        <v>22</v>
      </c>
      <c r="AD61" t="s">
        <v>545</v>
      </c>
      <c r="AE61">
        <v>1.7906845032403341E-4</v>
      </c>
      <c r="AG61" t="s">
        <v>97</v>
      </c>
      <c r="AH61" t="s">
        <v>545</v>
      </c>
      <c r="AI61">
        <v>0</v>
      </c>
    </row>
    <row r="62" spans="5:35" x14ac:dyDescent="0.45">
      <c r="E62" t="s">
        <v>181</v>
      </c>
      <c r="G62" t="s">
        <v>156</v>
      </c>
      <c r="I62" t="s">
        <v>236</v>
      </c>
      <c r="J62" t="s">
        <v>546</v>
      </c>
      <c r="K62">
        <v>3.8839823371310001E-4</v>
      </c>
      <c r="L62" t="s">
        <v>238</v>
      </c>
      <c r="N62" t="s">
        <v>346</v>
      </c>
      <c r="O62" t="s">
        <v>546</v>
      </c>
      <c r="P62">
        <v>2.7689716754143029E-5</v>
      </c>
      <c r="Q62" t="s">
        <v>238</v>
      </c>
      <c r="S62" t="s">
        <v>347</v>
      </c>
      <c r="T62" t="s">
        <v>546</v>
      </c>
      <c r="U62">
        <v>4.9343774435412105E-5</v>
      </c>
      <c r="V62" t="s">
        <v>238</v>
      </c>
      <c r="X62">
        <v>1.1415525114155251E-4</v>
      </c>
      <c r="Y62">
        <v>1.4054976837464471E-4</v>
      </c>
      <c r="Z62" t="s">
        <v>546</v>
      </c>
      <c r="AA62" t="s">
        <v>25</v>
      </c>
      <c r="AC62" t="s">
        <v>22</v>
      </c>
      <c r="AD62" t="s">
        <v>546</v>
      </c>
      <c r="AE62">
        <v>1.7831175532626834E-4</v>
      </c>
      <c r="AG62" t="s">
        <v>97</v>
      </c>
      <c r="AH62" t="s">
        <v>546</v>
      </c>
      <c r="AI62">
        <v>0</v>
      </c>
    </row>
    <row r="63" spans="5:35" x14ac:dyDescent="0.45">
      <c r="E63" t="s">
        <v>182</v>
      </c>
      <c r="G63" t="s">
        <v>156</v>
      </c>
      <c r="I63" t="s">
        <v>236</v>
      </c>
      <c r="J63" t="s">
        <v>547</v>
      </c>
      <c r="K63">
        <v>3.7820798317940001E-4</v>
      </c>
      <c r="L63" t="s">
        <v>238</v>
      </c>
      <c r="N63" t="s">
        <v>346</v>
      </c>
      <c r="O63" t="s">
        <v>547</v>
      </c>
      <c r="P63">
        <v>3.926105674971314E-5</v>
      </c>
      <c r="Q63" t="s">
        <v>238</v>
      </c>
      <c r="S63" t="s">
        <v>347</v>
      </c>
      <c r="T63" t="s">
        <v>547</v>
      </c>
      <c r="U63">
        <v>5.131630600100315E-5</v>
      </c>
      <c r="V63" t="s">
        <v>238</v>
      </c>
      <c r="X63">
        <v>1.1415525114155251E-4</v>
      </c>
      <c r="Y63">
        <v>1.4253868019126702E-4</v>
      </c>
      <c r="Z63" t="s">
        <v>547</v>
      </c>
      <c r="AA63" t="s">
        <v>25</v>
      </c>
      <c r="AC63" t="s">
        <v>22</v>
      </c>
      <c r="AD63" t="s">
        <v>547</v>
      </c>
      <c r="AE63">
        <v>1.7735155523440735E-4</v>
      </c>
      <c r="AG63" t="s">
        <v>97</v>
      </c>
      <c r="AH63" t="s">
        <v>547</v>
      </c>
      <c r="AI63">
        <v>0</v>
      </c>
    </row>
    <row r="64" spans="5:35" x14ac:dyDescent="0.45">
      <c r="E64" t="s">
        <v>183</v>
      </c>
      <c r="G64" t="s">
        <v>156</v>
      </c>
      <c r="I64" t="s">
        <v>236</v>
      </c>
      <c r="J64" t="s">
        <v>548</v>
      </c>
      <c r="K64">
        <v>3.7879411097009998E-4</v>
      </c>
      <c r="L64" t="s">
        <v>238</v>
      </c>
      <c r="N64" t="s">
        <v>346</v>
      </c>
      <c r="O64" t="s">
        <v>548</v>
      </c>
      <c r="P64">
        <v>4.8111600102889792E-5</v>
      </c>
      <c r="Q64" t="s">
        <v>238</v>
      </c>
      <c r="S64" t="s">
        <v>347</v>
      </c>
      <c r="T64" t="s">
        <v>548</v>
      </c>
      <c r="U64">
        <v>4.3934274448743791E-5</v>
      </c>
      <c r="V64" t="s">
        <v>238</v>
      </c>
      <c r="X64">
        <v>1.1415525114155251E-4</v>
      </c>
      <c r="Y64">
        <v>1.4883690094390442E-4</v>
      </c>
      <c r="Z64" t="s">
        <v>548</v>
      </c>
      <c r="AA64" t="s">
        <v>25</v>
      </c>
      <c r="AC64" t="s">
        <v>22</v>
      </c>
      <c r="AD64" t="s">
        <v>548</v>
      </c>
      <c r="AE64">
        <v>1.7735155523440735E-4</v>
      </c>
      <c r="AG64" t="s">
        <v>97</v>
      </c>
      <c r="AH64" t="s">
        <v>548</v>
      </c>
      <c r="AI64">
        <v>0</v>
      </c>
    </row>
    <row r="65" spans="5:35" x14ac:dyDescent="0.45">
      <c r="E65" t="s">
        <v>184</v>
      </c>
      <c r="G65" t="s">
        <v>156</v>
      </c>
      <c r="I65" t="s">
        <v>236</v>
      </c>
      <c r="J65" t="s">
        <v>549</v>
      </c>
      <c r="K65">
        <v>3.626623251239E-4</v>
      </c>
      <c r="L65" t="s">
        <v>238</v>
      </c>
      <c r="N65" t="s">
        <v>346</v>
      </c>
      <c r="O65" t="s">
        <v>549</v>
      </c>
      <c r="P65">
        <v>5.2291664186081437E-5</v>
      </c>
      <c r="Q65" t="s">
        <v>238</v>
      </c>
      <c r="S65" t="s">
        <v>347</v>
      </c>
      <c r="T65" t="s">
        <v>549</v>
      </c>
      <c r="U65">
        <v>3.6288233938332331E-5</v>
      </c>
      <c r="V65" t="s">
        <v>238</v>
      </c>
      <c r="X65">
        <v>1.1415525114155251E-4</v>
      </c>
      <c r="Y65">
        <v>1.5049432745775637E-4</v>
      </c>
      <c r="Z65" t="s">
        <v>549</v>
      </c>
      <c r="AA65" t="s">
        <v>25</v>
      </c>
      <c r="AC65" t="s">
        <v>22</v>
      </c>
      <c r="AD65" t="s">
        <v>549</v>
      </c>
      <c r="AE65">
        <v>1.7735155523440735E-4</v>
      </c>
      <c r="AG65" t="s">
        <v>97</v>
      </c>
      <c r="AH65" t="s">
        <v>549</v>
      </c>
      <c r="AI65">
        <v>0</v>
      </c>
    </row>
    <row r="66" spans="5:35" x14ac:dyDescent="0.45">
      <c r="E66" t="s">
        <v>185</v>
      </c>
      <c r="G66" t="s">
        <v>156</v>
      </c>
      <c r="I66" t="s">
        <v>236</v>
      </c>
      <c r="J66" t="s">
        <v>550</v>
      </c>
      <c r="K66">
        <v>3.3071797432150001E-4</v>
      </c>
      <c r="L66" t="s">
        <v>238</v>
      </c>
      <c r="N66" t="s">
        <v>346</v>
      </c>
      <c r="O66" t="s">
        <v>550</v>
      </c>
      <c r="P66">
        <v>4.8812882903288443E-5</v>
      </c>
      <c r="Q66" t="s">
        <v>238</v>
      </c>
      <c r="S66" t="s">
        <v>347</v>
      </c>
      <c r="T66" t="s">
        <v>550</v>
      </c>
      <c r="U66">
        <v>3.0387780863285361E-5</v>
      </c>
      <c r="V66" t="s">
        <v>238</v>
      </c>
      <c r="X66">
        <v>1.1415525114155251E-4</v>
      </c>
      <c r="Y66">
        <v>1.7237235744060203E-4</v>
      </c>
      <c r="Z66" t="s">
        <v>550</v>
      </c>
      <c r="AA66" t="s">
        <v>25</v>
      </c>
      <c r="AC66" t="s">
        <v>22</v>
      </c>
      <c r="AD66" t="s">
        <v>550</v>
      </c>
      <c r="AE66">
        <v>1.7802226216424459E-4</v>
      </c>
      <c r="AG66" t="s">
        <v>97</v>
      </c>
      <c r="AH66" t="s">
        <v>550</v>
      </c>
      <c r="AI66">
        <v>0</v>
      </c>
    </row>
    <row r="67" spans="5:35" x14ac:dyDescent="0.45">
      <c r="E67" t="s">
        <v>186</v>
      </c>
      <c r="G67" t="s">
        <v>156</v>
      </c>
      <c r="I67" t="s">
        <v>236</v>
      </c>
      <c r="J67" t="s">
        <v>551</v>
      </c>
      <c r="K67">
        <v>2.7948427030709998E-4</v>
      </c>
      <c r="L67" t="s">
        <v>238</v>
      </c>
      <c r="N67" t="s">
        <v>346</v>
      </c>
      <c r="O67" t="s">
        <v>551</v>
      </c>
      <c r="P67">
        <v>4.0721765621878469E-5</v>
      </c>
      <c r="Q67" t="s">
        <v>238</v>
      </c>
      <c r="S67" t="s">
        <v>347</v>
      </c>
      <c r="T67" t="s">
        <v>551</v>
      </c>
      <c r="U67">
        <v>2.4639169249279562E-5</v>
      </c>
      <c r="V67" t="s">
        <v>238</v>
      </c>
      <c r="X67">
        <v>1.1415525114155251E-4</v>
      </c>
      <c r="Y67">
        <v>2.2209515285616027E-4</v>
      </c>
      <c r="Z67" t="s">
        <v>551</v>
      </c>
      <c r="AA67" t="s">
        <v>25</v>
      </c>
      <c r="AC67" t="s">
        <v>22</v>
      </c>
      <c r="AD67" t="s">
        <v>551</v>
      </c>
      <c r="AE67">
        <v>1.8048725344484292E-4</v>
      </c>
      <c r="AG67" t="s">
        <v>97</v>
      </c>
      <c r="AH67" t="s">
        <v>551</v>
      </c>
      <c r="AI67">
        <v>0</v>
      </c>
    </row>
    <row r="68" spans="5:35" x14ac:dyDescent="0.45">
      <c r="E68" t="s">
        <v>187</v>
      </c>
      <c r="G68" t="s">
        <v>156</v>
      </c>
      <c r="I68" t="s">
        <v>236</v>
      </c>
      <c r="J68" t="s">
        <v>552</v>
      </c>
      <c r="K68">
        <v>2.0838402764039999E-4</v>
      </c>
      <c r="L68" t="s">
        <v>238</v>
      </c>
      <c r="N68" t="s">
        <v>346</v>
      </c>
      <c r="O68" t="s">
        <v>552</v>
      </c>
      <c r="P68">
        <v>3.102089023665082E-5</v>
      </c>
      <c r="Q68" t="s">
        <v>238</v>
      </c>
      <c r="S68" t="s">
        <v>347</v>
      </c>
      <c r="T68" t="s">
        <v>552</v>
      </c>
      <c r="U68">
        <v>1.8569374089497119E-5</v>
      </c>
      <c r="V68" t="s">
        <v>238</v>
      </c>
      <c r="X68">
        <v>1.1415525114155251E-4</v>
      </c>
      <c r="Y68">
        <v>2.2209515285616027E-4</v>
      </c>
      <c r="Z68" t="s">
        <v>552</v>
      </c>
      <c r="AA68" t="s">
        <v>25</v>
      </c>
      <c r="AC68" t="s">
        <v>22</v>
      </c>
      <c r="AD68" t="s">
        <v>552</v>
      </c>
      <c r="AE68">
        <v>1.8138439562022349E-4</v>
      </c>
      <c r="AG68" t="s">
        <v>97</v>
      </c>
      <c r="AH68" t="s">
        <v>552</v>
      </c>
      <c r="AI68">
        <v>0</v>
      </c>
    </row>
    <row r="69" spans="5:35" x14ac:dyDescent="0.45">
      <c r="E69" t="s">
        <v>188</v>
      </c>
      <c r="G69" t="s">
        <v>156</v>
      </c>
      <c r="I69" t="s">
        <v>236</v>
      </c>
      <c r="J69" t="s">
        <v>553</v>
      </c>
      <c r="K69">
        <v>5.5982616173649342E-5</v>
      </c>
      <c r="L69" t="s">
        <v>238</v>
      </c>
      <c r="N69" t="s">
        <v>346</v>
      </c>
      <c r="O69" t="s">
        <v>553</v>
      </c>
      <c r="P69">
        <v>2.8070692864020336E-5</v>
      </c>
      <c r="Q69" t="s">
        <v>238</v>
      </c>
      <c r="S69" t="s">
        <v>347</v>
      </c>
      <c r="T69" t="s">
        <v>553</v>
      </c>
      <c r="U69">
        <v>1.1990240099252734E-5</v>
      </c>
      <c r="V69" t="s">
        <v>238</v>
      </c>
      <c r="X69">
        <v>1.1415525114155251E-4</v>
      </c>
      <c r="Y69">
        <v>1.7237235744060203E-4</v>
      </c>
      <c r="Z69" t="s">
        <v>553</v>
      </c>
      <c r="AA69" t="s">
        <v>25</v>
      </c>
      <c r="AC69" t="s">
        <v>22</v>
      </c>
      <c r="AD69" t="s">
        <v>553</v>
      </c>
      <c r="AE69">
        <v>1.8432232127442501E-4</v>
      </c>
      <c r="AG69" t="s">
        <v>97</v>
      </c>
      <c r="AH69" t="s">
        <v>553</v>
      </c>
      <c r="AI69">
        <v>0</v>
      </c>
    </row>
    <row r="70" spans="5:35" x14ac:dyDescent="0.45">
      <c r="E70" t="s">
        <v>189</v>
      </c>
      <c r="G70" t="s">
        <v>156</v>
      </c>
      <c r="I70" t="s">
        <v>236</v>
      </c>
      <c r="J70" t="s">
        <v>554</v>
      </c>
      <c r="K70">
        <v>0</v>
      </c>
      <c r="L70" t="s">
        <v>238</v>
      </c>
      <c r="N70" t="s">
        <v>346</v>
      </c>
      <c r="O70" t="s">
        <v>554</v>
      </c>
      <c r="P70">
        <v>2.4338844739533304E-5</v>
      </c>
      <c r="Q70" t="s">
        <v>238</v>
      </c>
      <c r="S70" t="s">
        <v>347</v>
      </c>
      <c r="T70" t="s">
        <v>554</v>
      </c>
      <c r="U70">
        <v>7.5320896432465756E-6</v>
      </c>
      <c r="V70" t="s">
        <v>238</v>
      </c>
      <c r="X70">
        <v>1.1415525114155251E-4</v>
      </c>
      <c r="Y70">
        <v>1.5579809230208258E-4</v>
      </c>
      <c r="Z70" t="s">
        <v>554</v>
      </c>
      <c r="AA70" t="s">
        <v>25</v>
      </c>
      <c r="AC70" t="s">
        <v>22</v>
      </c>
      <c r="AD70" t="s">
        <v>554</v>
      </c>
      <c r="AE70">
        <v>1.7939520498215923E-4</v>
      </c>
      <c r="AG70" t="s">
        <v>97</v>
      </c>
      <c r="AH70" t="s">
        <v>554</v>
      </c>
      <c r="AI70">
        <v>0</v>
      </c>
    </row>
    <row r="71" spans="5:35" x14ac:dyDescent="0.45">
      <c r="E71" t="s">
        <v>190</v>
      </c>
      <c r="G71" t="s">
        <v>156</v>
      </c>
      <c r="I71" t="s">
        <v>236</v>
      </c>
      <c r="J71" t="s">
        <v>555</v>
      </c>
      <c r="K71">
        <v>0</v>
      </c>
      <c r="L71" t="s">
        <v>238</v>
      </c>
      <c r="N71" t="s">
        <v>346</v>
      </c>
      <c r="O71" t="s">
        <v>555</v>
      </c>
      <c r="P71">
        <v>1.780461468052894E-5</v>
      </c>
      <c r="Q71" t="s">
        <v>238</v>
      </c>
      <c r="S71" t="s">
        <v>347</v>
      </c>
      <c r="T71" t="s">
        <v>555</v>
      </c>
      <c r="U71">
        <v>4.7440645697345696E-6</v>
      </c>
      <c r="V71" t="s">
        <v>238</v>
      </c>
      <c r="X71">
        <v>1.1415525114155251E-4</v>
      </c>
      <c r="Y71">
        <v>1.093901499142282E-4</v>
      </c>
      <c r="Z71" t="s">
        <v>555</v>
      </c>
      <c r="AA71" t="s">
        <v>25</v>
      </c>
      <c r="AC71" t="s">
        <v>22</v>
      </c>
      <c r="AD71" t="s">
        <v>555</v>
      </c>
      <c r="AE71">
        <v>1.6531609199343933E-4</v>
      </c>
      <c r="AG71" t="s">
        <v>97</v>
      </c>
      <c r="AH71" t="s">
        <v>555</v>
      </c>
      <c r="AI71">
        <v>0</v>
      </c>
    </row>
    <row r="72" spans="5:35" x14ac:dyDescent="0.45">
      <c r="E72" t="s">
        <v>191</v>
      </c>
      <c r="G72" t="s">
        <v>156</v>
      </c>
      <c r="I72" t="s">
        <v>236</v>
      </c>
      <c r="J72" t="s">
        <v>556</v>
      </c>
      <c r="K72">
        <v>0</v>
      </c>
      <c r="L72" t="s">
        <v>238</v>
      </c>
      <c r="N72" t="s">
        <v>346</v>
      </c>
      <c r="O72" t="s">
        <v>556</v>
      </c>
      <c r="P72">
        <v>1.129420968188535E-5</v>
      </c>
      <c r="Q72" t="s">
        <v>238</v>
      </c>
      <c r="S72" t="s">
        <v>347</v>
      </c>
      <c r="T72" t="s">
        <v>556</v>
      </c>
      <c r="U72">
        <v>2.9258990577155689E-6</v>
      </c>
      <c r="V72" t="s">
        <v>238</v>
      </c>
      <c r="X72">
        <v>1.1415525114155251E-4</v>
      </c>
      <c r="Y72">
        <v>7.9556472664893237E-5</v>
      </c>
      <c r="Z72" t="s">
        <v>556</v>
      </c>
      <c r="AA72" t="s">
        <v>25</v>
      </c>
      <c r="AC72" t="s">
        <v>22</v>
      </c>
      <c r="AD72" t="s">
        <v>556</v>
      </c>
      <c r="AE72">
        <v>1.5528701700412114E-4</v>
      </c>
      <c r="AG72" t="s">
        <v>97</v>
      </c>
      <c r="AH72" t="s">
        <v>556</v>
      </c>
      <c r="AI72">
        <v>0</v>
      </c>
    </row>
    <row r="73" spans="5:35" x14ac:dyDescent="0.45">
      <c r="E73" t="s">
        <v>192</v>
      </c>
      <c r="G73" t="s">
        <v>156</v>
      </c>
      <c r="I73" t="s">
        <v>236</v>
      </c>
      <c r="J73" t="s">
        <v>557</v>
      </c>
      <c r="K73">
        <v>0</v>
      </c>
      <c r="L73" t="s">
        <v>238</v>
      </c>
      <c r="N73" t="s">
        <v>346</v>
      </c>
      <c r="O73" t="s">
        <v>557</v>
      </c>
      <c r="P73">
        <v>8.5349389067522776E-6</v>
      </c>
      <c r="Q73" t="s">
        <v>238</v>
      </c>
      <c r="S73" t="s">
        <v>347</v>
      </c>
      <c r="T73" t="s">
        <v>557</v>
      </c>
      <c r="U73">
        <v>2.6902718134552531E-6</v>
      </c>
      <c r="V73" t="s">
        <v>238</v>
      </c>
      <c r="X73">
        <v>1.1415525114155251E-4</v>
      </c>
      <c r="Y73">
        <v>5.6352501470966035E-5</v>
      </c>
      <c r="Z73" t="s">
        <v>557</v>
      </c>
      <c r="AA73" t="s">
        <v>25</v>
      </c>
      <c r="AC73" t="s">
        <v>22</v>
      </c>
      <c r="AD73" t="s">
        <v>557</v>
      </c>
      <c r="AE73">
        <v>1.460518985086701E-4</v>
      </c>
      <c r="AG73" t="s">
        <v>97</v>
      </c>
      <c r="AH73" t="s">
        <v>557</v>
      </c>
      <c r="AI73">
        <v>0</v>
      </c>
    </row>
    <row r="74" spans="5:35" x14ac:dyDescent="0.45">
      <c r="E74" t="s">
        <v>193</v>
      </c>
      <c r="G74" t="s">
        <v>156</v>
      </c>
      <c r="I74" t="s">
        <v>236</v>
      </c>
      <c r="J74" t="s">
        <v>558</v>
      </c>
      <c r="K74">
        <v>0</v>
      </c>
      <c r="L74" t="s">
        <v>238</v>
      </c>
      <c r="N74" t="s">
        <v>346</v>
      </c>
      <c r="O74" t="s">
        <v>558</v>
      </c>
      <c r="P74">
        <v>6.856877675239147E-6</v>
      </c>
      <c r="Q74" t="s">
        <v>238</v>
      </c>
      <c r="S74" t="s">
        <v>347</v>
      </c>
      <c r="T74" t="s">
        <v>558</v>
      </c>
      <c r="U74">
        <v>5.8094650038200171E-6</v>
      </c>
      <c r="V74" t="s">
        <v>238</v>
      </c>
      <c r="X74">
        <v>1.1415525114155251E-4</v>
      </c>
      <c r="Y74">
        <v>2.9833677249334962E-5</v>
      </c>
      <c r="Z74" t="s">
        <v>558</v>
      </c>
      <c r="AA74" t="s">
        <v>25</v>
      </c>
      <c r="AC74" t="s">
        <v>22</v>
      </c>
      <c r="AD74" t="s">
        <v>558</v>
      </c>
      <c r="AE74">
        <v>1.1395255275120383E-4</v>
      </c>
      <c r="AG74" t="s">
        <v>97</v>
      </c>
      <c r="AH74" t="s">
        <v>558</v>
      </c>
      <c r="AI74">
        <v>0</v>
      </c>
    </row>
    <row r="75" spans="5:35" x14ac:dyDescent="0.45">
      <c r="E75" t="s">
        <v>194</v>
      </c>
      <c r="G75" t="s">
        <v>156</v>
      </c>
      <c r="I75" t="s">
        <v>236</v>
      </c>
      <c r="J75" t="s">
        <v>559</v>
      </c>
      <c r="K75">
        <v>0</v>
      </c>
      <c r="L75" t="s">
        <v>238</v>
      </c>
      <c r="N75" t="s">
        <v>346</v>
      </c>
      <c r="O75" t="s">
        <v>559</v>
      </c>
      <c r="P75">
        <v>1.5832985536250001E-4</v>
      </c>
      <c r="Q75" t="s">
        <v>238</v>
      </c>
      <c r="S75" t="s">
        <v>347</v>
      </c>
      <c r="T75" t="s">
        <v>559</v>
      </c>
      <c r="U75">
        <v>1.856921150705E-4</v>
      </c>
      <c r="V75" t="s">
        <v>238</v>
      </c>
      <c r="X75">
        <v>1.1415525114155251E-4</v>
      </c>
      <c r="Y75">
        <v>2.1546544680075254E-5</v>
      </c>
      <c r="Z75" t="s">
        <v>559</v>
      </c>
      <c r="AA75" t="s">
        <v>25</v>
      </c>
      <c r="AC75" t="s">
        <v>22</v>
      </c>
      <c r="AD75" t="s">
        <v>559</v>
      </c>
      <c r="AE75">
        <v>1.0839772356306478E-4</v>
      </c>
      <c r="AG75" t="s">
        <v>97</v>
      </c>
      <c r="AH75" t="s">
        <v>559</v>
      </c>
      <c r="AI75">
        <v>0</v>
      </c>
    </row>
    <row r="76" spans="5:35" x14ac:dyDescent="0.45">
      <c r="E76" t="s">
        <v>195</v>
      </c>
      <c r="G76" t="s">
        <v>156</v>
      </c>
      <c r="I76" t="s">
        <v>236</v>
      </c>
      <c r="J76" t="s">
        <v>560</v>
      </c>
      <c r="K76">
        <v>0</v>
      </c>
      <c r="L76" t="s">
        <v>238</v>
      </c>
      <c r="N76" t="s">
        <v>346</v>
      </c>
      <c r="O76" t="s">
        <v>560</v>
      </c>
      <c r="P76">
        <v>1.7059377134159999E-4</v>
      </c>
      <c r="Q76" t="s">
        <v>238</v>
      </c>
      <c r="S76" t="s">
        <v>347</v>
      </c>
      <c r="T76" t="s">
        <v>560</v>
      </c>
      <c r="U76">
        <v>1.8793490987569999E-4</v>
      </c>
      <c r="V76" t="s">
        <v>238</v>
      </c>
      <c r="X76">
        <v>1.1415525114155251E-4</v>
      </c>
      <c r="Y76">
        <v>1.4916838624667481E-5</v>
      </c>
      <c r="Z76" t="s">
        <v>560</v>
      </c>
      <c r="AA76" t="s">
        <v>25</v>
      </c>
      <c r="AC76" t="s">
        <v>22</v>
      </c>
      <c r="AD76" t="s">
        <v>560</v>
      </c>
      <c r="AE76">
        <v>1.0711076881307792E-4</v>
      </c>
      <c r="AG76" t="s">
        <v>97</v>
      </c>
      <c r="AH76" t="s">
        <v>560</v>
      </c>
      <c r="AI76">
        <v>0</v>
      </c>
    </row>
    <row r="77" spans="5:35" x14ac:dyDescent="0.45">
      <c r="E77" t="s">
        <v>196</v>
      </c>
      <c r="G77" t="s">
        <v>156</v>
      </c>
      <c r="I77" t="s">
        <v>236</v>
      </c>
      <c r="J77" t="s">
        <v>561</v>
      </c>
      <c r="K77">
        <v>0</v>
      </c>
      <c r="L77" t="s">
        <v>238</v>
      </c>
      <c r="N77" t="s">
        <v>346</v>
      </c>
      <c r="O77" t="s">
        <v>561</v>
      </c>
      <c r="P77">
        <v>1.8453593137699999E-4</v>
      </c>
      <c r="Q77" t="s">
        <v>238</v>
      </c>
      <c r="S77" t="s">
        <v>347</v>
      </c>
      <c r="T77" t="s">
        <v>561</v>
      </c>
      <c r="U77">
        <v>1.897540777589E-4</v>
      </c>
      <c r="V77" t="s">
        <v>238</v>
      </c>
      <c r="X77">
        <v>1.1415525114155251E-4</v>
      </c>
      <c r="Y77">
        <v>1.6574265138519424E-5</v>
      </c>
      <c r="Z77" t="s">
        <v>561</v>
      </c>
      <c r="AA77" t="s">
        <v>25</v>
      </c>
      <c r="AC77" t="s">
        <v>22</v>
      </c>
      <c r="AD77" t="s">
        <v>561</v>
      </c>
      <c r="AE77">
        <v>1.0691299625684389E-4</v>
      </c>
      <c r="AG77" t="s">
        <v>97</v>
      </c>
      <c r="AH77" t="s">
        <v>561</v>
      </c>
      <c r="AI77">
        <v>0</v>
      </c>
    </row>
    <row r="78" spans="5:35" x14ac:dyDescent="0.45">
      <c r="E78" t="s">
        <v>197</v>
      </c>
      <c r="G78" t="s">
        <v>156</v>
      </c>
      <c r="I78" t="s">
        <v>236</v>
      </c>
      <c r="J78" t="s">
        <v>562</v>
      </c>
      <c r="K78">
        <v>0</v>
      </c>
      <c r="L78" t="s">
        <v>238</v>
      </c>
      <c r="N78" t="s">
        <v>346</v>
      </c>
      <c r="O78" t="s">
        <v>562</v>
      </c>
      <c r="P78">
        <v>1.9143493384760001E-4</v>
      </c>
      <c r="Q78" t="s">
        <v>238</v>
      </c>
      <c r="S78" t="s">
        <v>347</v>
      </c>
      <c r="T78" t="s">
        <v>562</v>
      </c>
      <c r="U78">
        <v>1.917012166071E-4</v>
      </c>
      <c r="V78" t="s">
        <v>238</v>
      </c>
      <c r="X78">
        <v>1.1415525114155251E-4</v>
      </c>
      <c r="Y78">
        <v>1.4585353321897093E-5</v>
      </c>
      <c r="Z78" t="s">
        <v>562</v>
      </c>
      <c r="AA78" t="s">
        <v>25</v>
      </c>
      <c r="AC78" t="s">
        <v>22</v>
      </c>
      <c r="AD78" t="s">
        <v>562</v>
      </c>
      <c r="AE78">
        <v>1.0691299625684389E-4</v>
      </c>
      <c r="AG78" t="s">
        <v>97</v>
      </c>
      <c r="AH78" t="s">
        <v>562</v>
      </c>
      <c r="AI78">
        <v>0</v>
      </c>
    </row>
    <row r="79" spans="5:35" x14ac:dyDescent="0.45">
      <c r="E79" t="s">
        <v>198</v>
      </c>
      <c r="G79" t="s">
        <v>156</v>
      </c>
      <c r="I79" t="s">
        <v>236</v>
      </c>
      <c r="J79" t="s">
        <v>563</v>
      </c>
      <c r="K79">
        <v>0</v>
      </c>
      <c r="L79" t="s">
        <v>238</v>
      </c>
      <c r="N79" t="s">
        <v>346</v>
      </c>
      <c r="O79" t="s">
        <v>563</v>
      </c>
      <c r="P79">
        <v>2.012353496609E-4</v>
      </c>
      <c r="Q79" t="s">
        <v>238</v>
      </c>
      <c r="S79" t="s">
        <v>347</v>
      </c>
      <c r="T79" t="s">
        <v>563</v>
      </c>
      <c r="U79">
        <v>1.9441451134129999E-4</v>
      </c>
      <c r="V79" t="s">
        <v>238</v>
      </c>
      <c r="X79">
        <v>1.1415525114155251E-4</v>
      </c>
      <c r="Y79">
        <v>2.1215059377304864E-5</v>
      </c>
      <c r="Z79" t="s">
        <v>563</v>
      </c>
      <c r="AA79" t="s">
        <v>25</v>
      </c>
      <c r="AC79" t="s">
        <v>22</v>
      </c>
      <c r="AD79" t="s">
        <v>563</v>
      </c>
      <c r="AE79">
        <v>1.0750631392554605E-4</v>
      </c>
      <c r="AG79" t="s">
        <v>97</v>
      </c>
      <c r="AH79" t="s">
        <v>563</v>
      </c>
      <c r="AI79">
        <v>0</v>
      </c>
    </row>
    <row r="80" spans="5:35" x14ac:dyDescent="0.45">
      <c r="E80" t="s">
        <v>199</v>
      </c>
      <c r="G80" t="s">
        <v>156</v>
      </c>
      <c r="I80" t="s">
        <v>236</v>
      </c>
      <c r="J80" t="s">
        <v>564</v>
      </c>
      <c r="K80">
        <v>0</v>
      </c>
      <c r="L80" t="s">
        <v>238</v>
      </c>
      <c r="N80" t="s">
        <v>346</v>
      </c>
      <c r="O80" t="s">
        <v>564</v>
      </c>
      <c r="P80">
        <v>2.1318476717620001E-4</v>
      </c>
      <c r="Q80" t="s">
        <v>238</v>
      </c>
      <c r="S80" t="s">
        <v>347</v>
      </c>
      <c r="T80" t="s">
        <v>564</v>
      </c>
      <c r="U80">
        <v>1.9756791310889999E-4</v>
      </c>
      <c r="V80" t="s">
        <v>238</v>
      </c>
      <c r="X80">
        <v>1.1415525114155251E-4</v>
      </c>
      <c r="Y80">
        <v>5.7678442682047593E-5</v>
      </c>
      <c r="Z80" t="s">
        <v>564</v>
      </c>
      <c r="AA80" t="s">
        <v>25</v>
      </c>
      <c r="AC80" t="s">
        <v>22</v>
      </c>
      <c r="AD80" t="s">
        <v>564</v>
      </c>
      <c r="AE80">
        <v>1.0901683765214527E-4</v>
      </c>
      <c r="AG80" t="s">
        <v>97</v>
      </c>
      <c r="AH80" t="s">
        <v>564</v>
      </c>
      <c r="AI80">
        <v>0</v>
      </c>
    </row>
    <row r="81" spans="5:35" x14ac:dyDescent="0.45">
      <c r="E81" t="s">
        <v>200</v>
      </c>
      <c r="G81" t="s">
        <v>156</v>
      </c>
      <c r="I81" t="s">
        <v>236</v>
      </c>
      <c r="J81" t="s">
        <v>565</v>
      </c>
      <c r="K81">
        <v>0</v>
      </c>
      <c r="L81" t="s">
        <v>238</v>
      </c>
      <c r="N81" t="s">
        <v>346</v>
      </c>
      <c r="O81" t="s">
        <v>565</v>
      </c>
      <c r="P81">
        <v>2.230225184376E-4</v>
      </c>
      <c r="Q81" t="s">
        <v>238</v>
      </c>
      <c r="S81" t="s">
        <v>347</v>
      </c>
      <c r="T81" t="s">
        <v>565</v>
      </c>
      <c r="U81">
        <v>2.001360728439E-4</v>
      </c>
      <c r="V81" t="s">
        <v>238</v>
      </c>
      <c r="X81">
        <v>1.1415525114155251E-4</v>
      </c>
      <c r="Y81">
        <v>1.6905750441289813E-4</v>
      </c>
      <c r="Z81" t="s">
        <v>565</v>
      </c>
      <c r="AA81" t="s">
        <v>25</v>
      </c>
      <c r="AC81" t="s">
        <v>22</v>
      </c>
      <c r="AD81" t="s">
        <v>565</v>
      </c>
      <c r="AE81">
        <v>1.2184625738698043E-4</v>
      </c>
      <c r="AG81" t="s">
        <v>97</v>
      </c>
      <c r="AH81" t="s">
        <v>565</v>
      </c>
      <c r="AI81">
        <v>0</v>
      </c>
    </row>
    <row r="82" spans="5:35" x14ac:dyDescent="0.45">
      <c r="E82" t="s">
        <v>201</v>
      </c>
      <c r="G82" t="s">
        <v>156</v>
      </c>
      <c r="I82" t="s">
        <v>236</v>
      </c>
      <c r="J82" t="s">
        <v>566</v>
      </c>
      <c r="K82">
        <v>2.0974050716279999E-4</v>
      </c>
      <c r="L82" t="s">
        <v>238</v>
      </c>
      <c r="N82" t="s">
        <v>346</v>
      </c>
      <c r="O82" t="s">
        <v>566</v>
      </c>
      <c r="P82">
        <v>2.323000808932E-4</v>
      </c>
      <c r="Q82" t="s">
        <v>238</v>
      </c>
      <c r="S82" t="s">
        <v>347</v>
      </c>
      <c r="T82" t="s">
        <v>566</v>
      </c>
      <c r="U82">
        <v>2.0323414170909999E-4</v>
      </c>
      <c r="V82" t="s">
        <v>238</v>
      </c>
      <c r="X82">
        <v>1.1415525114155251E-4</v>
      </c>
      <c r="Y82">
        <v>1.9060404909297337E-4</v>
      </c>
      <c r="Z82" t="s">
        <v>566</v>
      </c>
      <c r="AA82" t="s">
        <v>25</v>
      </c>
      <c r="AC82" t="s">
        <v>22</v>
      </c>
      <c r="AD82" t="s">
        <v>566</v>
      </c>
      <c r="AE82">
        <v>1.3805787446031099E-4</v>
      </c>
      <c r="AG82" t="s">
        <v>97</v>
      </c>
      <c r="AH82" t="s">
        <v>566</v>
      </c>
      <c r="AI82">
        <v>0</v>
      </c>
    </row>
    <row r="83" spans="5:35" x14ac:dyDescent="0.45">
      <c r="E83" t="s">
        <v>391</v>
      </c>
      <c r="G83" t="s">
        <v>364</v>
      </c>
      <c r="I83" t="s">
        <v>236</v>
      </c>
      <c r="J83" t="s">
        <v>567</v>
      </c>
      <c r="K83">
        <v>4.134263125449E-4</v>
      </c>
      <c r="L83" t="s">
        <v>238</v>
      </c>
      <c r="N83" t="s">
        <v>346</v>
      </c>
      <c r="O83" t="s">
        <v>567</v>
      </c>
      <c r="P83">
        <v>2.3448495798969999E-4</v>
      </c>
      <c r="Q83" t="s">
        <v>238</v>
      </c>
      <c r="S83" t="s">
        <v>347</v>
      </c>
      <c r="T83" t="s">
        <v>567</v>
      </c>
      <c r="U83">
        <v>2.0576529202509999E-4</v>
      </c>
      <c r="V83" t="s">
        <v>238</v>
      </c>
      <c r="X83">
        <v>1.1415525114155251E-4</v>
      </c>
      <c r="Y83">
        <v>1.4585353321897094E-4</v>
      </c>
      <c r="Z83" t="s">
        <v>567</v>
      </c>
      <c r="AA83" t="s">
        <v>25</v>
      </c>
      <c r="AC83" t="s">
        <v>22</v>
      </c>
      <c r="AD83" t="s">
        <v>567</v>
      </c>
      <c r="AE83">
        <v>1.4656782691623721E-4</v>
      </c>
      <c r="AG83" t="s">
        <v>97</v>
      </c>
      <c r="AH83" t="s">
        <v>567</v>
      </c>
      <c r="AI83">
        <v>0</v>
      </c>
    </row>
    <row r="84" spans="5:35" x14ac:dyDescent="0.45">
      <c r="E84" t="s">
        <v>392</v>
      </c>
      <c r="G84" t="s">
        <v>364</v>
      </c>
      <c r="I84" t="s">
        <v>236</v>
      </c>
      <c r="J84" t="s">
        <v>568</v>
      </c>
      <c r="K84">
        <v>5.2038179641350003E-4</v>
      </c>
      <c r="L84" t="s">
        <v>238</v>
      </c>
      <c r="N84" t="s">
        <v>346</v>
      </c>
      <c r="O84" t="s">
        <v>568</v>
      </c>
      <c r="P84">
        <v>2.1780667760220001E-4</v>
      </c>
      <c r="Q84" t="s">
        <v>238</v>
      </c>
      <c r="S84" t="s">
        <v>347</v>
      </c>
      <c r="T84" t="s">
        <v>568</v>
      </c>
      <c r="U84">
        <v>2.050612304714E-4</v>
      </c>
      <c r="V84" t="s">
        <v>238</v>
      </c>
      <c r="X84">
        <v>1.1415525114155251E-4</v>
      </c>
      <c r="Y84">
        <v>1.4452759200788939E-4</v>
      </c>
      <c r="Z84" t="s">
        <v>568</v>
      </c>
      <c r="AA84" t="s">
        <v>25</v>
      </c>
      <c r="AC84" t="s">
        <v>22</v>
      </c>
      <c r="AD84" t="s">
        <v>568</v>
      </c>
      <c r="AE84">
        <v>1.4731305683827854E-4</v>
      </c>
      <c r="AG84" t="s">
        <v>97</v>
      </c>
      <c r="AH84" t="s">
        <v>568</v>
      </c>
      <c r="AI84">
        <v>0</v>
      </c>
    </row>
    <row r="85" spans="5:35" x14ac:dyDescent="0.45">
      <c r="E85" t="s">
        <v>393</v>
      </c>
      <c r="G85" t="s">
        <v>364</v>
      </c>
      <c r="I85" t="s">
        <v>236</v>
      </c>
      <c r="J85" t="s">
        <v>569</v>
      </c>
      <c r="K85">
        <v>5.5732879959829995E-4</v>
      </c>
      <c r="L85" t="s">
        <v>238</v>
      </c>
      <c r="N85" t="s">
        <v>346</v>
      </c>
      <c r="O85" t="s">
        <v>569</v>
      </c>
      <c r="P85">
        <v>1.994143644006E-4</v>
      </c>
      <c r="Q85" t="s">
        <v>238</v>
      </c>
      <c r="S85" t="s">
        <v>347</v>
      </c>
      <c r="T85" t="s">
        <v>569</v>
      </c>
      <c r="U85">
        <v>2.045851722269E-4</v>
      </c>
      <c r="V85" t="s">
        <v>238</v>
      </c>
      <c r="X85">
        <v>1.1415525114155251E-4</v>
      </c>
      <c r="Y85">
        <v>1.408812536774151E-4</v>
      </c>
      <c r="Z85" t="s">
        <v>569</v>
      </c>
      <c r="AA85" t="s">
        <v>25</v>
      </c>
      <c r="AC85" t="s">
        <v>22</v>
      </c>
      <c r="AD85" t="s">
        <v>569</v>
      </c>
      <c r="AE85">
        <v>1.4626113614062787E-4</v>
      </c>
      <c r="AG85" t="s">
        <v>97</v>
      </c>
      <c r="AH85" t="s">
        <v>569</v>
      </c>
      <c r="AI85">
        <v>0</v>
      </c>
    </row>
    <row r="86" spans="5:35" x14ac:dyDescent="0.45">
      <c r="E86" t="s">
        <v>394</v>
      </c>
      <c r="G86" t="s">
        <v>364</v>
      </c>
      <c r="I86" t="s">
        <v>236</v>
      </c>
      <c r="J86" t="s">
        <v>570</v>
      </c>
      <c r="K86">
        <v>5.3490434812619996E-4</v>
      </c>
      <c r="L86" t="s">
        <v>238</v>
      </c>
      <c r="N86" t="s">
        <v>346</v>
      </c>
      <c r="O86" t="s">
        <v>570</v>
      </c>
      <c r="P86">
        <v>2.0805834084899999E-4</v>
      </c>
      <c r="Q86" t="s">
        <v>238</v>
      </c>
      <c r="S86" t="s">
        <v>347</v>
      </c>
      <c r="T86" t="s">
        <v>570</v>
      </c>
      <c r="U86">
        <v>2.036663117265E-4</v>
      </c>
      <c r="V86" t="s">
        <v>238</v>
      </c>
      <c r="X86">
        <v>1.1415525114155251E-4</v>
      </c>
      <c r="Y86">
        <v>1.4054976837464471E-4</v>
      </c>
      <c r="Z86" t="s">
        <v>570</v>
      </c>
      <c r="AA86" t="s">
        <v>25</v>
      </c>
      <c r="AC86" t="s">
        <v>22</v>
      </c>
      <c r="AD86" t="s">
        <v>570</v>
      </c>
      <c r="AE86">
        <v>1.4520061663618437E-4</v>
      </c>
      <c r="AG86" t="s">
        <v>97</v>
      </c>
      <c r="AH86" t="s">
        <v>570</v>
      </c>
      <c r="AI86">
        <v>0</v>
      </c>
    </row>
    <row r="87" spans="5:35" x14ac:dyDescent="0.45">
      <c r="E87" t="s">
        <v>395</v>
      </c>
      <c r="G87" t="s">
        <v>364</v>
      </c>
      <c r="I87" t="s">
        <v>236</v>
      </c>
      <c r="J87" t="s">
        <v>571</v>
      </c>
      <c r="K87">
        <v>4.653956157316E-4</v>
      </c>
      <c r="L87" t="s">
        <v>238</v>
      </c>
      <c r="N87" t="s">
        <v>346</v>
      </c>
      <c r="O87" t="s">
        <v>571</v>
      </c>
      <c r="P87">
        <v>2.2086245447500001E-4</v>
      </c>
      <c r="Q87" t="s">
        <v>238</v>
      </c>
      <c r="S87" t="s">
        <v>347</v>
      </c>
      <c r="T87" t="s">
        <v>571</v>
      </c>
      <c r="U87">
        <v>2.0673099292049999E-4</v>
      </c>
      <c r="V87" t="s">
        <v>238</v>
      </c>
      <c r="X87">
        <v>1.1415525114155251E-4</v>
      </c>
      <c r="Y87">
        <v>1.4253868019126702E-4</v>
      </c>
      <c r="Z87" t="s">
        <v>571</v>
      </c>
      <c r="AA87" t="s">
        <v>25</v>
      </c>
      <c r="AC87" t="s">
        <v>22</v>
      </c>
      <c r="AD87" t="s">
        <v>571</v>
      </c>
      <c r="AE87">
        <v>1.4308817643409022E-4</v>
      </c>
      <c r="AG87" t="s">
        <v>97</v>
      </c>
      <c r="AH87" t="s">
        <v>571</v>
      </c>
      <c r="AI87">
        <v>0</v>
      </c>
    </row>
    <row r="88" spans="5:35" x14ac:dyDescent="0.45">
      <c r="E88" t="s">
        <v>396</v>
      </c>
      <c r="G88" t="s">
        <v>364</v>
      </c>
      <c r="I88" t="s">
        <v>236</v>
      </c>
      <c r="J88" t="s">
        <v>572</v>
      </c>
      <c r="K88">
        <v>4.6465007560019997E-4</v>
      </c>
      <c r="L88" t="s">
        <v>238</v>
      </c>
      <c r="N88" t="s">
        <v>346</v>
      </c>
      <c r="O88" t="s">
        <v>572</v>
      </c>
      <c r="P88">
        <v>2.228167749251E-4</v>
      </c>
      <c r="Q88" t="s">
        <v>238</v>
      </c>
      <c r="S88" t="s">
        <v>347</v>
      </c>
      <c r="T88" t="s">
        <v>572</v>
      </c>
      <c r="U88">
        <v>2.087194115515E-4</v>
      </c>
      <c r="V88" t="s">
        <v>238</v>
      </c>
      <c r="X88">
        <v>1.1415525114155251E-4</v>
      </c>
      <c r="Y88">
        <v>1.4883690094390442E-4</v>
      </c>
      <c r="Z88" t="s">
        <v>572</v>
      </c>
      <c r="AA88" t="s">
        <v>25</v>
      </c>
      <c r="AC88" t="s">
        <v>22</v>
      </c>
      <c r="AD88" t="s">
        <v>572</v>
      </c>
      <c r="AE88">
        <v>1.4257798056438497E-4</v>
      </c>
      <c r="AG88" t="s">
        <v>97</v>
      </c>
      <c r="AH88" t="s">
        <v>572</v>
      </c>
      <c r="AI88">
        <v>0</v>
      </c>
    </row>
    <row r="89" spans="5:35" x14ac:dyDescent="0.45">
      <c r="E89" t="s">
        <v>397</v>
      </c>
      <c r="G89" t="s">
        <v>364</v>
      </c>
      <c r="I89" t="s">
        <v>236</v>
      </c>
      <c r="J89" t="s">
        <v>573</v>
      </c>
      <c r="K89">
        <v>4.7980849579500002E-4</v>
      </c>
      <c r="L89" t="s">
        <v>238</v>
      </c>
      <c r="N89" t="s">
        <v>346</v>
      </c>
      <c r="O89" t="s">
        <v>573</v>
      </c>
      <c r="P89">
        <v>2.223482587351E-4</v>
      </c>
      <c r="Q89" t="s">
        <v>238</v>
      </c>
      <c r="S89" t="s">
        <v>347</v>
      </c>
      <c r="T89" t="s">
        <v>573</v>
      </c>
      <c r="U89">
        <v>2.1077203246610001E-4</v>
      </c>
      <c r="V89" t="s">
        <v>238</v>
      </c>
      <c r="X89">
        <v>1.1415525114155251E-4</v>
      </c>
      <c r="Y89">
        <v>1.5049432745775637E-4</v>
      </c>
      <c r="Z89" t="s">
        <v>573</v>
      </c>
      <c r="AA89" t="s">
        <v>25</v>
      </c>
      <c r="AC89" t="s">
        <v>22</v>
      </c>
      <c r="AD89" t="s">
        <v>573</v>
      </c>
      <c r="AE89">
        <v>1.4156618763176728E-4</v>
      </c>
      <c r="AG89" t="s">
        <v>97</v>
      </c>
      <c r="AH89" t="s">
        <v>573</v>
      </c>
      <c r="AI89">
        <v>0</v>
      </c>
    </row>
    <row r="90" spans="5:35" x14ac:dyDescent="0.45">
      <c r="E90" t="s">
        <v>398</v>
      </c>
      <c r="G90" t="s">
        <v>364</v>
      </c>
      <c r="I90" t="s">
        <v>236</v>
      </c>
      <c r="J90" t="s">
        <v>574</v>
      </c>
      <c r="K90">
        <v>4.3668424148220002E-4</v>
      </c>
      <c r="L90" t="s">
        <v>238</v>
      </c>
      <c r="N90" t="s">
        <v>346</v>
      </c>
      <c r="O90" t="s">
        <v>574</v>
      </c>
      <c r="P90">
        <v>2.2490970225849999E-4</v>
      </c>
      <c r="Q90" t="s">
        <v>238</v>
      </c>
      <c r="S90" t="s">
        <v>347</v>
      </c>
      <c r="T90" t="s">
        <v>574</v>
      </c>
      <c r="U90">
        <v>2.1156293795779999E-4</v>
      </c>
      <c r="V90" t="s">
        <v>238</v>
      </c>
      <c r="X90">
        <v>1.1415525114155251E-4</v>
      </c>
      <c r="Y90">
        <v>1.7237235744060203E-4</v>
      </c>
      <c r="Z90" t="s">
        <v>574</v>
      </c>
      <c r="AA90" t="s">
        <v>25</v>
      </c>
      <c r="AC90" t="s">
        <v>22</v>
      </c>
      <c r="AD90" t="s">
        <v>574</v>
      </c>
      <c r="AE90">
        <v>1.4234008024311792E-4</v>
      </c>
      <c r="AG90" t="s">
        <v>97</v>
      </c>
      <c r="AH90" t="s">
        <v>574</v>
      </c>
      <c r="AI90">
        <v>0</v>
      </c>
    </row>
    <row r="91" spans="5:35" x14ac:dyDescent="0.45">
      <c r="E91" t="s">
        <v>399</v>
      </c>
      <c r="G91" t="s">
        <v>364</v>
      </c>
      <c r="I91" t="s">
        <v>236</v>
      </c>
      <c r="J91" t="s">
        <v>575</v>
      </c>
      <c r="K91">
        <v>3.2927149270340001E-4</v>
      </c>
      <c r="L91" t="s">
        <v>238</v>
      </c>
      <c r="N91" t="s">
        <v>346</v>
      </c>
      <c r="O91" t="s">
        <v>575</v>
      </c>
      <c r="P91">
        <v>2.306361675358E-4</v>
      </c>
      <c r="Q91" t="s">
        <v>238</v>
      </c>
      <c r="S91" t="s">
        <v>347</v>
      </c>
      <c r="T91" t="s">
        <v>575</v>
      </c>
      <c r="U91">
        <v>2.122410318043E-4</v>
      </c>
      <c r="V91" t="s">
        <v>238</v>
      </c>
      <c r="X91">
        <v>1.1415525114155251E-4</v>
      </c>
      <c r="Y91">
        <v>2.2209515285616027E-4</v>
      </c>
      <c r="Z91" t="s">
        <v>575</v>
      </c>
      <c r="AA91" t="s">
        <v>25</v>
      </c>
      <c r="AC91" t="s">
        <v>22</v>
      </c>
      <c r="AD91" t="s">
        <v>575</v>
      </c>
      <c r="AE91">
        <v>1.479035082380498E-4</v>
      </c>
      <c r="AG91" t="s">
        <v>97</v>
      </c>
      <c r="AH91" t="s">
        <v>575</v>
      </c>
      <c r="AI91">
        <v>0</v>
      </c>
    </row>
    <row r="92" spans="5:35" x14ac:dyDescent="0.45">
      <c r="E92" t="s">
        <v>400</v>
      </c>
      <c r="G92" t="s">
        <v>364</v>
      </c>
      <c r="I92" t="s">
        <v>236</v>
      </c>
      <c r="J92" t="s">
        <v>576</v>
      </c>
      <c r="K92">
        <v>2.277431684175E-4</v>
      </c>
      <c r="L92" t="s">
        <v>238</v>
      </c>
      <c r="N92" t="s">
        <v>346</v>
      </c>
      <c r="O92" t="s">
        <v>576</v>
      </c>
      <c r="P92">
        <v>2.4954148224589999E-4</v>
      </c>
      <c r="Q92" t="s">
        <v>238</v>
      </c>
      <c r="S92" t="s">
        <v>347</v>
      </c>
      <c r="T92" t="s">
        <v>576</v>
      </c>
      <c r="U92">
        <v>2.158873171191E-4</v>
      </c>
      <c r="V92" t="s">
        <v>238</v>
      </c>
      <c r="X92">
        <v>1.1415525114155251E-4</v>
      </c>
      <c r="Y92">
        <v>2.2209515285616027E-4</v>
      </c>
      <c r="Z92" t="s">
        <v>576</v>
      </c>
      <c r="AA92" t="s">
        <v>25</v>
      </c>
      <c r="AC92" t="s">
        <v>22</v>
      </c>
      <c r="AD92" t="s">
        <v>576</v>
      </c>
      <c r="AE92">
        <v>1.4854268620964679E-4</v>
      </c>
      <c r="AG92" t="s">
        <v>97</v>
      </c>
      <c r="AH92" t="s">
        <v>576</v>
      </c>
      <c r="AI92">
        <v>0</v>
      </c>
    </row>
    <row r="93" spans="5:35" x14ac:dyDescent="0.45">
      <c r="E93" t="s">
        <v>401</v>
      </c>
      <c r="G93" t="s">
        <v>364</v>
      </c>
      <c r="I93" t="s">
        <v>236</v>
      </c>
      <c r="J93" t="s">
        <v>577</v>
      </c>
      <c r="K93">
        <v>1.0883376893E-4</v>
      </c>
      <c r="L93" t="s">
        <v>238</v>
      </c>
      <c r="N93" t="s">
        <v>346</v>
      </c>
      <c r="O93" t="s">
        <v>577</v>
      </c>
      <c r="P93">
        <v>2.6549504873579999E-4</v>
      </c>
      <c r="Q93" t="s">
        <v>238</v>
      </c>
      <c r="S93" t="s">
        <v>347</v>
      </c>
      <c r="T93" t="s">
        <v>577</v>
      </c>
      <c r="U93">
        <v>2.1992628621109999E-4</v>
      </c>
      <c r="V93" t="s">
        <v>238</v>
      </c>
      <c r="X93">
        <v>1.1415525114155251E-4</v>
      </c>
      <c r="Y93">
        <v>1.7237235744060203E-4</v>
      </c>
      <c r="Z93" t="s">
        <v>577</v>
      </c>
      <c r="AA93" t="s">
        <v>25</v>
      </c>
      <c r="AC93" t="s">
        <v>22</v>
      </c>
      <c r="AD93" t="s">
        <v>577</v>
      </c>
      <c r="AE93">
        <v>1.5175577368121743E-4</v>
      </c>
      <c r="AG93" t="s">
        <v>97</v>
      </c>
      <c r="AH93" t="s">
        <v>577</v>
      </c>
      <c r="AI93">
        <v>0</v>
      </c>
    </row>
    <row r="94" spans="5:35" x14ac:dyDescent="0.45">
      <c r="E94" t="s">
        <v>402</v>
      </c>
      <c r="G94" t="s">
        <v>364</v>
      </c>
      <c r="I94" t="s">
        <v>236</v>
      </c>
      <c r="J94" t="s">
        <v>578</v>
      </c>
      <c r="K94">
        <v>0</v>
      </c>
      <c r="L94" t="s">
        <v>238</v>
      </c>
      <c r="N94" t="s">
        <v>346</v>
      </c>
      <c r="O94" t="s">
        <v>578</v>
      </c>
      <c r="P94">
        <v>2.718546497209E-4</v>
      </c>
      <c r="Q94" t="s">
        <v>238</v>
      </c>
      <c r="S94" t="s">
        <v>347</v>
      </c>
      <c r="T94" t="s">
        <v>578</v>
      </c>
      <c r="U94">
        <v>2.217799344636E-4</v>
      </c>
      <c r="V94" t="s">
        <v>238</v>
      </c>
      <c r="X94">
        <v>1.1415525114155251E-4</v>
      </c>
      <c r="Y94">
        <v>1.5579809230208258E-4</v>
      </c>
      <c r="Z94" t="s">
        <v>578</v>
      </c>
      <c r="AA94" t="s">
        <v>25</v>
      </c>
      <c r="AC94" t="s">
        <v>22</v>
      </c>
      <c r="AD94" t="s">
        <v>578</v>
      </c>
      <c r="AE94">
        <v>1.4804108914673433E-4</v>
      </c>
      <c r="AG94" t="s">
        <v>97</v>
      </c>
      <c r="AH94" t="s">
        <v>578</v>
      </c>
      <c r="AI94">
        <v>0</v>
      </c>
    </row>
    <row r="95" spans="5:35" x14ac:dyDescent="0.45">
      <c r="E95" t="s">
        <v>403</v>
      </c>
      <c r="G95" t="s">
        <v>364</v>
      </c>
      <c r="I95" t="s">
        <v>236</v>
      </c>
      <c r="J95" t="s">
        <v>579</v>
      </c>
      <c r="K95">
        <v>0</v>
      </c>
      <c r="L95" t="s">
        <v>238</v>
      </c>
      <c r="N95" t="s">
        <v>346</v>
      </c>
      <c r="O95" t="s">
        <v>579</v>
      </c>
      <c r="P95">
        <v>2.734988031843E-4</v>
      </c>
      <c r="Q95" t="s">
        <v>238</v>
      </c>
      <c r="S95" t="s">
        <v>347</v>
      </c>
      <c r="T95" t="s">
        <v>579</v>
      </c>
      <c r="U95">
        <v>2.2228807845660001E-4</v>
      </c>
      <c r="V95" t="s">
        <v>238</v>
      </c>
      <c r="X95">
        <v>1.1415525114155251E-4</v>
      </c>
      <c r="Y95">
        <v>1.093901499142282E-4</v>
      </c>
      <c r="Z95" t="s">
        <v>579</v>
      </c>
      <c r="AA95" t="s">
        <v>25</v>
      </c>
      <c r="AC95" t="s">
        <v>22</v>
      </c>
      <c r="AD95" t="s">
        <v>579</v>
      </c>
      <c r="AE95">
        <v>1.4550730741179371E-4</v>
      </c>
      <c r="AG95" t="s">
        <v>97</v>
      </c>
      <c r="AH95" t="s">
        <v>579</v>
      </c>
      <c r="AI95">
        <v>0</v>
      </c>
    </row>
    <row r="96" spans="5:35" x14ac:dyDescent="0.45">
      <c r="E96" t="s">
        <v>404</v>
      </c>
      <c r="G96" t="s">
        <v>364</v>
      </c>
      <c r="I96" t="s">
        <v>236</v>
      </c>
      <c r="J96" t="s">
        <v>580</v>
      </c>
      <c r="K96">
        <v>0</v>
      </c>
      <c r="L96" t="s">
        <v>238</v>
      </c>
      <c r="N96" t="s">
        <v>346</v>
      </c>
      <c r="O96" t="s">
        <v>580</v>
      </c>
      <c r="P96">
        <v>2.7373053322289999E-4</v>
      </c>
      <c r="Q96" t="s">
        <v>238</v>
      </c>
      <c r="S96" t="s">
        <v>347</v>
      </c>
      <c r="T96" t="s">
        <v>580</v>
      </c>
      <c r="U96">
        <v>2.2238187173470001E-4</v>
      </c>
      <c r="V96" t="s">
        <v>238</v>
      </c>
      <c r="X96">
        <v>1.1415525114155251E-4</v>
      </c>
      <c r="Y96">
        <v>7.9556472664893237E-5</v>
      </c>
      <c r="Z96" t="s">
        <v>580</v>
      </c>
      <c r="AA96" t="s">
        <v>25</v>
      </c>
      <c r="AC96" t="s">
        <v>22</v>
      </c>
      <c r="AD96" t="s">
        <v>580</v>
      </c>
      <c r="AE96">
        <v>1.4095853861841045E-4</v>
      </c>
      <c r="AG96" t="s">
        <v>97</v>
      </c>
      <c r="AH96" t="s">
        <v>580</v>
      </c>
      <c r="AI96">
        <v>0</v>
      </c>
    </row>
    <row r="97" spans="5:35" x14ac:dyDescent="0.45">
      <c r="E97" t="s">
        <v>405</v>
      </c>
      <c r="G97" t="s">
        <v>364</v>
      </c>
      <c r="I97" t="s">
        <v>236</v>
      </c>
      <c r="J97" t="s">
        <v>581</v>
      </c>
      <c r="K97">
        <v>0</v>
      </c>
      <c r="L97" t="s">
        <v>238</v>
      </c>
      <c r="N97" t="s">
        <v>346</v>
      </c>
      <c r="O97" t="s">
        <v>581</v>
      </c>
      <c r="P97">
        <v>2.7213931748789997E-4</v>
      </c>
      <c r="Q97" t="s">
        <v>238</v>
      </c>
      <c r="S97" t="s">
        <v>347</v>
      </c>
      <c r="T97" t="s">
        <v>581</v>
      </c>
      <c r="U97">
        <v>2.2236565828030001E-4</v>
      </c>
      <c r="V97" t="s">
        <v>238</v>
      </c>
      <c r="X97">
        <v>1.1415525114155251E-4</v>
      </c>
      <c r="Y97">
        <v>5.6352501470966035E-5</v>
      </c>
      <c r="Z97" t="s">
        <v>581</v>
      </c>
      <c r="AA97" t="s">
        <v>25</v>
      </c>
      <c r="AC97" t="s">
        <v>22</v>
      </c>
      <c r="AD97" t="s">
        <v>581</v>
      </c>
      <c r="AE97">
        <v>1.3659321103660663E-4</v>
      </c>
      <c r="AG97" t="s">
        <v>97</v>
      </c>
      <c r="AH97" t="s">
        <v>581</v>
      </c>
      <c r="AI97">
        <v>0</v>
      </c>
    </row>
    <row r="98" spans="5:35" x14ac:dyDescent="0.45">
      <c r="E98" t="s">
        <v>406</v>
      </c>
      <c r="G98" t="s">
        <v>364</v>
      </c>
      <c r="I98" t="s">
        <v>236</v>
      </c>
      <c r="J98" t="s">
        <v>582</v>
      </c>
      <c r="K98">
        <v>0</v>
      </c>
      <c r="L98" t="s">
        <v>238</v>
      </c>
      <c r="N98" t="s">
        <v>346</v>
      </c>
      <c r="O98" t="s">
        <v>582</v>
      </c>
      <c r="P98">
        <v>2.7003796895970001E-4</v>
      </c>
      <c r="Q98" t="s">
        <v>238</v>
      </c>
      <c r="S98" t="s">
        <v>347</v>
      </c>
      <c r="T98" t="s">
        <v>582</v>
      </c>
      <c r="U98">
        <v>2.2216261661259999E-4</v>
      </c>
      <c r="V98" t="s">
        <v>238</v>
      </c>
      <c r="X98">
        <v>1.1415525114155251E-4</v>
      </c>
      <c r="Y98">
        <v>2.9833677249334962E-5</v>
      </c>
      <c r="Z98" t="s">
        <v>582</v>
      </c>
      <c r="AA98" t="s">
        <v>25</v>
      </c>
      <c r="AC98" t="s">
        <v>22</v>
      </c>
      <c r="AD98" t="s">
        <v>582</v>
      </c>
      <c r="AE98">
        <v>1.0215212356257194E-4</v>
      </c>
      <c r="AG98" t="s">
        <v>97</v>
      </c>
      <c r="AH98" t="s">
        <v>582</v>
      </c>
      <c r="AI98">
        <v>0</v>
      </c>
    </row>
    <row r="99" spans="5:35" x14ac:dyDescent="0.45">
      <c r="E99" t="s">
        <v>407</v>
      </c>
      <c r="G99" t="s">
        <v>364</v>
      </c>
      <c r="I99" t="s">
        <v>236</v>
      </c>
      <c r="J99" t="s">
        <v>583</v>
      </c>
      <c r="K99">
        <v>0</v>
      </c>
      <c r="L99" t="s">
        <v>238</v>
      </c>
      <c r="N99" t="s">
        <v>346</v>
      </c>
      <c r="O99" t="s">
        <v>583</v>
      </c>
      <c r="P99">
        <v>2.6885814166130001E-4</v>
      </c>
      <c r="Q99" t="s">
        <v>238</v>
      </c>
      <c r="S99" t="s">
        <v>347</v>
      </c>
      <c r="T99" t="s">
        <v>583</v>
      </c>
      <c r="U99">
        <v>2.2191719649199999E-4</v>
      </c>
      <c r="V99" t="s">
        <v>238</v>
      </c>
      <c r="X99">
        <v>1.1415525114155251E-4</v>
      </c>
      <c r="Y99">
        <v>2.1546544680075254E-5</v>
      </c>
      <c r="Z99" t="s">
        <v>583</v>
      </c>
      <c r="AA99" t="s">
        <v>25</v>
      </c>
      <c r="AC99" t="s">
        <v>22</v>
      </c>
      <c r="AD99" t="s">
        <v>583</v>
      </c>
      <c r="AE99">
        <v>9.6551434071538009E-5</v>
      </c>
      <c r="AG99" t="s">
        <v>97</v>
      </c>
      <c r="AH99" t="s">
        <v>583</v>
      </c>
      <c r="AI99">
        <v>0</v>
      </c>
    </row>
    <row r="100" spans="5:35" x14ac:dyDescent="0.45">
      <c r="E100" t="s">
        <v>408</v>
      </c>
      <c r="G100" t="s">
        <v>364</v>
      </c>
      <c r="I100" t="s">
        <v>236</v>
      </c>
      <c r="J100" t="s">
        <v>584</v>
      </c>
      <c r="K100">
        <v>0</v>
      </c>
      <c r="L100" t="s">
        <v>238</v>
      </c>
      <c r="N100" t="s">
        <v>346</v>
      </c>
      <c r="O100" t="s">
        <v>584</v>
      </c>
      <c r="P100">
        <v>2.6966259696540001E-4</v>
      </c>
      <c r="Q100" t="s">
        <v>238</v>
      </c>
      <c r="S100" t="s">
        <v>347</v>
      </c>
      <c r="T100" t="s">
        <v>584</v>
      </c>
      <c r="U100">
        <v>2.2133083757479999E-4</v>
      </c>
      <c r="V100" t="s">
        <v>238</v>
      </c>
      <c r="X100">
        <v>1.1415525114155251E-4</v>
      </c>
      <c r="Y100">
        <v>1.4916838624667481E-5</v>
      </c>
      <c r="Z100" t="s">
        <v>584</v>
      </c>
      <c r="AA100" t="s">
        <v>25</v>
      </c>
      <c r="AC100" t="s">
        <v>22</v>
      </c>
      <c r="AD100" t="s">
        <v>584</v>
      </c>
      <c r="AE100">
        <v>9.3994722185149933E-5</v>
      </c>
      <c r="AG100" t="s">
        <v>97</v>
      </c>
      <c r="AH100" t="s">
        <v>584</v>
      </c>
      <c r="AI100">
        <v>0</v>
      </c>
    </row>
    <row r="101" spans="5:35" x14ac:dyDescent="0.45">
      <c r="E101" t="s">
        <v>409</v>
      </c>
      <c r="G101" t="s">
        <v>364</v>
      </c>
      <c r="I101" t="s">
        <v>236</v>
      </c>
      <c r="J101" t="s">
        <v>585</v>
      </c>
      <c r="K101">
        <v>0</v>
      </c>
      <c r="L101" t="s">
        <v>238</v>
      </c>
      <c r="N101" t="s">
        <v>346</v>
      </c>
      <c r="O101" t="s">
        <v>585</v>
      </c>
      <c r="P101">
        <v>2.696492676722E-4</v>
      </c>
      <c r="Q101" t="s">
        <v>238</v>
      </c>
      <c r="S101" t="s">
        <v>347</v>
      </c>
      <c r="T101" t="s">
        <v>585</v>
      </c>
      <c r="U101">
        <v>2.2117255248720001E-4</v>
      </c>
      <c r="V101" t="s">
        <v>238</v>
      </c>
      <c r="X101">
        <v>1.1415525114155251E-4</v>
      </c>
      <c r="Y101">
        <v>1.6574265138519424E-5</v>
      </c>
      <c r="Z101" t="s">
        <v>585</v>
      </c>
      <c r="AA101" t="s">
        <v>25</v>
      </c>
      <c r="AC101" t="s">
        <v>22</v>
      </c>
      <c r="AD101" t="s">
        <v>585</v>
      </c>
      <c r="AE101">
        <v>9.3518921542615839E-5</v>
      </c>
      <c r="AG101" t="s">
        <v>97</v>
      </c>
      <c r="AH101" t="s">
        <v>585</v>
      </c>
      <c r="AI101">
        <v>0</v>
      </c>
    </row>
    <row r="102" spans="5:35" x14ac:dyDescent="0.45">
      <c r="E102" t="s">
        <v>410</v>
      </c>
      <c r="G102" t="s">
        <v>364</v>
      </c>
      <c r="I102" t="s">
        <v>236</v>
      </c>
      <c r="J102" t="s">
        <v>586</v>
      </c>
      <c r="K102">
        <v>0</v>
      </c>
      <c r="L102" t="s">
        <v>238</v>
      </c>
      <c r="N102" t="s">
        <v>346</v>
      </c>
      <c r="O102" t="s">
        <v>586</v>
      </c>
      <c r="P102">
        <v>2.7011822886940001E-4</v>
      </c>
      <c r="Q102" t="s">
        <v>238</v>
      </c>
      <c r="S102" t="s">
        <v>347</v>
      </c>
      <c r="T102" t="s">
        <v>586</v>
      </c>
      <c r="U102">
        <v>2.2171586800509999E-4</v>
      </c>
      <c r="V102" t="s">
        <v>238</v>
      </c>
      <c r="X102">
        <v>1.1415525114155251E-4</v>
      </c>
      <c r="Y102">
        <v>1.4585353321897093E-5</v>
      </c>
      <c r="Z102" t="s">
        <v>586</v>
      </c>
      <c r="AA102" t="s">
        <v>25</v>
      </c>
      <c r="AC102" t="s">
        <v>22</v>
      </c>
      <c r="AD102" t="s">
        <v>586</v>
      </c>
      <c r="AE102">
        <v>9.7247937421753597E-5</v>
      </c>
      <c r="AG102" t="s">
        <v>97</v>
      </c>
      <c r="AH102" t="s">
        <v>586</v>
      </c>
      <c r="AI102">
        <v>0</v>
      </c>
    </row>
    <row r="103" spans="5:35" x14ac:dyDescent="0.45">
      <c r="E103" t="s">
        <v>411</v>
      </c>
      <c r="G103" t="s">
        <v>364</v>
      </c>
      <c r="I103" t="s">
        <v>236</v>
      </c>
      <c r="J103" t="s">
        <v>587</v>
      </c>
      <c r="K103">
        <v>0</v>
      </c>
      <c r="L103" t="s">
        <v>238</v>
      </c>
      <c r="N103" t="s">
        <v>346</v>
      </c>
      <c r="O103" t="s">
        <v>587</v>
      </c>
      <c r="P103">
        <v>2.69921998885E-4</v>
      </c>
      <c r="Q103" t="s">
        <v>238</v>
      </c>
      <c r="S103" t="s">
        <v>347</v>
      </c>
      <c r="T103" t="s">
        <v>587</v>
      </c>
      <c r="U103">
        <v>2.2183090828240001E-4</v>
      </c>
      <c r="V103" t="s">
        <v>238</v>
      </c>
      <c r="X103">
        <v>1.1415525114155251E-4</v>
      </c>
      <c r="Y103">
        <v>2.1215059377304864E-5</v>
      </c>
      <c r="Z103" t="s">
        <v>587</v>
      </c>
      <c r="AA103" t="s">
        <v>25</v>
      </c>
      <c r="AC103" t="s">
        <v>22</v>
      </c>
      <c r="AD103" t="s">
        <v>587</v>
      </c>
      <c r="AE103">
        <v>1.0047822250690981E-4</v>
      </c>
      <c r="AG103" t="s">
        <v>97</v>
      </c>
      <c r="AH103" t="s">
        <v>587</v>
      </c>
      <c r="AI103">
        <v>0</v>
      </c>
    </row>
    <row r="104" spans="5:35" x14ac:dyDescent="0.45">
      <c r="E104" t="s">
        <v>412</v>
      </c>
      <c r="G104" t="s">
        <v>364</v>
      </c>
      <c r="I104" t="s">
        <v>236</v>
      </c>
      <c r="J104" t="s">
        <v>588</v>
      </c>
      <c r="K104">
        <v>0</v>
      </c>
      <c r="L104" t="s">
        <v>238</v>
      </c>
      <c r="N104" t="s">
        <v>346</v>
      </c>
      <c r="O104" t="s">
        <v>588</v>
      </c>
      <c r="P104">
        <v>2.6831775554709999E-4</v>
      </c>
      <c r="Q104" t="s">
        <v>238</v>
      </c>
      <c r="S104" t="s">
        <v>347</v>
      </c>
      <c r="T104" t="s">
        <v>588</v>
      </c>
      <c r="U104">
        <v>2.2161021262670001E-4</v>
      </c>
      <c r="V104" t="s">
        <v>238</v>
      </c>
      <c r="X104">
        <v>1.1415525114155251E-4</v>
      </c>
      <c r="Y104">
        <v>5.7678442682047593E-5</v>
      </c>
      <c r="Z104" t="s">
        <v>588</v>
      </c>
      <c r="AA104" t="s">
        <v>25</v>
      </c>
      <c r="AC104" t="s">
        <v>22</v>
      </c>
      <c r="AD104" t="s">
        <v>588</v>
      </c>
      <c r="AE104">
        <v>1.0545119910207046E-4</v>
      </c>
      <c r="AG104" t="s">
        <v>97</v>
      </c>
      <c r="AH104" t="s">
        <v>588</v>
      </c>
      <c r="AI104">
        <v>0</v>
      </c>
    </row>
    <row r="105" spans="5:35" x14ac:dyDescent="0.45">
      <c r="E105" t="s">
        <v>413</v>
      </c>
      <c r="G105" t="s">
        <v>364</v>
      </c>
      <c r="I105" t="s">
        <v>236</v>
      </c>
      <c r="J105" t="s">
        <v>589</v>
      </c>
      <c r="K105">
        <v>0</v>
      </c>
      <c r="L105" t="s">
        <v>238</v>
      </c>
      <c r="N105" t="s">
        <v>346</v>
      </c>
      <c r="O105" t="s">
        <v>589</v>
      </c>
      <c r="P105">
        <v>2.678681281418E-4</v>
      </c>
      <c r="Q105" t="s">
        <v>238</v>
      </c>
      <c r="S105" t="s">
        <v>347</v>
      </c>
      <c r="T105" t="s">
        <v>589</v>
      </c>
      <c r="U105">
        <v>2.214077087962E-4</v>
      </c>
      <c r="V105" t="s">
        <v>238</v>
      </c>
      <c r="X105">
        <v>1.1415525114155251E-4</v>
      </c>
      <c r="Y105">
        <v>1.6905750441289813E-4</v>
      </c>
      <c r="Z105" t="s">
        <v>589</v>
      </c>
      <c r="AA105" t="s">
        <v>25</v>
      </c>
      <c r="AC105" t="s">
        <v>22</v>
      </c>
      <c r="AD105" t="s">
        <v>589</v>
      </c>
      <c r="AE105">
        <v>1.1863890245327163E-4</v>
      </c>
      <c r="AG105" t="s">
        <v>97</v>
      </c>
      <c r="AH105" t="s">
        <v>589</v>
      </c>
      <c r="AI105">
        <v>0</v>
      </c>
    </row>
    <row r="106" spans="5:35" x14ac:dyDescent="0.45">
      <c r="E106" t="s">
        <v>414</v>
      </c>
      <c r="G106" t="s">
        <v>364</v>
      </c>
      <c r="I106" t="s">
        <v>236</v>
      </c>
      <c r="J106" t="s">
        <v>590</v>
      </c>
      <c r="K106">
        <v>5.527529809559684E-5</v>
      </c>
      <c r="L106" t="s">
        <v>238</v>
      </c>
      <c r="N106" t="s">
        <v>346</v>
      </c>
      <c r="O106" t="s">
        <v>590</v>
      </c>
      <c r="P106">
        <v>2.6338613066920002E-4</v>
      </c>
      <c r="Q106" t="s">
        <v>238</v>
      </c>
      <c r="S106" t="s">
        <v>347</v>
      </c>
      <c r="T106" t="s">
        <v>590</v>
      </c>
      <c r="U106">
        <v>2.2050470084530001E-4</v>
      </c>
      <c r="V106" t="s">
        <v>238</v>
      </c>
      <c r="X106">
        <v>1.1415525114155251E-4</v>
      </c>
      <c r="Y106">
        <v>1.9060404909297337E-4</v>
      </c>
      <c r="Z106" t="s">
        <v>590</v>
      </c>
      <c r="AA106" t="s">
        <v>25</v>
      </c>
      <c r="AC106" t="s">
        <v>22</v>
      </c>
      <c r="AD106" t="s">
        <v>590</v>
      </c>
      <c r="AE106">
        <v>1.3520020433617548E-4</v>
      </c>
      <c r="AG106" t="s">
        <v>97</v>
      </c>
      <c r="AH106" t="s">
        <v>590</v>
      </c>
      <c r="AI106">
        <v>0</v>
      </c>
    </row>
    <row r="107" spans="5:35" x14ac:dyDescent="0.45">
      <c r="E107" t="s">
        <v>415</v>
      </c>
      <c r="G107" t="s">
        <v>367</v>
      </c>
      <c r="I107" t="s">
        <v>236</v>
      </c>
      <c r="J107" t="s">
        <v>591</v>
      </c>
      <c r="K107">
        <v>1.6647198148350001E-4</v>
      </c>
      <c r="L107" t="s">
        <v>238</v>
      </c>
      <c r="N107" t="s">
        <v>346</v>
      </c>
      <c r="O107" t="s">
        <v>591</v>
      </c>
      <c r="P107">
        <v>2.5685330943870001E-4</v>
      </c>
      <c r="Q107" t="s">
        <v>238</v>
      </c>
      <c r="S107" t="s">
        <v>347</v>
      </c>
      <c r="T107" t="s">
        <v>591</v>
      </c>
      <c r="U107">
        <v>2.1919637533919999E-4</v>
      </c>
      <c r="V107" t="s">
        <v>238</v>
      </c>
      <c r="X107">
        <v>1.1415525114155251E-4</v>
      </c>
      <c r="Y107">
        <v>1.4585353321897094E-4</v>
      </c>
      <c r="Z107" t="s">
        <v>591</v>
      </c>
      <c r="AA107" t="s">
        <v>25</v>
      </c>
      <c r="AC107" t="s">
        <v>22</v>
      </c>
      <c r="AD107" t="s">
        <v>591</v>
      </c>
      <c r="AE107">
        <v>1.4089834697086096E-4</v>
      </c>
      <c r="AG107" t="s">
        <v>97</v>
      </c>
      <c r="AH107" t="s">
        <v>591</v>
      </c>
      <c r="AI107">
        <v>0</v>
      </c>
    </row>
    <row r="108" spans="5:35" x14ac:dyDescent="0.45">
      <c r="E108" t="s">
        <v>416</v>
      </c>
      <c r="G108" t="s">
        <v>367</v>
      </c>
      <c r="I108" t="s">
        <v>236</v>
      </c>
      <c r="J108" t="s">
        <v>592</v>
      </c>
      <c r="K108">
        <v>2.507898318148E-4</v>
      </c>
      <c r="L108" t="s">
        <v>238</v>
      </c>
      <c r="N108" t="s">
        <v>346</v>
      </c>
      <c r="O108" t="s">
        <v>592</v>
      </c>
      <c r="P108">
        <v>2.4447834249619998E-4</v>
      </c>
      <c r="Q108" t="s">
        <v>238</v>
      </c>
      <c r="S108" t="s">
        <v>347</v>
      </c>
      <c r="T108" t="s">
        <v>592</v>
      </c>
      <c r="U108">
        <v>2.1839595250810001E-4</v>
      </c>
      <c r="V108" t="s">
        <v>238</v>
      </c>
      <c r="X108">
        <v>1.1415525114155251E-4</v>
      </c>
      <c r="Y108">
        <v>1.4452759200788939E-4</v>
      </c>
      <c r="Z108" t="s">
        <v>592</v>
      </c>
      <c r="AA108" t="s">
        <v>25</v>
      </c>
      <c r="AC108" t="s">
        <v>22</v>
      </c>
      <c r="AD108" t="s">
        <v>592</v>
      </c>
      <c r="AE108">
        <v>1.4610922388728868E-4</v>
      </c>
      <c r="AG108" t="s">
        <v>97</v>
      </c>
      <c r="AH108" t="s">
        <v>592</v>
      </c>
      <c r="AI108">
        <v>0</v>
      </c>
    </row>
    <row r="109" spans="5:35" x14ac:dyDescent="0.45">
      <c r="E109" t="s">
        <v>417</v>
      </c>
      <c r="G109" t="s">
        <v>367</v>
      </c>
      <c r="I109" t="s">
        <v>236</v>
      </c>
      <c r="J109" t="s">
        <v>593</v>
      </c>
      <c r="K109">
        <v>3.1815664304320001E-4</v>
      </c>
      <c r="L109" t="s">
        <v>238</v>
      </c>
      <c r="N109" t="s">
        <v>346</v>
      </c>
      <c r="O109" t="s">
        <v>593</v>
      </c>
      <c r="P109">
        <v>2.40249968043E-4</v>
      </c>
      <c r="Q109" t="s">
        <v>238</v>
      </c>
      <c r="S109" t="s">
        <v>347</v>
      </c>
      <c r="T109" t="s">
        <v>593</v>
      </c>
      <c r="U109">
        <v>2.1366517728840001E-4</v>
      </c>
      <c r="V109" t="s">
        <v>238</v>
      </c>
      <c r="X109">
        <v>1.1415525114155251E-4</v>
      </c>
      <c r="Y109">
        <v>1.408812536774151E-4</v>
      </c>
      <c r="Z109" t="s">
        <v>593</v>
      </c>
      <c r="AA109" t="s">
        <v>25</v>
      </c>
      <c r="AC109" t="s">
        <v>22</v>
      </c>
      <c r="AD109" t="s">
        <v>593</v>
      </c>
      <c r="AE109">
        <v>1.4570507996802777E-4</v>
      </c>
      <c r="AG109" t="s">
        <v>97</v>
      </c>
      <c r="AH109" t="s">
        <v>593</v>
      </c>
      <c r="AI109">
        <v>0</v>
      </c>
    </row>
    <row r="110" spans="5:35" x14ac:dyDescent="0.45">
      <c r="E110" t="s">
        <v>418</v>
      </c>
      <c r="G110" t="s">
        <v>367</v>
      </c>
      <c r="I110" t="s">
        <v>236</v>
      </c>
      <c r="J110" t="s">
        <v>594</v>
      </c>
      <c r="K110">
        <v>3.5430582059029999E-4</v>
      </c>
      <c r="L110" t="s">
        <v>238</v>
      </c>
      <c r="N110" t="s">
        <v>346</v>
      </c>
      <c r="O110" t="s">
        <v>594</v>
      </c>
      <c r="P110">
        <v>2.4288927901909999E-4</v>
      </c>
      <c r="Q110" t="s">
        <v>238</v>
      </c>
      <c r="S110" t="s">
        <v>347</v>
      </c>
      <c r="T110" t="s">
        <v>594</v>
      </c>
      <c r="U110">
        <v>2.133037333328E-4</v>
      </c>
      <c r="V110" t="s">
        <v>238</v>
      </c>
      <c r="X110">
        <v>1.1415525114155251E-4</v>
      </c>
      <c r="Y110">
        <v>1.4054976837464471E-4</v>
      </c>
      <c r="Z110" t="s">
        <v>594</v>
      </c>
      <c r="AA110" t="s">
        <v>25</v>
      </c>
      <c r="AC110" t="s">
        <v>22</v>
      </c>
      <c r="AD110" t="s">
        <v>594</v>
      </c>
      <c r="AE110">
        <v>1.4520061663618439E-4</v>
      </c>
      <c r="AG110" t="s">
        <v>97</v>
      </c>
      <c r="AH110" t="s">
        <v>594</v>
      </c>
      <c r="AI110">
        <v>0</v>
      </c>
    </row>
    <row r="111" spans="5:35" x14ac:dyDescent="0.45">
      <c r="E111" t="s">
        <v>419</v>
      </c>
      <c r="G111" t="s">
        <v>367</v>
      </c>
      <c r="I111" t="s">
        <v>236</v>
      </c>
      <c r="J111" t="s">
        <v>595</v>
      </c>
      <c r="K111">
        <v>3.5181781704050002E-4</v>
      </c>
      <c r="L111" t="s">
        <v>238</v>
      </c>
      <c r="N111" t="s">
        <v>346</v>
      </c>
      <c r="O111" t="s">
        <v>595</v>
      </c>
      <c r="P111">
        <v>2.4975695978819999E-4</v>
      </c>
      <c r="Q111" t="s">
        <v>238</v>
      </c>
      <c r="S111" t="s">
        <v>347</v>
      </c>
      <c r="T111" t="s">
        <v>595</v>
      </c>
      <c r="U111">
        <v>2.1500224761229999E-4</v>
      </c>
      <c r="V111" t="s">
        <v>238</v>
      </c>
      <c r="X111">
        <v>1.1415525114155251E-4</v>
      </c>
      <c r="Y111">
        <v>1.4253868019126702E-4</v>
      </c>
      <c r="Z111" t="s">
        <v>595</v>
      </c>
      <c r="AA111" t="s">
        <v>25</v>
      </c>
      <c r="AC111" t="s">
        <v>22</v>
      </c>
      <c r="AD111" t="s">
        <v>595</v>
      </c>
      <c r="AE111">
        <v>1.4436366610835332E-4</v>
      </c>
      <c r="AG111" t="s">
        <v>97</v>
      </c>
      <c r="AH111" t="s">
        <v>595</v>
      </c>
      <c r="AI111">
        <v>0</v>
      </c>
    </row>
    <row r="112" spans="5:35" x14ac:dyDescent="0.45">
      <c r="E112" t="s">
        <v>420</v>
      </c>
      <c r="G112" t="s">
        <v>367</v>
      </c>
      <c r="I112" t="s">
        <v>236</v>
      </c>
      <c r="J112" t="s">
        <v>596</v>
      </c>
      <c r="K112">
        <v>3.2673649613159999E-4</v>
      </c>
      <c r="L112" t="s">
        <v>238</v>
      </c>
      <c r="N112" t="s">
        <v>346</v>
      </c>
      <c r="O112" t="s">
        <v>596</v>
      </c>
      <c r="P112">
        <v>2.536110324381E-4</v>
      </c>
      <c r="Q112" t="s">
        <v>238</v>
      </c>
      <c r="S112" t="s">
        <v>347</v>
      </c>
      <c r="T112" t="s">
        <v>596</v>
      </c>
      <c r="U112">
        <v>2.1937114266779999E-4</v>
      </c>
      <c r="V112" t="s">
        <v>238</v>
      </c>
      <c r="X112">
        <v>1.1415525114155251E-4</v>
      </c>
      <c r="Y112">
        <v>1.4883690094390442E-4</v>
      </c>
      <c r="Z112" t="s">
        <v>596</v>
      </c>
      <c r="AA112" t="s">
        <v>25</v>
      </c>
      <c r="AC112" t="s">
        <v>22</v>
      </c>
      <c r="AD112" t="s">
        <v>596</v>
      </c>
      <c r="AE112">
        <v>1.4368149410279239E-4</v>
      </c>
      <c r="AG112" t="s">
        <v>97</v>
      </c>
      <c r="AH112" t="s">
        <v>596</v>
      </c>
      <c r="AI112">
        <v>0</v>
      </c>
    </row>
    <row r="113" spans="5:35" x14ac:dyDescent="0.45">
      <c r="E113" t="s">
        <v>421</v>
      </c>
      <c r="G113" t="s">
        <v>367</v>
      </c>
      <c r="I113" t="s">
        <v>236</v>
      </c>
      <c r="J113" t="s">
        <v>597</v>
      </c>
      <c r="K113">
        <v>3.007005179147E-4</v>
      </c>
      <c r="L113" t="s">
        <v>238</v>
      </c>
      <c r="N113" t="s">
        <v>346</v>
      </c>
      <c r="O113" t="s">
        <v>597</v>
      </c>
      <c r="P113">
        <v>2.5240798042159998E-4</v>
      </c>
      <c r="Q113" t="s">
        <v>238</v>
      </c>
      <c r="S113" t="s">
        <v>347</v>
      </c>
      <c r="T113" t="s">
        <v>597</v>
      </c>
      <c r="U113">
        <v>2.205094773218E-4</v>
      </c>
      <c r="V113" t="s">
        <v>238</v>
      </c>
      <c r="X113">
        <v>1.1415525114155251E-4</v>
      </c>
      <c r="Y113">
        <v>1.5049432745775637E-4</v>
      </c>
      <c r="Z113" t="s">
        <v>597</v>
      </c>
      <c r="AA113" t="s">
        <v>25</v>
      </c>
      <c r="AC113" t="s">
        <v>22</v>
      </c>
      <c r="AD113" t="s">
        <v>597</v>
      </c>
      <c r="AE113">
        <v>1.4257798056438497E-4</v>
      </c>
      <c r="AG113" t="s">
        <v>97</v>
      </c>
      <c r="AH113" t="s">
        <v>597</v>
      </c>
      <c r="AI113">
        <v>0</v>
      </c>
    </row>
    <row r="114" spans="5:35" x14ac:dyDescent="0.45">
      <c r="E114" t="s">
        <v>422</v>
      </c>
      <c r="G114" t="s">
        <v>367</v>
      </c>
      <c r="I114" t="s">
        <v>236</v>
      </c>
      <c r="J114" t="s">
        <v>598</v>
      </c>
      <c r="K114">
        <v>2.2980820553519999E-4</v>
      </c>
      <c r="L114" t="s">
        <v>238</v>
      </c>
      <c r="N114" t="s">
        <v>346</v>
      </c>
      <c r="O114" t="s">
        <v>598</v>
      </c>
      <c r="P114">
        <v>2.529147825455E-4</v>
      </c>
      <c r="Q114" t="s">
        <v>238</v>
      </c>
      <c r="S114" t="s">
        <v>347</v>
      </c>
      <c r="T114" t="s">
        <v>598</v>
      </c>
      <c r="U114">
        <v>2.187510722503E-4</v>
      </c>
      <c r="V114" t="s">
        <v>238</v>
      </c>
      <c r="X114">
        <v>1.1415525114155251E-4</v>
      </c>
      <c r="Y114">
        <v>1.7237235744060203E-4</v>
      </c>
      <c r="Z114" t="s">
        <v>598</v>
      </c>
      <c r="AA114" t="s">
        <v>25</v>
      </c>
      <c r="AC114" t="s">
        <v>22</v>
      </c>
      <c r="AD114" t="s">
        <v>598</v>
      </c>
      <c r="AE114">
        <v>1.4373595321248001E-4</v>
      </c>
      <c r="AG114" t="s">
        <v>97</v>
      </c>
      <c r="AH114" t="s">
        <v>598</v>
      </c>
      <c r="AI114">
        <v>0</v>
      </c>
    </row>
    <row r="115" spans="5:35" x14ac:dyDescent="0.45">
      <c r="E115" t="s">
        <v>423</v>
      </c>
      <c r="G115" t="s">
        <v>367</v>
      </c>
      <c r="I115" t="s">
        <v>236</v>
      </c>
      <c r="J115" t="s">
        <v>599</v>
      </c>
      <c r="K115">
        <v>1.624561812229E-4</v>
      </c>
      <c r="L115" t="s">
        <v>238</v>
      </c>
      <c r="N115" t="s">
        <v>346</v>
      </c>
      <c r="O115" t="s">
        <v>599</v>
      </c>
      <c r="P115">
        <v>2.6309290247319999E-4</v>
      </c>
      <c r="Q115" t="s">
        <v>238</v>
      </c>
      <c r="S115" t="s">
        <v>347</v>
      </c>
      <c r="T115" t="s">
        <v>599</v>
      </c>
      <c r="U115">
        <v>2.2206235368819999E-4</v>
      </c>
      <c r="V115" t="s">
        <v>238</v>
      </c>
      <c r="X115">
        <v>1.1415525114155251E-4</v>
      </c>
      <c r="Y115">
        <v>2.2209515285616027E-4</v>
      </c>
      <c r="Z115" t="s">
        <v>599</v>
      </c>
      <c r="AA115" t="s">
        <v>25</v>
      </c>
      <c r="AC115" t="s">
        <v>22</v>
      </c>
      <c r="AD115" t="s">
        <v>599</v>
      </c>
      <c r="AE115">
        <v>1.4937963673747787E-4</v>
      </c>
      <c r="AG115" t="s">
        <v>97</v>
      </c>
      <c r="AH115" t="s">
        <v>599</v>
      </c>
      <c r="AI115">
        <v>0</v>
      </c>
    </row>
    <row r="116" spans="5:35" x14ac:dyDescent="0.45">
      <c r="E116" t="s">
        <v>424</v>
      </c>
      <c r="G116" t="s">
        <v>367</v>
      </c>
      <c r="I116" t="s">
        <v>236</v>
      </c>
      <c r="J116" t="s">
        <v>600</v>
      </c>
      <c r="K116">
        <v>8.9616479808451858E-5</v>
      </c>
      <c r="L116" t="s">
        <v>238</v>
      </c>
      <c r="N116" t="s">
        <v>346</v>
      </c>
      <c r="O116" t="s">
        <v>600</v>
      </c>
      <c r="P116">
        <v>2.6984571888000002E-4</v>
      </c>
      <c r="Q116" t="s">
        <v>238</v>
      </c>
      <c r="S116" t="s">
        <v>347</v>
      </c>
      <c r="T116" t="s">
        <v>600</v>
      </c>
      <c r="U116">
        <v>2.2305029874119999E-4</v>
      </c>
      <c r="V116" t="s">
        <v>238</v>
      </c>
      <c r="X116">
        <v>1.1415525114155251E-4</v>
      </c>
      <c r="Y116">
        <v>2.2209515285616027E-4</v>
      </c>
      <c r="Z116" t="s">
        <v>600</v>
      </c>
      <c r="AA116" t="s">
        <v>25</v>
      </c>
      <c r="AC116" t="s">
        <v>22</v>
      </c>
      <c r="AD116" t="s">
        <v>600</v>
      </c>
      <c r="AE116">
        <v>1.5094461957376474E-4</v>
      </c>
      <c r="AG116" t="s">
        <v>97</v>
      </c>
      <c r="AH116" t="s">
        <v>600</v>
      </c>
      <c r="AI116">
        <v>0</v>
      </c>
    </row>
    <row r="117" spans="5:35" x14ac:dyDescent="0.45">
      <c r="E117" t="s">
        <v>425</v>
      </c>
      <c r="G117" t="s">
        <v>367</v>
      </c>
      <c r="I117" t="s">
        <v>236</v>
      </c>
      <c r="J117" t="s">
        <v>601</v>
      </c>
      <c r="K117">
        <v>2.0544128348851013E-5</v>
      </c>
      <c r="L117" t="s">
        <v>238</v>
      </c>
      <c r="N117" t="s">
        <v>346</v>
      </c>
      <c r="O117" t="s">
        <v>601</v>
      </c>
      <c r="P117">
        <v>2.7018801182949998E-4</v>
      </c>
      <c r="Q117" t="s">
        <v>238</v>
      </c>
      <c r="S117" t="s">
        <v>347</v>
      </c>
      <c r="T117" t="s">
        <v>601</v>
      </c>
      <c r="U117">
        <v>2.228216797726E-4</v>
      </c>
      <c r="V117" t="s">
        <v>238</v>
      </c>
      <c r="X117">
        <v>1.1415525114155251E-4</v>
      </c>
      <c r="Y117">
        <v>1.7237235744060203E-4</v>
      </c>
      <c r="Z117" t="s">
        <v>601</v>
      </c>
      <c r="AA117" t="s">
        <v>25</v>
      </c>
      <c r="AC117" t="s">
        <v>22</v>
      </c>
      <c r="AD117" t="s">
        <v>601</v>
      </c>
      <c r="AE117">
        <v>1.5175577368121745E-4</v>
      </c>
      <c r="AG117" t="s">
        <v>97</v>
      </c>
      <c r="AH117" t="s">
        <v>601</v>
      </c>
      <c r="AI117">
        <v>0</v>
      </c>
    </row>
    <row r="118" spans="5:35" x14ac:dyDescent="0.45">
      <c r="E118" t="s">
        <v>426</v>
      </c>
      <c r="G118" t="s">
        <v>367</v>
      </c>
      <c r="I118" t="s">
        <v>236</v>
      </c>
      <c r="J118" t="s">
        <v>602</v>
      </c>
      <c r="K118">
        <v>0</v>
      </c>
      <c r="L118" t="s">
        <v>238</v>
      </c>
      <c r="N118" t="s">
        <v>346</v>
      </c>
      <c r="O118" t="s">
        <v>602</v>
      </c>
      <c r="P118">
        <v>2.7049588102789999E-4</v>
      </c>
      <c r="Q118" t="s">
        <v>238</v>
      </c>
      <c r="S118" t="s">
        <v>347</v>
      </c>
      <c r="T118" t="s">
        <v>602</v>
      </c>
      <c r="U118">
        <v>2.2262237439500001E-4</v>
      </c>
      <c r="V118" t="s">
        <v>238</v>
      </c>
      <c r="X118">
        <v>1.1415525114155251E-4</v>
      </c>
      <c r="Y118">
        <v>1.5579809230208258E-4</v>
      </c>
      <c r="Z118" t="s">
        <v>602</v>
      </c>
      <c r="AA118" t="s">
        <v>25</v>
      </c>
      <c r="AC118" t="s">
        <v>22</v>
      </c>
      <c r="AD118" t="s">
        <v>602</v>
      </c>
      <c r="AE118">
        <v>1.4804108914673433E-4</v>
      </c>
      <c r="AG118" t="s">
        <v>97</v>
      </c>
      <c r="AH118" t="s">
        <v>602</v>
      </c>
      <c r="AI118">
        <v>0</v>
      </c>
    </row>
    <row r="119" spans="5:35" x14ac:dyDescent="0.45">
      <c r="E119" t="s">
        <v>427</v>
      </c>
      <c r="G119" t="s">
        <v>367</v>
      </c>
      <c r="I119" t="s">
        <v>236</v>
      </c>
      <c r="J119" t="s">
        <v>603</v>
      </c>
      <c r="K119">
        <v>0</v>
      </c>
      <c r="L119" t="s">
        <v>238</v>
      </c>
      <c r="N119" t="s">
        <v>346</v>
      </c>
      <c r="O119" t="s">
        <v>603</v>
      </c>
      <c r="P119">
        <v>2.71098480435E-4</v>
      </c>
      <c r="Q119" t="s">
        <v>238</v>
      </c>
      <c r="S119" t="s">
        <v>347</v>
      </c>
      <c r="T119" t="s">
        <v>603</v>
      </c>
      <c r="U119">
        <v>2.227249722429E-4</v>
      </c>
      <c r="V119" t="s">
        <v>238</v>
      </c>
      <c r="X119">
        <v>1.1415525114155251E-4</v>
      </c>
      <c r="Y119">
        <v>1.093901499142282E-4</v>
      </c>
      <c r="Z119" t="s">
        <v>603</v>
      </c>
      <c r="AA119" t="s">
        <v>25</v>
      </c>
      <c r="AC119" t="s">
        <v>22</v>
      </c>
      <c r="AD119" t="s">
        <v>603</v>
      </c>
      <c r="AE119">
        <v>1.4512895991291119E-4</v>
      </c>
      <c r="AG119" t="s">
        <v>97</v>
      </c>
      <c r="AH119" t="s">
        <v>603</v>
      </c>
      <c r="AI119">
        <v>0</v>
      </c>
    </row>
    <row r="120" spans="5:35" x14ac:dyDescent="0.45">
      <c r="E120" t="s">
        <v>428</v>
      </c>
      <c r="G120" t="s">
        <v>367</v>
      </c>
      <c r="I120" t="s">
        <v>236</v>
      </c>
      <c r="J120" t="s">
        <v>604</v>
      </c>
      <c r="K120">
        <v>0</v>
      </c>
      <c r="L120" t="s">
        <v>238</v>
      </c>
      <c r="N120" t="s">
        <v>346</v>
      </c>
      <c r="O120" t="s">
        <v>604</v>
      </c>
      <c r="P120">
        <v>2.700321642779E-4</v>
      </c>
      <c r="Q120" t="s">
        <v>238</v>
      </c>
      <c r="S120" t="s">
        <v>347</v>
      </c>
      <c r="T120" t="s">
        <v>604</v>
      </c>
      <c r="U120">
        <v>2.228891222734E-4</v>
      </c>
      <c r="V120" t="s">
        <v>238</v>
      </c>
      <c r="X120">
        <v>1.1415525114155251E-4</v>
      </c>
      <c r="Y120">
        <v>7.9556472664893237E-5</v>
      </c>
      <c r="Z120" t="s">
        <v>604</v>
      </c>
      <c r="AA120" t="s">
        <v>25</v>
      </c>
      <c r="AC120" t="s">
        <v>22</v>
      </c>
      <c r="AD120" t="s">
        <v>604</v>
      </c>
      <c r="AE120">
        <v>1.4095853861841051E-4</v>
      </c>
      <c r="AG120" t="s">
        <v>97</v>
      </c>
      <c r="AH120" t="s">
        <v>604</v>
      </c>
      <c r="AI120">
        <v>0</v>
      </c>
    </row>
    <row r="121" spans="5:35" x14ac:dyDescent="0.45">
      <c r="E121" t="s">
        <v>429</v>
      </c>
      <c r="G121" t="s">
        <v>367</v>
      </c>
      <c r="I121" t="s">
        <v>236</v>
      </c>
      <c r="J121" t="s">
        <v>605</v>
      </c>
      <c r="K121">
        <v>0</v>
      </c>
      <c r="L121" t="s">
        <v>238</v>
      </c>
      <c r="N121" t="s">
        <v>346</v>
      </c>
      <c r="O121" t="s">
        <v>605</v>
      </c>
      <c r="P121">
        <v>2.6957014517699999E-4</v>
      </c>
      <c r="Q121" t="s">
        <v>238</v>
      </c>
      <c r="S121" t="s">
        <v>347</v>
      </c>
      <c r="T121" t="s">
        <v>605</v>
      </c>
      <c r="U121">
        <v>2.23036172921E-4</v>
      </c>
      <c r="V121" t="s">
        <v>238</v>
      </c>
      <c r="X121">
        <v>1.1415525114155251E-4</v>
      </c>
      <c r="Y121">
        <v>5.6352501470966035E-5</v>
      </c>
      <c r="Z121" t="s">
        <v>605</v>
      </c>
      <c r="AA121" t="s">
        <v>25</v>
      </c>
      <c r="AC121" t="s">
        <v>22</v>
      </c>
      <c r="AD121" t="s">
        <v>605</v>
      </c>
      <c r="AE121">
        <v>1.3624925876489522E-4</v>
      </c>
      <c r="AG121" t="s">
        <v>97</v>
      </c>
      <c r="AH121" t="s">
        <v>605</v>
      </c>
      <c r="AI121">
        <v>0</v>
      </c>
    </row>
    <row r="122" spans="5:35" x14ac:dyDescent="0.45">
      <c r="E122" t="s">
        <v>430</v>
      </c>
      <c r="G122" t="s">
        <v>367</v>
      </c>
      <c r="I122" t="s">
        <v>236</v>
      </c>
      <c r="J122" t="s">
        <v>606</v>
      </c>
      <c r="K122">
        <v>0</v>
      </c>
      <c r="L122" t="s">
        <v>238</v>
      </c>
      <c r="N122" t="s">
        <v>346</v>
      </c>
      <c r="O122" t="s">
        <v>606</v>
      </c>
      <c r="P122">
        <v>2.6607668178919999E-4</v>
      </c>
      <c r="Q122" t="s">
        <v>238</v>
      </c>
      <c r="S122" t="s">
        <v>347</v>
      </c>
      <c r="T122" t="s">
        <v>606</v>
      </c>
      <c r="U122">
        <v>2.228421858285E-4</v>
      </c>
      <c r="V122" t="s">
        <v>238</v>
      </c>
      <c r="X122">
        <v>1.1415525114155251E-4</v>
      </c>
      <c r="Y122">
        <v>2.9833677249334962E-5</v>
      </c>
      <c r="Z122" t="s">
        <v>606</v>
      </c>
      <c r="AA122" t="s">
        <v>25</v>
      </c>
      <c r="AC122" t="s">
        <v>22</v>
      </c>
      <c r="AD122" t="s">
        <v>606</v>
      </c>
      <c r="AE122">
        <v>1.0335595651356184E-4</v>
      </c>
      <c r="AG122" t="s">
        <v>97</v>
      </c>
      <c r="AH122" t="s">
        <v>606</v>
      </c>
      <c r="AI122">
        <v>0</v>
      </c>
    </row>
    <row r="123" spans="5:35" x14ac:dyDescent="0.45">
      <c r="E123" t="s">
        <v>431</v>
      </c>
      <c r="G123" t="s">
        <v>367</v>
      </c>
      <c r="I123" t="s">
        <v>236</v>
      </c>
      <c r="J123" t="s">
        <v>328</v>
      </c>
      <c r="K123">
        <v>6.4174627928008099E-3</v>
      </c>
      <c r="L123" t="s">
        <v>238</v>
      </c>
      <c r="N123" t="s">
        <v>346</v>
      </c>
      <c r="O123" t="s">
        <v>328</v>
      </c>
      <c r="P123">
        <v>6.0762240655855032E-2</v>
      </c>
      <c r="Q123" t="s">
        <v>238</v>
      </c>
      <c r="S123" t="s">
        <v>347</v>
      </c>
      <c r="T123" t="s">
        <v>328</v>
      </c>
      <c r="U123">
        <v>6.2956276343510545E-2</v>
      </c>
      <c r="V123" t="s">
        <v>238</v>
      </c>
      <c r="X123">
        <v>8.1506849315068491E-2</v>
      </c>
      <c r="Y123">
        <v>1.7435463955116894E-2</v>
      </c>
      <c r="Z123" t="s">
        <v>328</v>
      </c>
      <c r="AA123" t="s">
        <v>25</v>
      </c>
      <c r="AC123" t="s">
        <v>22</v>
      </c>
      <c r="AD123" t="s">
        <v>328</v>
      </c>
      <c r="AE123">
        <v>4.8903853881000867E-2</v>
      </c>
      <c r="AG123" t="s">
        <v>97</v>
      </c>
      <c r="AH123" t="s">
        <v>328</v>
      </c>
      <c r="AI123">
        <v>0.20816650282917704</v>
      </c>
    </row>
    <row r="124" spans="5:35" x14ac:dyDescent="0.45">
      <c r="E124" t="s">
        <v>432</v>
      </c>
      <c r="G124" t="s">
        <v>367</v>
      </c>
      <c r="I124" t="s">
        <v>236</v>
      </c>
      <c r="J124" t="s">
        <v>329</v>
      </c>
      <c r="K124">
        <v>1.7194723184200456E-2</v>
      </c>
      <c r="L124" t="s">
        <v>238</v>
      </c>
      <c r="N124" t="s">
        <v>346</v>
      </c>
      <c r="O124" t="s">
        <v>329</v>
      </c>
      <c r="P124">
        <v>9.6063879056968293E-3</v>
      </c>
      <c r="Q124" t="s">
        <v>238</v>
      </c>
      <c r="S124" t="s">
        <v>347</v>
      </c>
      <c r="T124" t="s">
        <v>329</v>
      </c>
      <c r="U124">
        <v>1.0492047584670681E-2</v>
      </c>
      <c r="V124" t="s">
        <v>238</v>
      </c>
      <c r="X124">
        <v>1.3584474885844749E-2</v>
      </c>
      <c r="Y124">
        <v>2.0117843025134873E-2</v>
      </c>
      <c r="Z124" t="s">
        <v>329</v>
      </c>
      <c r="AA124" t="s">
        <v>25</v>
      </c>
      <c r="AC124" t="s">
        <v>22</v>
      </c>
      <c r="AD124" t="s">
        <v>329</v>
      </c>
      <c r="AE124">
        <v>1.1534321513032852E-2</v>
      </c>
      <c r="AG124" t="s">
        <v>97</v>
      </c>
      <c r="AH124" t="s">
        <v>329</v>
      </c>
      <c r="AI124">
        <v>0.11271897754289784</v>
      </c>
    </row>
    <row r="125" spans="5:35" x14ac:dyDescent="0.45">
      <c r="E125" t="s">
        <v>433</v>
      </c>
      <c r="G125" t="s">
        <v>367</v>
      </c>
      <c r="I125" t="s">
        <v>236</v>
      </c>
      <c r="J125" t="s">
        <v>330</v>
      </c>
      <c r="K125">
        <v>2.7478520945108161E-2</v>
      </c>
      <c r="L125" t="s">
        <v>238</v>
      </c>
      <c r="N125" t="s">
        <v>346</v>
      </c>
      <c r="O125" t="s">
        <v>330</v>
      </c>
      <c r="P125">
        <v>9.4389141701860576E-3</v>
      </c>
      <c r="Q125" t="s">
        <v>238</v>
      </c>
      <c r="S125" t="s">
        <v>347</v>
      </c>
      <c r="T125" t="s">
        <v>330</v>
      </c>
      <c r="U125">
        <v>1.0572330318683003E-2</v>
      </c>
      <c r="V125" t="s">
        <v>238</v>
      </c>
      <c r="X125">
        <v>1.3584474885844749E-2</v>
      </c>
      <c r="Y125">
        <v>2.2681881842063822E-2</v>
      </c>
      <c r="Z125" t="s">
        <v>330</v>
      </c>
      <c r="AA125" t="s">
        <v>25</v>
      </c>
      <c r="AC125" t="s">
        <v>22</v>
      </c>
      <c r="AD125" t="s">
        <v>330</v>
      </c>
      <c r="AE125">
        <v>1.2804173236308817E-2</v>
      </c>
      <c r="AG125" t="s">
        <v>97</v>
      </c>
      <c r="AH125" t="s">
        <v>330</v>
      </c>
      <c r="AI125">
        <v>0.10609920876690215</v>
      </c>
    </row>
    <row r="126" spans="5:35" x14ac:dyDescent="0.45">
      <c r="E126" t="s">
        <v>434</v>
      </c>
      <c r="G126" t="s">
        <v>367</v>
      </c>
      <c r="I126" t="s">
        <v>236</v>
      </c>
      <c r="J126" t="s">
        <v>331</v>
      </c>
      <c r="K126">
        <v>3.5639906483774644E-2</v>
      </c>
      <c r="L126" t="s">
        <v>238</v>
      </c>
      <c r="N126" t="s">
        <v>346</v>
      </c>
      <c r="O126" t="s">
        <v>331</v>
      </c>
      <c r="P126">
        <v>9.4087956975931423E-3</v>
      </c>
      <c r="Q126" t="s">
        <v>238</v>
      </c>
      <c r="S126" t="s">
        <v>347</v>
      </c>
      <c r="T126" t="s">
        <v>331</v>
      </c>
      <c r="U126">
        <v>1.0637811355719375E-2</v>
      </c>
      <c r="V126" t="s">
        <v>238</v>
      </c>
      <c r="X126">
        <v>1.3584474885844749E-2</v>
      </c>
      <c r="Y126">
        <v>1.7356570453057541E-2</v>
      </c>
      <c r="Z126" t="s">
        <v>331</v>
      </c>
      <c r="AA126" t="s">
        <v>25</v>
      </c>
      <c r="AC126" t="s">
        <v>22</v>
      </c>
      <c r="AD126" t="s">
        <v>331</v>
      </c>
      <c r="AE126">
        <v>1.3629807734400583E-2</v>
      </c>
      <c r="AG126" t="s">
        <v>97</v>
      </c>
      <c r="AH126" t="s">
        <v>331</v>
      </c>
      <c r="AI126">
        <v>8.5882585981628123E-2</v>
      </c>
    </row>
    <row r="127" spans="5:35" x14ac:dyDescent="0.45">
      <c r="E127" t="s">
        <v>435</v>
      </c>
      <c r="G127" t="s">
        <v>367</v>
      </c>
      <c r="I127" t="s">
        <v>236</v>
      </c>
      <c r="J127" t="s">
        <v>332</v>
      </c>
      <c r="K127">
        <v>0.30586393725893168</v>
      </c>
      <c r="L127" t="s">
        <v>238</v>
      </c>
      <c r="N127" t="s">
        <v>346</v>
      </c>
      <c r="O127" t="s">
        <v>332</v>
      </c>
      <c r="P127">
        <v>7.0258891750423658E-2</v>
      </c>
      <c r="Q127" t="s">
        <v>238</v>
      </c>
      <c r="S127" t="s">
        <v>347</v>
      </c>
      <c r="T127" t="s">
        <v>332</v>
      </c>
      <c r="U127">
        <v>7.4073719921777401E-2</v>
      </c>
      <c r="V127" t="s">
        <v>238</v>
      </c>
      <c r="X127">
        <v>9.5091324200913235E-2</v>
      </c>
      <c r="Y127">
        <v>0.12378390473112399</v>
      </c>
      <c r="Z127" t="s">
        <v>332</v>
      </c>
      <c r="AA127" t="s">
        <v>25</v>
      </c>
      <c r="AC127" t="s">
        <v>22</v>
      </c>
      <c r="AD127" t="s">
        <v>332</v>
      </c>
      <c r="AE127">
        <v>9.6162477137100355E-2</v>
      </c>
      <c r="AG127" t="s">
        <v>97</v>
      </c>
      <c r="AH127" t="s">
        <v>332</v>
      </c>
      <c r="AI127">
        <v>0.1001219649564058</v>
      </c>
    </row>
    <row r="128" spans="5:35" x14ac:dyDescent="0.45">
      <c r="E128" t="s">
        <v>436</v>
      </c>
      <c r="G128" t="s">
        <v>367</v>
      </c>
      <c r="I128" t="s">
        <v>236</v>
      </c>
      <c r="J128" t="s">
        <v>333</v>
      </c>
      <c r="K128">
        <v>3.4862339600708746E-2</v>
      </c>
      <c r="L128" t="s">
        <v>238</v>
      </c>
      <c r="N128" t="s">
        <v>346</v>
      </c>
      <c r="O128" t="s">
        <v>333</v>
      </c>
      <c r="P128">
        <v>1.0431431068040193E-2</v>
      </c>
      <c r="Q128" t="s">
        <v>238</v>
      </c>
      <c r="S128" t="s">
        <v>347</v>
      </c>
      <c r="T128" t="s">
        <v>333</v>
      </c>
      <c r="U128">
        <v>1.1075149687221996E-2</v>
      </c>
      <c r="V128" t="s">
        <v>238</v>
      </c>
      <c r="X128">
        <v>1.3584474885844749E-2</v>
      </c>
      <c r="Y128">
        <v>2.6429323189883069E-2</v>
      </c>
      <c r="Z128" t="s">
        <v>333</v>
      </c>
      <c r="AA128" t="s">
        <v>25</v>
      </c>
      <c r="AC128" t="s">
        <v>22</v>
      </c>
      <c r="AD128" t="s">
        <v>333</v>
      </c>
      <c r="AE128">
        <v>1.3587472942290771E-2</v>
      </c>
      <c r="AG128" t="s">
        <v>97</v>
      </c>
      <c r="AH128" t="s">
        <v>333</v>
      </c>
      <c r="AI128">
        <v>7.7489306569072047E-2</v>
      </c>
    </row>
    <row r="129" spans="5:35" x14ac:dyDescent="0.45">
      <c r="E129" t="s">
        <v>437</v>
      </c>
      <c r="G129" t="s">
        <v>367</v>
      </c>
      <c r="I129" t="s">
        <v>236</v>
      </c>
      <c r="J129" t="s">
        <v>334</v>
      </c>
      <c r="K129">
        <v>2.7857400314986912E-2</v>
      </c>
      <c r="L129" t="s">
        <v>238</v>
      </c>
      <c r="N129" t="s">
        <v>346</v>
      </c>
      <c r="O129" t="s">
        <v>334</v>
      </c>
      <c r="P129">
        <v>1.0163375048550447E-2</v>
      </c>
      <c r="Q129" t="s">
        <v>238</v>
      </c>
      <c r="S129" t="s">
        <v>347</v>
      </c>
      <c r="T129" t="s">
        <v>334</v>
      </c>
      <c r="U129">
        <v>1.1065998336005384E-2</v>
      </c>
      <c r="V129" t="s">
        <v>238</v>
      </c>
      <c r="X129">
        <v>1.3584474885844749E-2</v>
      </c>
      <c r="Y129">
        <v>2.6429323189883069E-2</v>
      </c>
      <c r="Z129" t="s">
        <v>334</v>
      </c>
      <c r="AA129" t="s">
        <v>25</v>
      </c>
      <c r="AC129" t="s">
        <v>22</v>
      </c>
      <c r="AD129" t="s">
        <v>334</v>
      </c>
      <c r="AE129">
        <v>1.3568400788824373E-2</v>
      </c>
      <c r="AG129" t="s">
        <v>97</v>
      </c>
      <c r="AH129" t="s">
        <v>334</v>
      </c>
      <c r="AI129">
        <v>7.8335283196194094E-2</v>
      </c>
    </row>
    <row r="130" spans="5:35" x14ac:dyDescent="0.45">
      <c r="E130" t="s">
        <v>438</v>
      </c>
      <c r="G130" t="s">
        <v>367</v>
      </c>
      <c r="I130" t="s">
        <v>236</v>
      </c>
      <c r="J130" t="s">
        <v>335</v>
      </c>
      <c r="K130">
        <v>3.0122967646651851E-2</v>
      </c>
      <c r="L130" t="s">
        <v>238</v>
      </c>
      <c r="N130" t="s">
        <v>346</v>
      </c>
      <c r="O130" t="s">
        <v>335</v>
      </c>
      <c r="P130">
        <v>6.4267604084440696E-2</v>
      </c>
      <c r="Q130" t="s">
        <v>238</v>
      </c>
      <c r="S130" t="s">
        <v>347</v>
      </c>
      <c r="T130" t="s">
        <v>335</v>
      </c>
      <c r="U130">
        <v>6.6196022426871906E-2</v>
      </c>
      <c r="V130" t="s">
        <v>238</v>
      </c>
      <c r="X130">
        <v>8.1506849315068491E-2</v>
      </c>
      <c r="Y130">
        <v>7.1793086874010731E-2</v>
      </c>
      <c r="Z130" t="s">
        <v>335</v>
      </c>
      <c r="AA130" t="s">
        <v>25</v>
      </c>
      <c r="AC130" t="s">
        <v>22</v>
      </c>
      <c r="AD130" t="s">
        <v>335</v>
      </c>
      <c r="AE130">
        <v>6.9882156441995302E-2</v>
      </c>
      <c r="AG130" t="s">
        <v>97</v>
      </c>
      <c r="AH130" t="s">
        <v>335</v>
      </c>
      <c r="AI130">
        <v>0.1635434931767934</v>
      </c>
    </row>
    <row r="131" spans="5:35" x14ac:dyDescent="0.45">
      <c r="E131" t="s">
        <v>439</v>
      </c>
      <c r="G131" t="s">
        <v>369</v>
      </c>
      <c r="I131" t="s">
        <v>236</v>
      </c>
      <c r="J131" t="s">
        <v>607</v>
      </c>
      <c r="K131">
        <v>0</v>
      </c>
      <c r="L131" t="s">
        <v>238</v>
      </c>
      <c r="N131" t="s">
        <v>346</v>
      </c>
      <c r="O131" t="s">
        <v>607</v>
      </c>
      <c r="P131">
        <v>4.4454839205787691E-5</v>
      </c>
      <c r="Q131" t="s">
        <v>238</v>
      </c>
      <c r="S131" t="s">
        <v>347</v>
      </c>
      <c r="T131" t="s">
        <v>607</v>
      </c>
      <c r="U131">
        <v>2.933357470758146E-5</v>
      </c>
      <c r="V131" t="s">
        <v>238</v>
      </c>
      <c r="X131">
        <v>1.1415525114155251E-4</v>
      </c>
      <c r="Y131">
        <v>2.1546544680075254E-5</v>
      </c>
      <c r="Z131" t="s">
        <v>607</v>
      </c>
      <c r="AA131" t="s">
        <v>25</v>
      </c>
      <c r="AC131" t="s">
        <v>22</v>
      </c>
      <c r="AD131" t="s">
        <v>607</v>
      </c>
      <c r="AE131">
        <v>5.8602133263400273E-5</v>
      </c>
      <c r="AG131" t="s">
        <v>97</v>
      </c>
      <c r="AH131" t="s">
        <v>607</v>
      </c>
      <c r="AI131">
        <v>0</v>
      </c>
    </row>
    <row r="132" spans="5:35" x14ac:dyDescent="0.45">
      <c r="E132" t="s">
        <v>440</v>
      </c>
      <c r="G132" t="s">
        <v>369</v>
      </c>
      <c r="I132" t="s">
        <v>236</v>
      </c>
      <c r="J132" t="s">
        <v>608</v>
      </c>
      <c r="K132">
        <v>0</v>
      </c>
      <c r="L132" t="s">
        <v>238</v>
      </c>
      <c r="N132" t="s">
        <v>346</v>
      </c>
      <c r="O132" t="s">
        <v>608</v>
      </c>
      <c r="P132">
        <v>3.9489570932779549E-5</v>
      </c>
      <c r="Q132" t="s">
        <v>238</v>
      </c>
      <c r="S132" t="s">
        <v>347</v>
      </c>
      <c r="T132" t="s">
        <v>608</v>
      </c>
      <c r="U132">
        <v>2.2297373745854239E-5</v>
      </c>
      <c r="V132" t="s">
        <v>238</v>
      </c>
      <c r="X132">
        <v>1.1415525114155251E-4</v>
      </c>
      <c r="Y132">
        <v>1.4916838624667481E-5</v>
      </c>
      <c r="Z132" t="s">
        <v>608</v>
      </c>
      <c r="AA132" t="s">
        <v>25</v>
      </c>
      <c r="AC132" t="s">
        <v>22</v>
      </c>
      <c r="AD132" t="s">
        <v>608</v>
      </c>
      <c r="AE132">
        <v>5.4365787783488195E-5</v>
      </c>
      <c r="AG132" t="s">
        <v>97</v>
      </c>
      <c r="AH132" t="s">
        <v>608</v>
      </c>
      <c r="AI132">
        <v>0</v>
      </c>
    </row>
    <row r="133" spans="5:35" x14ac:dyDescent="0.45">
      <c r="E133" t="s">
        <v>441</v>
      </c>
      <c r="G133" t="s">
        <v>369</v>
      </c>
      <c r="I133" t="s">
        <v>236</v>
      </c>
      <c r="J133" t="s">
        <v>609</v>
      </c>
      <c r="K133">
        <v>0</v>
      </c>
      <c r="L133" t="s">
        <v>238</v>
      </c>
      <c r="N133" t="s">
        <v>346</v>
      </c>
      <c r="O133" t="s">
        <v>609</v>
      </c>
      <c r="P133">
        <v>3.4365372508302904E-5</v>
      </c>
      <c r="Q133" t="s">
        <v>238</v>
      </c>
      <c r="S133" t="s">
        <v>347</v>
      </c>
      <c r="T133" t="s">
        <v>609</v>
      </c>
      <c r="U133">
        <v>1.4418949035746104E-5</v>
      </c>
      <c r="V133" t="s">
        <v>238</v>
      </c>
      <c r="X133">
        <v>1.1415525114155251E-4</v>
      </c>
      <c r="Y133">
        <v>1.6574265138519424E-5</v>
      </c>
      <c r="Z133" t="s">
        <v>609</v>
      </c>
      <c r="AA133" t="s">
        <v>25</v>
      </c>
      <c r="AC133" t="s">
        <v>22</v>
      </c>
      <c r="AD133" t="s">
        <v>609</v>
      </c>
      <c r="AE133">
        <v>5.4365787783488195E-5</v>
      </c>
      <c r="AG133" t="s">
        <v>97</v>
      </c>
      <c r="AH133" t="s">
        <v>609</v>
      </c>
      <c r="AI133">
        <v>0</v>
      </c>
    </row>
    <row r="134" spans="5:35" x14ac:dyDescent="0.45">
      <c r="E134" t="s">
        <v>442</v>
      </c>
      <c r="G134" t="s">
        <v>369</v>
      </c>
      <c r="I134" t="s">
        <v>236</v>
      </c>
      <c r="J134" t="s">
        <v>610</v>
      </c>
      <c r="K134">
        <v>0</v>
      </c>
      <c r="L134" t="s">
        <v>238</v>
      </c>
      <c r="N134" t="s">
        <v>346</v>
      </c>
      <c r="O134" t="s">
        <v>610</v>
      </c>
      <c r="P134">
        <v>3.0651323500687591E-5</v>
      </c>
      <c r="Q134" t="s">
        <v>238</v>
      </c>
      <c r="S134" t="s">
        <v>347</v>
      </c>
      <c r="T134" t="s">
        <v>610</v>
      </c>
      <c r="U134">
        <v>9.4299052837460606E-6</v>
      </c>
      <c r="V134" t="s">
        <v>238</v>
      </c>
      <c r="X134">
        <v>1.1415525114155251E-4</v>
      </c>
      <c r="Y134">
        <v>1.4585353321897093E-5</v>
      </c>
      <c r="Z134" t="s">
        <v>610</v>
      </c>
      <c r="AA134" t="s">
        <v>25</v>
      </c>
      <c r="AC134" t="s">
        <v>22</v>
      </c>
      <c r="AD134" t="s">
        <v>610</v>
      </c>
      <c r="AE134">
        <v>5.4466107196070708E-5</v>
      </c>
      <c r="AG134" t="s">
        <v>97</v>
      </c>
      <c r="AH134" t="s">
        <v>610</v>
      </c>
      <c r="AI134">
        <v>0</v>
      </c>
    </row>
    <row r="135" spans="5:35" x14ac:dyDescent="0.45">
      <c r="E135" t="s">
        <v>443</v>
      </c>
      <c r="G135" t="s">
        <v>369</v>
      </c>
      <c r="I135" t="s">
        <v>236</v>
      </c>
      <c r="J135" t="s">
        <v>611</v>
      </c>
      <c r="K135">
        <v>6.2365613072688848E-7</v>
      </c>
      <c r="L135" t="s">
        <v>238</v>
      </c>
      <c r="N135" t="s">
        <v>346</v>
      </c>
      <c r="O135" t="s">
        <v>611</v>
      </c>
      <c r="P135">
        <v>2.8154272924531413E-5</v>
      </c>
      <c r="Q135" t="s">
        <v>238</v>
      </c>
      <c r="S135" t="s">
        <v>347</v>
      </c>
      <c r="T135" t="s">
        <v>611</v>
      </c>
      <c r="U135">
        <v>8.2209896478639473E-6</v>
      </c>
      <c r="V135" t="s">
        <v>238</v>
      </c>
      <c r="X135">
        <v>1.1415525114155251E-4</v>
      </c>
      <c r="Y135">
        <v>2.1215059377304864E-5</v>
      </c>
      <c r="Z135" t="s">
        <v>611</v>
      </c>
      <c r="AA135" t="s">
        <v>25</v>
      </c>
      <c r="AC135" t="s">
        <v>22</v>
      </c>
      <c r="AD135" t="s">
        <v>611</v>
      </c>
      <c r="AE135">
        <v>5.4721205130923315E-5</v>
      </c>
      <c r="AG135" t="s">
        <v>97</v>
      </c>
      <c r="AH135" t="s">
        <v>611</v>
      </c>
      <c r="AI135">
        <v>0</v>
      </c>
    </row>
    <row r="136" spans="5:35" x14ac:dyDescent="0.45">
      <c r="E136" t="s">
        <v>444</v>
      </c>
      <c r="G136" t="s">
        <v>369</v>
      </c>
      <c r="I136" t="s">
        <v>236</v>
      </c>
      <c r="J136" t="s">
        <v>612</v>
      </c>
      <c r="K136">
        <v>1.072139778667E-4</v>
      </c>
      <c r="L136" t="s">
        <v>238</v>
      </c>
      <c r="N136" t="s">
        <v>346</v>
      </c>
      <c r="O136" t="s">
        <v>612</v>
      </c>
      <c r="P136">
        <v>2.6193402159413614E-5</v>
      </c>
      <c r="Q136" t="s">
        <v>238</v>
      </c>
      <c r="S136" t="s">
        <v>347</v>
      </c>
      <c r="T136" t="s">
        <v>612</v>
      </c>
      <c r="U136">
        <v>9.7665137584090192E-6</v>
      </c>
      <c r="V136" t="s">
        <v>238</v>
      </c>
      <c r="X136">
        <v>1.1415525114155251E-4</v>
      </c>
      <c r="Y136">
        <v>5.7678442682047593E-5</v>
      </c>
      <c r="Z136" t="s">
        <v>612</v>
      </c>
      <c r="AA136" t="s">
        <v>25</v>
      </c>
      <c r="AC136" t="s">
        <v>22</v>
      </c>
      <c r="AD136" t="s">
        <v>612</v>
      </c>
      <c r="AE136">
        <v>5.6859441753395832E-5</v>
      </c>
      <c r="AG136" t="s">
        <v>97</v>
      </c>
      <c r="AH136" t="s">
        <v>612</v>
      </c>
      <c r="AI136">
        <v>0</v>
      </c>
    </row>
    <row r="137" spans="5:35" x14ac:dyDescent="0.45">
      <c r="E137" t="s">
        <v>445</v>
      </c>
      <c r="G137" t="s">
        <v>369</v>
      </c>
      <c r="I137" t="s">
        <v>236</v>
      </c>
      <c r="J137" t="s">
        <v>613</v>
      </c>
      <c r="K137">
        <v>2.7435506390429998E-4</v>
      </c>
      <c r="L137" t="s">
        <v>238</v>
      </c>
      <c r="N137" t="s">
        <v>346</v>
      </c>
      <c r="O137" t="s">
        <v>613</v>
      </c>
      <c r="P137">
        <v>1.9206328124745659E-5</v>
      </c>
      <c r="Q137" t="s">
        <v>238</v>
      </c>
      <c r="S137" t="s">
        <v>347</v>
      </c>
      <c r="T137" t="s">
        <v>613</v>
      </c>
      <c r="U137">
        <v>1.0296113978275536E-5</v>
      </c>
      <c r="V137" t="s">
        <v>238</v>
      </c>
      <c r="X137">
        <v>1.1415525114155251E-4</v>
      </c>
      <c r="Y137">
        <v>1.6905750441289813E-4</v>
      </c>
      <c r="Z137" t="s">
        <v>613</v>
      </c>
      <c r="AA137" t="s">
        <v>25</v>
      </c>
      <c r="AC137" t="s">
        <v>22</v>
      </c>
      <c r="AD137" t="s">
        <v>613</v>
      </c>
      <c r="AE137">
        <v>6.7000301231020219E-5</v>
      </c>
      <c r="AG137" t="s">
        <v>97</v>
      </c>
      <c r="AH137" t="s">
        <v>613</v>
      </c>
      <c r="AI137">
        <v>0</v>
      </c>
    </row>
    <row r="138" spans="5:35" x14ac:dyDescent="0.45">
      <c r="E138" t="s">
        <v>446</v>
      </c>
      <c r="G138" t="s">
        <v>369</v>
      </c>
      <c r="I138" t="s">
        <v>236</v>
      </c>
      <c r="J138" t="s">
        <v>614</v>
      </c>
      <c r="K138">
        <v>3.9883492558600003E-4</v>
      </c>
      <c r="L138" t="s">
        <v>238</v>
      </c>
      <c r="N138" t="s">
        <v>346</v>
      </c>
      <c r="O138" t="s">
        <v>614</v>
      </c>
      <c r="P138">
        <v>9.716300712575512E-6</v>
      </c>
      <c r="Q138" t="s">
        <v>238</v>
      </c>
      <c r="S138" t="s">
        <v>347</v>
      </c>
      <c r="T138" t="s">
        <v>614</v>
      </c>
      <c r="U138">
        <v>8.4236305673875732E-6</v>
      </c>
      <c r="V138" t="s">
        <v>238</v>
      </c>
      <c r="X138">
        <v>1.1415525114155251E-4</v>
      </c>
      <c r="Y138">
        <v>1.9060404909297337E-4</v>
      </c>
      <c r="Z138" t="s">
        <v>614</v>
      </c>
      <c r="AA138" t="s">
        <v>25</v>
      </c>
      <c r="AC138" t="s">
        <v>22</v>
      </c>
      <c r="AD138" t="s">
        <v>614</v>
      </c>
      <c r="AE138">
        <v>7.5538916376255701E-5</v>
      </c>
      <c r="AG138" t="s">
        <v>97</v>
      </c>
      <c r="AH138" t="s">
        <v>614</v>
      </c>
      <c r="AI138">
        <v>0</v>
      </c>
    </row>
    <row r="139" spans="5:35" x14ac:dyDescent="0.45">
      <c r="E139" t="s">
        <v>447</v>
      </c>
      <c r="G139" t="s">
        <v>369</v>
      </c>
      <c r="I139" t="s">
        <v>236</v>
      </c>
      <c r="J139" t="s">
        <v>615</v>
      </c>
      <c r="K139">
        <v>4.8028560314989998E-4</v>
      </c>
      <c r="L139" t="s">
        <v>238</v>
      </c>
      <c r="N139" t="s">
        <v>346</v>
      </c>
      <c r="O139" t="s">
        <v>615</v>
      </c>
      <c r="P139">
        <v>7.640202328341545E-6</v>
      </c>
      <c r="Q139" t="s">
        <v>238</v>
      </c>
      <c r="S139" t="s">
        <v>347</v>
      </c>
      <c r="T139" t="s">
        <v>615</v>
      </c>
      <c r="U139">
        <v>7.6653083342019632E-6</v>
      </c>
      <c r="V139" t="s">
        <v>238</v>
      </c>
      <c r="X139">
        <v>1.1415525114155251E-4</v>
      </c>
      <c r="Y139">
        <v>1.4585353321897094E-4</v>
      </c>
      <c r="Z139" t="s">
        <v>615</v>
      </c>
      <c r="AA139" t="s">
        <v>25</v>
      </c>
      <c r="AC139" t="s">
        <v>22</v>
      </c>
      <c r="AD139" t="s">
        <v>615</v>
      </c>
      <c r="AE139">
        <v>8.6680103710774103E-5</v>
      </c>
      <c r="AG139" t="s">
        <v>97</v>
      </c>
      <c r="AH139" t="s">
        <v>615</v>
      </c>
      <c r="AI139">
        <v>0</v>
      </c>
    </row>
    <row r="140" spans="5:35" x14ac:dyDescent="0.45">
      <c r="E140" t="s">
        <v>448</v>
      </c>
      <c r="G140" t="s">
        <v>369</v>
      </c>
      <c r="I140" t="s">
        <v>236</v>
      </c>
      <c r="J140" t="s">
        <v>616</v>
      </c>
      <c r="K140">
        <v>5.2996311914850003E-4</v>
      </c>
      <c r="L140" t="s">
        <v>238</v>
      </c>
      <c r="N140" t="s">
        <v>346</v>
      </c>
      <c r="O140" t="s">
        <v>616</v>
      </c>
      <c r="P140">
        <v>1.0785803001906076E-5</v>
      </c>
      <c r="Q140" t="s">
        <v>238</v>
      </c>
      <c r="S140" t="s">
        <v>347</v>
      </c>
      <c r="T140" t="s">
        <v>616</v>
      </c>
      <c r="U140">
        <v>9.9477741329059564E-6</v>
      </c>
      <c r="V140" t="s">
        <v>238</v>
      </c>
      <c r="X140">
        <v>1.1415525114155251E-4</v>
      </c>
      <c r="Y140">
        <v>1.4452759200788939E-4</v>
      </c>
      <c r="Z140" t="s">
        <v>616</v>
      </c>
      <c r="AA140" t="s">
        <v>25</v>
      </c>
      <c r="AC140" t="s">
        <v>22</v>
      </c>
      <c r="AD140" t="s">
        <v>616</v>
      </c>
      <c r="AE140">
        <v>9.1676010457382147E-5</v>
      </c>
      <c r="AG140" t="s">
        <v>97</v>
      </c>
      <c r="AH140" t="s">
        <v>616</v>
      </c>
      <c r="AI140">
        <v>0</v>
      </c>
    </row>
    <row r="141" spans="5:35" x14ac:dyDescent="0.45">
      <c r="E141" t="s">
        <v>449</v>
      </c>
      <c r="G141" t="s">
        <v>369</v>
      </c>
      <c r="I141" t="s">
        <v>236</v>
      </c>
      <c r="J141" t="s">
        <v>617</v>
      </c>
      <c r="K141">
        <v>5.5322605771109998E-4</v>
      </c>
      <c r="L141" t="s">
        <v>238</v>
      </c>
      <c r="N141" t="s">
        <v>346</v>
      </c>
      <c r="O141" t="s">
        <v>617</v>
      </c>
      <c r="P141">
        <v>1.3404374473478807E-5</v>
      </c>
      <c r="Q141" t="s">
        <v>238</v>
      </c>
      <c r="S141" t="s">
        <v>347</v>
      </c>
      <c r="T141" t="s">
        <v>617</v>
      </c>
      <c r="U141">
        <v>1.4299216119703366E-5</v>
      </c>
      <c r="V141" t="s">
        <v>238</v>
      </c>
      <c r="X141">
        <v>1.1415525114155251E-4</v>
      </c>
      <c r="Y141">
        <v>1.408812536774151E-4</v>
      </c>
      <c r="Z141" t="s">
        <v>617</v>
      </c>
      <c r="AA141" t="s">
        <v>25</v>
      </c>
      <c r="AC141" t="s">
        <v>22</v>
      </c>
      <c r="AD141" t="s">
        <v>617</v>
      </c>
      <c r="AE141">
        <v>9.1896713165063627E-5</v>
      </c>
      <c r="AG141" t="s">
        <v>97</v>
      </c>
      <c r="AH141" t="s">
        <v>617</v>
      </c>
      <c r="AI141">
        <v>0</v>
      </c>
    </row>
    <row r="142" spans="5:35" x14ac:dyDescent="0.45">
      <c r="E142" t="s">
        <v>450</v>
      </c>
      <c r="G142" t="s">
        <v>369</v>
      </c>
      <c r="I142" t="s">
        <v>236</v>
      </c>
      <c r="J142" t="s">
        <v>618</v>
      </c>
      <c r="K142">
        <v>5.5182860231339998E-4</v>
      </c>
      <c r="L142" t="s">
        <v>238</v>
      </c>
      <c r="N142" t="s">
        <v>346</v>
      </c>
      <c r="O142" t="s">
        <v>618</v>
      </c>
      <c r="P142">
        <v>1.1986780820858544E-5</v>
      </c>
      <c r="Q142" t="s">
        <v>238</v>
      </c>
      <c r="S142" t="s">
        <v>347</v>
      </c>
      <c r="T142" t="s">
        <v>618</v>
      </c>
      <c r="U142">
        <v>1.4265993605417024E-5</v>
      </c>
      <c r="V142" t="s">
        <v>238</v>
      </c>
      <c r="X142">
        <v>1.1415525114155251E-4</v>
      </c>
      <c r="Y142">
        <v>1.4054976837464471E-4</v>
      </c>
      <c r="Z142" t="s">
        <v>618</v>
      </c>
      <c r="AA142" t="s">
        <v>25</v>
      </c>
      <c r="AC142" t="s">
        <v>22</v>
      </c>
      <c r="AD142" t="s">
        <v>618</v>
      </c>
      <c r="AE142">
        <v>9.2120282141676036E-5</v>
      </c>
      <c r="AG142" t="s">
        <v>97</v>
      </c>
      <c r="AH142" t="s">
        <v>618</v>
      </c>
      <c r="AI142">
        <v>0</v>
      </c>
    </row>
    <row r="143" spans="5:35" x14ac:dyDescent="0.45">
      <c r="E143" t="s">
        <v>451</v>
      </c>
      <c r="G143" t="s">
        <v>369</v>
      </c>
      <c r="I143" t="s">
        <v>236</v>
      </c>
      <c r="J143" t="s">
        <v>619</v>
      </c>
      <c r="K143">
        <v>5.2980622727460003E-4</v>
      </c>
      <c r="L143" t="s">
        <v>238</v>
      </c>
      <c r="N143" t="s">
        <v>346</v>
      </c>
      <c r="O143" t="s">
        <v>619</v>
      </c>
      <c r="P143">
        <v>1.4638222936072771E-5</v>
      </c>
      <c r="Q143" t="s">
        <v>238</v>
      </c>
      <c r="S143" t="s">
        <v>347</v>
      </c>
      <c r="T143" t="s">
        <v>619</v>
      </c>
      <c r="U143">
        <v>1.651430476755528E-5</v>
      </c>
      <c r="V143" t="s">
        <v>238</v>
      </c>
      <c r="X143">
        <v>1.1415525114155251E-4</v>
      </c>
      <c r="Y143">
        <v>1.4253868019126702E-4</v>
      </c>
      <c r="Z143" t="s">
        <v>619</v>
      </c>
      <c r="AA143" t="s">
        <v>25</v>
      </c>
      <c r="AC143" t="s">
        <v>22</v>
      </c>
      <c r="AD143" t="s">
        <v>619</v>
      </c>
      <c r="AE143">
        <v>9.259608278421013E-5</v>
      </c>
      <c r="AG143" t="s">
        <v>97</v>
      </c>
      <c r="AH143" t="s">
        <v>619</v>
      </c>
      <c r="AI143">
        <v>0</v>
      </c>
    </row>
    <row r="144" spans="5:35" x14ac:dyDescent="0.45">
      <c r="E144" t="s">
        <v>452</v>
      </c>
      <c r="G144" t="s">
        <v>369</v>
      </c>
      <c r="I144" t="s">
        <v>236</v>
      </c>
      <c r="J144" t="s">
        <v>620</v>
      </c>
      <c r="K144">
        <v>5.3486647014680002E-4</v>
      </c>
      <c r="L144" t="s">
        <v>238</v>
      </c>
      <c r="N144" t="s">
        <v>346</v>
      </c>
      <c r="O144" t="s">
        <v>620</v>
      </c>
      <c r="P144">
        <v>1.6518250210882632E-5</v>
      </c>
      <c r="Q144" t="s">
        <v>238</v>
      </c>
      <c r="S144" t="s">
        <v>347</v>
      </c>
      <c r="T144" t="s">
        <v>620</v>
      </c>
      <c r="U144">
        <v>1.8274711751458083E-5</v>
      </c>
      <c r="V144" t="s">
        <v>238</v>
      </c>
      <c r="X144">
        <v>1.1415525114155251E-4</v>
      </c>
      <c r="Y144">
        <v>1.4883690094390442E-4</v>
      </c>
      <c r="Z144" t="s">
        <v>620</v>
      </c>
      <c r="AA144" t="s">
        <v>25</v>
      </c>
      <c r="AC144" t="s">
        <v>22</v>
      </c>
      <c r="AD144" t="s">
        <v>620</v>
      </c>
      <c r="AE144">
        <v>9.0776002013070659E-5</v>
      </c>
      <c r="AG144" t="s">
        <v>97</v>
      </c>
      <c r="AH144" t="s">
        <v>620</v>
      </c>
      <c r="AI144">
        <v>0</v>
      </c>
    </row>
    <row r="145" spans="5:35" x14ac:dyDescent="0.45">
      <c r="E145" t="s">
        <v>453</v>
      </c>
      <c r="G145" t="s">
        <v>369</v>
      </c>
      <c r="I145" t="s">
        <v>236</v>
      </c>
      <c r="J145" t="s">
        <v>621</v>
      </c>
      <c r="K145">
        <v>5.4377824451970003E-4</v>
      </c>
      <c r="L145" t="s">
        <v>238</v>
      </c>
      <c r="N145" t="s">
        <v>346</v>
      </c>
      <c r="O145" t="s">
        <v>621</v>
      </c>
      <c r="P145">
        <v>1.659247422310759E-5</v>
      </c>
      <c r="Q145" t="s">
        <v>238</v>
      </c>
      <c r="S145" t="s">
        <v>347</v>
      </c>
      <c r="T145" t="s">
        <v>621</v>
      </c>
      <c r="U145">
        <v>1.8859244826016905E-5</v>
      </c>
      <c r="V145" t="s">
        <v>238</v>
      </c>
      <c r="X145">
        <v>1.1415525114155251E-4</v>
      </c>
      <c r="Y145">
        <v>1.5049432745775637E-4</v>
      </c>
      <c r="Z145" t="s">
        <v>621</v>
      </c>
      <c r="AA145" t="s">
        <v>25</v>
      </c>
      <c r="AC145" t="s">
        <v>22</v>
      </c>
      <c r="AD145" t="s">
        <v>621</v>
      </c>
      <c r="AE145">
        <v>9.0463578699599462E-5</v>
      </c>
      <c r="AG145" t="s">
        <v>97</v>
      </c>
      <c r="AH145" t="s">
        <v>621</v>
      </c>
      <c r="AI145">
        <v>0</v>
      </c>
    </row>
    <row r="146" spans="5:35" x14ac:dyDescent="0.45">
      <c r="E146" t="s">
        <v>454</v>
      </c>
      <c r="G146" t="s">
        <v>369</v>
      </c>
      <c r="I146" t="s">
        <v>236</v>
      </c>
      <c r="J146" t="s">
        <v>622</v>
      </c>
      <c r="K146">
        <v>5.3332416926559997E-4</v>
      </c>
      <c r="L146" t="s">
        <v>238</v>
      </c>
      <c r="N146" t="s">
        <v>346</v>
      </c>
      <c r="O146" t="s">
        <v>622</v>
      </c>
      <c r="P146">
        <v>1.5914245434689076E-5</v>
      </c>
      <c r="Q146" t="s">
        <v>238</v>
      </c>
      <c r="S146" t="s">
        <v>347</v>
      </c>
      <c r="T146" t="s">
        <v>622</v>
      </c>
      <c r="U146">
        <v>1.9364090374116871E-5</v>
      </c>
      <c r="V146" t="s">
        <v>238</v>
      </c>
      <c r="X146">
        <v>1.1415525114155251E-4</v>
      </c>
      <c r="Y146">
        <v>1.7237235744060203E-4</v>
      </c>
      <c r="Z146" t="s">
        <v>622</v>
      </c>
      <c r="AA146" t="s">
        <v>25</v>
      </c>
      <c r="AC146" t="s">
        <v>22</v>
      </c>
      <c r="AD146" t="s">
        <v>622</v>
      </c>
      <c r="AE146">
        <v>9.1211674890571764E-5</v>
      </c>
      <c r="AG146" t="s">
        <v>97</v>
      </c>
      <c r="AH146" t="s">
        <v>622</v>
      </c>
      <c r="AI146">
        <v>0</v>
      </c>
    </row>
    <row r="147" spans="5:35" x14ac:dyDescent="0.45">
      <c r="E147" t="s">
        <v>455</v>
      </c>
      <c r="G147" t="s">
        <v>369</v>
      </c>
      <c r="I147" t="s">
        <v>236</v>
      </c>
      <c r="J147" t="s">
        <v>623</v>
      </c>
      <c r="K147">
        <v>4.9377085261689997E-4</v>
      </c>
      <c r="L147" t="s">
        <v>238</v>
      </c>
      <c r="N147" t="s">
        <v>346</v>
      </c>
      <c r="O147" t="s">
        <v>623</v>
      </c>
      <c r="P147">
        <v>1.6064406914669173E-5</v>
      </c>
      <c r="Q147" t="s">
        <v>238</v>
      </c>
      <c r="S147" t="s">
        <v>347</v>
      </c>
      <c r="T147" t="s">
        <v>623</v>
      </c>
      <c r="U147">
        <v>2.0299620616046669E-5</v>
      </c>
      <c r="V147" t="s">
        <v>238</v>
      </c>
      <c r="X147">
        <v>1.1415525114155251E-4</v>
      </c>
      <c r="Y147">
        <v>2.2209515285616027E-4</v>
      </c>
      <c r="Z147" t="s">
        <v>623</v>
      </c>
      <c r="AA147" t="s">
        <v>25</v>
      </c>
      <c r="AC147" t="s">
        <v>22</v>
      </c>
      <c r="AD147" t="s">
        <v>623</v>
      </c>
      <c r="AE147">
        <v>9.2017096460162608E-5</v>
      </c>
      <c r="AG147" t="s">
        <v>97</v>
      </c>
      <c r="AH147" t="s">
        <v>623</v>
      </c>
      <c r="AI147">
        <v>0</v>
      </c>
    </row>
    <row r="148" spans="5:35" x14ac:dyDescent="0.45">
      <c r="E148" t="s">
        <v>456</v>
      </c>
      <c r="G148" t="s">
        <v>369</v>
      </c>
      <c r="I148" t="s">
        <v>236</v>
      </c>
      <c r="J148" t="s">
        <v>624</v>
      </c>
      <c r="K148">
        <v>4.3440101270210001E-4</v>
      </c>
      <c r="L148" t="s">
        <v>238</v>
      </c>
      <c r="N148" t="s">
        <v>346</v>
      </c>
      <c r="O148" t="s">
        <v>624</v>
      </c>
      <c r="P148">
        <v>1.7602376355383238E-5</v>
      </c>
      <c r="Q148" t="s">
        <v>238</v>
      </c>
      <c r="S148" t="s">
        <v>347</v>
      </c>
      <c r="T148" t="s">
        <v>624</v>
      </c>
      <c r="U148">
        <v>2.2300910368918338E-5</v>
      </c>
      <c r="V148" t="s">
        <v>238</v>
      </c>
      <c r="X148">
        <v>1.1415525114155251E-4</v>
      </c>
      <c r="Y148">
        <v>2.2209515285616027E-4</v>
      </c>
      <c r="Z148" t="s">
        <v>624</v>
      </c>
      <c r="AA148" t="s">
        <v>25</v>
      </c>
      <c r="AC148" t="s">
        <v>22</v>
      </c>
      <c r="AD148" t="s">
        <v>624</v>
      </c>
      <c r="AE148">
        <v>9.1446708942907883E-5</v>
      </c>
      <c r="AG148" t="s">
        <v>97</v>
      </c>
      <c r="AH148" t="s">
        <v>624</v>
      </c>
      <c r="AI148">
        <v>0</v>
      </c>
    </row>
    <row r="149" spans="5:35" x14ac:dyDescent="0.45">
      <c r="E149" t="s">
        <v>457</v>
      </c>
      <c r="G149" t="s">
        <v>369</v>
      </c>
      <c r="I149" t="s">
        <v>236</v>
      </c>
      <c r="J149" t="s">
        <v>625</v>
      </c>
      <c r="K149">
        <v>3.385312630171E-4</v>
      </c>
      <c r="L149" t="s">
        <v>238</v>
      </c>
      <c r="N149" t="s">
        <v>346</v>
      </c>
      <c r="O149" t="s">
        <v>625</v>
      </c>
      <c r="P149">
        <v>2.2968930070292769E-5</v>
      </c>
      <c r="Q149" t="s">
        <v>238</v>
      </c>
      <c r="S149" t="s">
        <v>347</v>
      </c>
      <c r="T149" t="s">
        <v>625</v>
      </c>
      <c r="U149">
        <v>2.4056867008984438E-5</v>
      </c>
      <c r="V149" t="s">
        <v>238</v>
      </c>
      <c r="X149">
        <v>1.1415525114155251E-4</v>
      </c>
      <c r="Y149">
        <v>1.7237235744060203E-4</v>
      </c>
      <c r="Z149" t="s">
        <v>625</v>
      </c>
      <c r="AA149" t="s">
        <v>25</v>
      </c>
      <c r="AC149" t="s">
        <v>22</v>
      </c>
      <c r="AD149" t="s">
        <v>625</v>
      </c>
      <c r="AE149">
        <v>9.1870916744685264E-5</v>
      </c>
      <c r="AG149" t="s">
        <v>97</v>
      </c>
      <c r="AH149" t="s">
        <v>625</v>
      </c>
      <c r="AI149">
        <v>0</v>
      </c>
    </row>
    <row r="150" spans="5:35" x14ac:dyDescent="0.45">
      <c r="E150" t="s">
        <v>458</v>
      </c>
      <c r="G150" t="s">
        <v>369</v>
      </c>
      <c r="I150" t="s">
        <v>236</v>
      </c>
      <c r="J150" t="s">
        <v>626</v>
      </c>
      <c r="K150">
        <v>2.149525345539E-4</v>
      </c>
      <c r="L150" t="s">
        <v>238</v>
      </c>
      <c r="N150" t="s">
        <v>346</v>
      </c>
      <c r="O150" t="s">
        <v>626</v>
      </c>
      <c r="P150">
        <v>3.3127678542241163E-5</v>
      </c>
      <c r="Q150" t="s">
        <v>238</v>
      </c>
      <c r="S150" t="s">
        <v>347</v>
      </c>
      <c r="T150" t="s">
        <v>626</v>
      </c>
      <c r="U150">
        <v>2.5006550176764028E-5</v>
      </c>
      <c r="V150" t="s">
        <v>238</v>
      </c>
      <c r="X150">
        <v>1.1415525114155251E-4</v>
      </c>
      <c r="Y150">
        <v>1.5579809230208258E-4</v>
      </c>
      <c r="Z150" t="s">
        <v>626</v>
      </c>
      <c r="AA150" t="s">
        <v>25</v>
      </c>
      <c r="AC150" t="s">
        <v>22</v>
      </c>
      <c r="AD150" t="s">
        <v>626</v>
      </c>
      <c r="AE150">
        <v>9.1386517295358386E-5</v>
      </c>
      <c r="AG150" t="s">
        <v>97</v>
      </c>
      <c r="AH150" t="s">
        <v>626</v>
      </c>
      <c r="AI150">
        <v>0</v>
      </c>
    </row>
    <row r="151" spans="5:35" x14ac:dyDescent="0.45">
      <c r="E151" t="s">
        <v>459</v>
      </c>
      <c r="G151" t="s">
        <v>369</v>
      </c>
      <c r="I151" t="s">
        <v>236</v>
      </c>
      <c r="J151" t="s">
        <v>627</v>
      </c>
      <c r="K151">
        <v>5.8255868375838261E-5</v>
      </c>
      <c r="L151" t="s">
        <v>238</v>
      </c>
      <c r="N151" t="s">
        <v>346</v>
      </c>
      <c r="O151" t="s">
        <v>627</v>
      </c>
      <c r="P151">
        <v>4.0620087388836429E-5</v>
      </c>
      <c r="Q151" t="s">
        <v>238</v>
      </c>
      <c r="S151" t="s">
        <v>347</v>
      </c>
      <c r="T151" t="s">
        <v>627</v>
      </c>
      <c r="U151">
        <v>2.434855341039916E-5</v>
      </c>
      <c r="V151" t="s">
        <v>238</v>
      </c>
      <c r="X151">
        <v>1.1415525114155251E-4</v>
      </c>
      <c r="Y151">
        <v>1.093901499142282E-4</v>
      </c>
      <c r="Z151" t="s">
        <v>627</v>
      </c>
      <c r="AA151" t="s">
        <v>25</v>
      </c>
      <c r="AC151" t="s">
        <v>22</v>
      </c>
      <c r="AD151" t="s">
        <v>627</v>
      </c>
      <c r="AE151">
        <v>8.9125031108855941E-5</v>
      </c>
      <c r="AG151" t="s">
        <v>97</v>
      </c>
      <c r="AH151" t="s">
        <v>627</v>
      </c>
      <c r="AI151">
        <v>0</v>
      </c>
    </row>
    <row r="152" spans="5:35" x14ac:dyDescent="0.45">
      <c r="E152" t="s">
        <v>460</v>
      </c>
      <c r="G152" t="s">
        <v>369</v>
      </c>
      <c r="I152" t="s">
        <v>236</v>
      </c>
      <c r="J152" t="s">
        <v>628</v>
      </c>
      <c r="K152">
        <v>0</v>
      </c>
      <c r="L152" t="s">
        <v>238</v>
      </c>
      <c r="N152" t="s">
        <v>346</v>
      </c>
      <c r="O152" t="s">
        <v>628</v>
      </c>
      <c r="P152">
        <v>4.058940724247727E-5</v>
      </c>
      <c r="Q152" t="s">
        <v>238</v>
      </c>
      <c r="S152" t="s">
        <v>347</v>
      </c>
      <c r="T152" t="s">
        <v>628</v>
      </c>
      <c r="U152">
        <v>2.2226328703920511E-5</v>
      </c>
      <c r="V152" t="s">
        <v>238</v>
      </c>
      <c r="X152">
        <v>1.1415525114155251E-4</v>
      </c>
      <c r="Y152">
        <v>7.9556472664893237E-5</v>
      </c>
      <c r="Z152" t="s">
        <v>628</v>
      </c>
      <c r="AA152" t="s">
        <v>25</v>
      </c>
      <c r="AC152" t="s">
        <v>22</v>
      </c>
      <c r="AD152" t="s">
        <v>628</v>
      </c>
      <c r="AE152">
        <v>8.7067050016449422E-5</v>
      </c>
      <c r="AG152" t="s">
        <v>97</v>
      </c>
      <c r="AH152" t="s">
        <v>628</v>
      </c>
      <c r="AI152">
        <v>0</v>
      </c>
    </row>
    <row r="153" spans="5:35" x14ac:dyDescent="0.45">
      <c r="E153" t="s">
        <v>461</v>
      </c>
      <c r="G153" t="s">
        <v>369</v>
      </c>
      <c r="I153" t="s">
        <v>236</v>
      </c>
      <c r="J153" t="s">
        <v>629</v>
      </c>
      <c r="K153">
        <v>0</v>
      </c>
      <c r="L153" t="s">
        <v>238</v>
      </c>
      <c r="N153" t="s">
        <v>346</v>
      </c>
      <c r="O153" t="s">
        <v>629</v>
      </c>
      <c r="P153">
        <v>4.099800687262415E-5</v>
      </c>
      <c r="Q153" t="s">
        <v>238</v>
      </c>
      <c r="S153" t="s">
        <v>347</v>
      </c>
      <c r="T153" t="s">
        <v>629</v>
      </c>
      <c r="U153">
        <v>2.3918009228775744E-5</v>
      </c>
      <c r="V153" t="s">
        <v>238</v>
      </c>
      <c r="X153">
        <v>1.1415525114155251E-4</v>
      </c>
      <c r="Y153">
        <v>5.6352501470966035E-5</v>
      </c>
      <c r="Z153" t="s">
        <v>629</v>
      </c>
      <c r="AA153" t="s">
        <v>25</v>
      </c>
      <c r="AC153" t="s">
        <v>22</v>
      </c>
      <c r="AD153" t="s">
        <v>629</v>
      </c>
      <c r="AE153">
        <v>9.9357611192270044E-5</v>
      </c>
      <c r="AG153" t="s">
        <v>97</v>
      </c>
      <c r="AH153" t="s">
        <v>629</v>
      </c>
      <c r="AI153">
        <v>0</v>
      </c>
    </row>
    <row r="154" spans="5:35" x14ac:dyDescent="0.45">
      <c r="E154" t="s">
        <v>462</v>
      </c>
      <c r="G154" t="s">
        <v>369</v>
      </c>
      <c r="I154" t="s">
        <v>236</v>
      </c>
      <c r="J154" t="s">
        <v>630</v>
      </c>
      <c r="K154">
        <v>0</v>
      </c>
      <c r="L154" t="s">
        <v>238</v>
      </c>
      <c r="N154" t="s">
        <v>346</v>
      </c>
      <c r="O154" t="s">
        <v>630</v>
      </c>
      <c r="P154">
        <v>3.4116422149115899E-5</v>
      </c>
      <c r="Q154" t="s">
        <v>238</v>
      </c>
      <c r="S154" t="s">
        <v>347</v>
      </c>
      <c r="T154" t="s">
        <v>630</v>
      </c>
      <c r="U154">
        <v>1.8643389733968697E-5</v>
      </c>
      <c r="V154" t="s">
        <v>238</v>
      </c>
      <c r="X154">
        <v>1.1415525114155251E-4</v>
      </c>
      <c r="Y154">
        <v>2.9833677249334962E-5</v>
      </c>
      <c r="Z154" t="s">
        <v>630</v>
      </c>
      <c r="AA154" t="s">
        <v>25</v>
      </c>
      <c r="AC154" t="s">
        <v>22</v>
      </c>
      <c r="AD154" t="s">
        <v>630</v>
      </c>
      <c r="AE154">
        <v>8.0818583747025677E-5</v>
      </c>
      <c r="AG154" t="s">
        <v>97</v>
      </c>
      <c r="AH154" t="s">
        <v>630</v>
      </c>
      <c r="AI154">
        <v>0</v>
      </c>
    </row>
    <row r="155" spans="5:35" x14ac:dyDescent="0.45">
      <c r="E155" t="s">
        <v>463</v>
      </c>
      <c r="G155" t="s">
        <v>371</v>
      </c>
      <c r="I155" t="s">
        <v>236</v>
      </c>
      <c r="J155" t="s">
        <v>631</v>
      </c>
      <c r="K155">
        <v>0</v>
      </c>
      <c r="L155" t="s">
        <v>238</v>
      </c>
      <c r="N155" t="s">
        <v>346</v>
      </c>
      <c r="O155" t="s">
        <v>631</v>
      </c>
      <c r="P155">
        <v>9.6020104559308578E-5</v>
      </c>
      <c r="Q155" t="s">
        <v>238</v>
      </c>
      <c r="S155" t="s">
        <v>347</v>
      </c>
      <c r="T155" t="s">
        <v>631</v>
      </c>
      <c r="U155">
        <v>6.824845387722602E-5</v>
      </c>
      <c r="V155" t="s">
        <v>238</v>
      </c>
      <c r="X155">
        <v>1.1415525114155251E-4</v>
      </c>
      <c r="Y155">
        <v>2.1546544680075254E-5</v>
      </c>
      <c r="Z155" t="s">
        <v>631</v>
      </c>
      <c r="AA155" t="s">
        <v>25</v>
      </c>
      <c r="AC155" t="s">
        <v>22</v>
      </c>
      <c r="AD155" t="s">
        <v>631</v>
      </c>
      <c r="AE155">
        <v>7.4590181360118427E-5</v>
      </c>
      <c r="AG155" t="s">
        <v>97</v>
      </c>
      <c r="AH155" t="s">
        <v>631</v>
      </c>
      <c r="AI155">
        <v>0</v>
      </c>
    </row>
    <row r="156" spans="5:35" x14ac:dyDescent="0.45">
      <c r="E156" t="s">
        <v>464</v>
      </c>
      <c r="G156" t="s">
        <v>371</v>
      </c>
      <c r="I156" t="s">
        <v>236</v>
      </c>
      <c r="J156" t="s">
        <v>632</v>
      </c>
      <c r="K156">
        <v>0</v>
      </c>
      <c r="L156" t="s">
        <v>238</v>
      </c>
      <c r="N156" t="s">
        <v>346</v>
      </c>
      <c r="O156" t="s">
        <v>632</v>
      </c>
      <c r="P156">
        <v>8.842173732732635E-5</v>
      </c>
      <c r="Q156" t="s">
        <v>238</v>
      </c>
      <c r="S156" t="s">
        <v>347</v>
      </c>
      <c r="T156" t="s">
        <v>632</v>
      </c>
      <c r="U156">
        <v>5.8617873924495153E-5</v>
      </c>
      <c r="V156" t="s">
        <v>238</v>
      </c>
      <c r="X156">
        <v>1.1415525114155251E-4</v>
      </c>
      <c r="Y156">
        <v>1.4916838624667481E-5</v>
      </c>
      <c r="Z156" t="s">
        <v>632</v>
      </c>
      <c r="AA156" t="s">
        <v>25</v>
      </c>
      <c r="AC156" t="s">
        <v>22</v>
      </c>
      <c r="AD156" t="s">
        <v>632</v>
      </c>
      <c r="AE156">
        <v>7.1144926105142574E-5</v>
      </c>
      <c r="AG156" t="s">
        <v>97</v>
      </c>
      <c r="AH156" t="s">
        <v>632</v>
      </c>
      <c r="AI156">
        <v>0</v>
      </c>
    </row>
    <row r="157" spans="5:35" x14ac:dyDescent="0.45">
      <c r="E157" t="s">
        <v>465</v>
      </c>
      <c r="G157" t="s">
        <v>371</v>
      </c>
      <c r="I157" t="s">
        <v>236</v>
      </c>
      <c r="J157" t="s">
        <v>633</v>
      </c>
      <c r="K157">
        <v>0</v>
      </c>
      <c r="L157" t="s">
        <v>238</v>
      </c>
      <c r="N157" t="s">
        <v>346</v>
      </c>
      <c r="O157" t="s">
        <v>633</v>
      </c>
      <c r="P157">
        <v>9.0694207383262279E-5</v>
      </c>
      <c r="Q157" t="s">
        <v>238</v>
      </c>
      <c r="S157" t="s">
        <v>347</v>
      </c>
      <c r="T157" t="s">
        <v>633</v>
      </c>
      <c r="U157">
        <v>5.4986067175418438E-5</v>
      </c>
      <c r="V157" t="s">
        <v>238</v>
      </c>
      <c r="X157">
        <v>1.1415525114155251E-4</v>
      </c>
      <c r="Y157">
        <v>1.6574265138519424E-5</v>
      </c>
      <c r="Z157" t="s">
        <v>633</v>
      </c>
      <c r="AA157" t="s">
        <v>25</v>
      </c>
      <c r="AC157" t="s">
        <v>22</v>
      </c>
      <c r="AD157" t="s">
        <v>633</v>
      </c>
      <c r="AE157">
        <v>6.9321979065072175E-5</v>
      </c>
      <c r="AG157" t="s">
        <v>97</v>
      </c>
      <c r="AH157" t="s">
        <v>633</v>
      </c>
      <c r="AI157">
        <v>0</v>
      </c>
    </row>
    <row r="158" spans="5:35" x14ac:dyDescent="0.45">
      <c r="E158" t="s">
        <v>466</v>
      </c>
      <c r="G158" t="s">
        <v>371</v>
      </c>
      <c r="I158" t="s">
        <v>236</v>
      </c>
      <c r="J158" t="s">
        <v>634</v>
      </c>
      <c r="K158">
        <v>0</v>
      </c>
      <c r="L158" t="s">
        <v>238</v>
      </c>
      <c r="N158" t="s">
        <v>346</v>
      </c>
      <c r="O158" t="s">
        <v>634</v>
      </c>
      <c r="P158">
        <v>1.022502511586E-4</v>
      </c>
      <c r="Q158" t="s">
        <v>238</v>
      </c>
      <c r="S158" t="s">
        <v>347</v>
      </c>
      <c r="T158" t="s">
        <v>634</v>
      </c>
      <c r="U158">
        <v>4.5944008886942729E-5</v>
      </c>
      <c r="V158" t="s">
        <v>238</v>
      </c>
      <c r="X158">
        <v>1.1415525114155251E-4</v>
      </c>
      <c r="Y158">
        <v>1.4585353321897093E-5</v>
      </c>
      <c r="Z158" t="s">
        <v>634</v>
      </c>
      <c r="AA158" t="s">
        <v>25</v>
      </c>
      <c r="AC158" t="s">
        <v>22</v>
      </c>
      <c r="AD158" t="s">
        <v>634</v>
      </c>
      <c r="AE158">
        <v>6.9256054879660836E-5</v>
      </c>
      <c r="AG158" t="s">
        <v>97</v>
      </c>
      <c r="AH158" t="s">
        <v>634</v>
      </c>
      <c r="AI158">
        <v>0</v>
      </c>
    </row>
    <row r="159" spans="5:35" x14ac:dyDescent="0.45">
      <c r="E159" t="s">
        <v>467</v>
      </c>
      <c r="G159" t="s">
        <v>371</v>
      </c>
      <c r="I159" t="s">
        <v>236</v>
      </c>
      <c r="J159" t="s">
        <v>635</v>
      </c>
      <c r="K159">
        <v>0</v>
      </c>
      <c r="L159" t="s">
        <v>238</v>
      </c>
      <c r="N159" t="s">
        <v>346</v>
      </c>
      <c r="O159" t="s">
        <v>635</v>
      </c>
      <c r="P159">
        <v>1.1462281571590001E-4</v>
      </c>
      <c r="Q159" t="s">
        <v>238</v>
      </c>
      <c r="S159" t="s">
        <v>347</v>
      </c>
      <c r="T159" t="s">
        <v>635</v>
      </c>
      <c r="U159">
        <v>4.272740291902393E-5</v>
      </c>
      <c r="V159" t="s">
        <v>238</v>
      </c>
      <c r="X159">
        <v>1.1415525114155251E-4</v>
      </c>
      <c r="Y159">
        <v>2.1215059377304864E-5</v>
      </c>
      <c r="Z159" t="s">
        <v>635</v>
      </c>
      <c r="AA159" t="s">
        <v>25</v>
      </c>
      <c r="AC159" t="s">
        <v>22</v>
      </c>
      <c r="AD159" t="s">
        <v>635</v>
      </c>
      <c r="AE159">
        <v>6.7590752630791479E-5</v>
      </c>
      <c r="AG159" t="s">
        <v>97</v>
      </c>
      <c r="AH159" t="s">
        <v>635</v>
      </c>
      <c r="AI159">
        <v>0</v>
      </c>
    </row>
    <row r="160" spans="5:35" x14ac:dyDescent="0.45">
      <c r="E160" t="s">
        <v>468</v>
      </c>
      <c r="G160" t="s">
        <v>371</v>
      </c>
      <c r="I160" t="s">
        <v>236</v>
      </c>
      <c r="J160" t="s">
        <v>636</v>
      </c>
      <c r="K160">
        <v>5.8654664373344606E-5</v>
      </c>
      <c r="L160" t="s">
        <v>238</v>
      </c>
      <c r="N160" t="s">
        <v>346</v>
      </c>
      <c r="O160" t="s">
        <v>636</v>
      </c>
      <c r="P160">
        <v>1.3156770043610001E-4</v>
      </c>
      <c r="Q160" t="s">
        <v>238</v>
      </c>
      <c r="S160" t="s">
        <v>347</v>
      </c>
      <c r="T160" t="s">
        <v>636</v>
      </c>
      <c r="U160">
        <v>6.2834831478371752E-5</v>
      </c>
      <c r="V160" t="s">
        <v>238</v>
      </c>
      <c r="X160">
        <v>1.1415525114155251E-4</v>
      </c>
      <c r="Y160">
        <v>5.7678442682047593E-5</v>
      </c>
      <c r="Z160" t="s">
        <v>636</v>
      </c>
      <c r="AA160" t="s">
        <v>25</v>
      </c>
      <c r="AC160" t="s">
        <v>22</v>
      </c>
      <c r="AD160" t="s">
        <v>636</v>
      </c>
      <c r="AE160">
        <v>6.8694266169198895E-5</v>
      </c>
      <c r="AG160" t="s">
        <v>97</v>
      </c>
      <c r="AH160" t="s">
        <v>636</v>
      </c>
      <c r="AI160">
        <v>0</v>
      </c>
    </row>
    <row r="161" spans="5:35" x14ac:dyDescent="0.45">
      <c r="E161" t="s">
        <v>469</v>
      </c>
      <c r="G161" t="s">
        <v>371</v>
      </c>
      <c r="I161" t="s">
        <v>236</v>
      </c>
      <c r="J161" t="s">
        <v>637</v>
      </c>
      <c r="K161">
        <v>1.6820114463259999E-4</v>
      </c>
      <c r="L161" t="s">
        <v>238</v>
      </c>
      <c r="N161" t="s">
        <v>346</v>
      </c>
      <c r="O161" t="s">
        <v>637</v>
      </c>
      <c r="P161">
        <v>1.514323344071E-4</v>
      </c>
      <c r="Q161" t="s">
        <v>238</v>
      </c>
      <c r="S161" t="s">
        <v>347</v>
      </c>
      <c r="T161" t="s">
        <v>637</v>
      </c>
      <c r="U161">
        <v>8.8363109307285792E-5</v>
      </c>
      <c r="V161" t="s">
        <v>238</v>
      </c>
      <c r="X161">
        <v>1.1415525114155251E-4</v>
      </c>
      <c r="Y161">
        <v>1.6905750441289813E-4</v>
      </c>
      <c r="Z161" t="s">
        <v>637</v>
      </c>
      <c r="AA161" t="s">
        <v>25</v>
      </c>
      <c r="AC161" t="s">
        <v>22</v>
      </c>
      <c r="AD161" t="s">
        <v>637</v>
      </c>
      <c r="AE161">
        <v>7.3050994944209906E-5</v>
      </c>
      <c r="AG161" t="s">
        <v>97</v>
      </c>
      <c r="AH161" t="s">
        <v>637</v>
      </c>
      <c r="AI161">
        <v>0</v>
      </c>
    </row>
    <row r="162" spans="5:35" x14ac:dyDescent="0.45">
      <c r="E162" t="s">
        <v>470</v>
      </c>
      <c r="G162" t="s">
        <v>371</v>
      </c>
      <c r="I162" t="s">
        <v>236</v>
      </c>
      <c r="J162" t="s">
        <v>638</v>
      </c>
      <c r="K162">
        <v>2.8783937067240002E-4</v>
      </c>
      <c r="L162" t="s">
        <v>238</v>
      </c>
      <c r="N162" t="s">
        <v>346</v>
      </c>
      <c r="O162" t="s">
        <v>638</v>
      </c>
      <c r="P162">
        <v>1.5964107862730001E-4</v>
      </c>
      <c r="Q162" t="s">
        <v>238</v>
      </c>
      <c r="S162" t="s">
        <v>347</v>
      </c>
      <c r="T162" t="s">
        <v>638</v>
      </c>
      <c r="U162">
        <v>1.18844610021E-4</v>
      </c>
      <c r="V162" t="s">
        <v>238</v>
      </c>
      <c r="X162">
        <v>1.1415525114155251E-4</v>
      </c>
      <c r="Y162">
        <v>1.9060404909297337E-4</v>
      </c>
      <c r="Z162" t="s">
        <v>638</v>
      </c>
      <c r="AA162" t="s">
        <v>25</v>
      </c>
      <c r="AC162" t="s">
        <v>22</v>
      </c>
      <c r="AD162" t="s">
        <v>638</v>
      </c>
      <c r="AE162">
        <v>7.7003579799960059E-5</v>
      </c>
      <c r="AG162" t="s">
        <v>97</v>
      </c>
      <c r="AH162" t="s">
        <v>638</v>
      </c>
      <c r="AI162">
        <v>0</v>
      </c>
    </row>
    <row r="163" spans="5:35" x14ac:dyDescent="0.45">
      <c r="E163" t="s">
        <v>471</v>
      </c>
      <c r="G163" t="s">
        <v>371</v>
      </c>
      <c r="I163" t="s">
        <v>236</v>
      </c>
      <c r="J163" t="s">
        <v>639</v>
      </c>
      <c r="K163">
        <v>3.040051565813E-4</v>
      </c>
      <c r="L163" t="s">
        <v>238</v>
      </c>
      <c r="N163" t="s">
        <v>346</v>
      </c>
      <c r="O163" t="s">
        <v>639</v>
      </c>
      <c r="P163">
        <v>1.4559203016030001E-4</v>
      </c>
      <c r="Q163" t="s">
        <v>238</v>
      </c>
      <c r="S163" t="s">
        <v>347</v>
      </c>
      <c r="T163" t="s">
        <v>639</v>
      </c>
      <c r="U163">
        <v>1.5844826884320001E-4</v>
      </c>
      <c r="V163" t="s">
        <v>238</v>
      </c>
      <c r="X163">
        <v>1.1415525114155251E-4</v>
      </c>
      <c r="Y163">
        <v>1.4585353321897094E-4</v>
      </c>
      <c r="Z163" t="s">
        <v>639</v>
      </c>
      <c r="AA163" t="s">
        <v>25</v>
      </c>
      <c r="AC163" t="s">
        <v>22</v>
      </c>
      <c r="AD163" t="s">
        <v>639</v>
      </c>
      <c r="AE163">
        <v>8.9434588153396196E-5</v>
      </c>
      <c r="AG163" t="s">
        <v>97</v>
      </c>
      <c r="AH163" t="s">
        <v>639</v>
      </c>
      <c r="AI163">
        <v>0</v>
      </c>
    </row>
    <row r="164" spans="5:35" x14ac:dyDescent="0.45">
      <c r="E164" t="s">
        <v>472</v>
      </c>
      <c r="G164" t="s">
        <v>371</v>
      </c>
      <c r="I164" t="s">
        <v>236</v>
      </c>
      <c r="J164" t="s">
        <v>640</v>
      </c>
      <c r="K164">
        <v>3.664498044219E-4</v>
      </c>
      <c r="L164" t="s">
        <v>238</v>
      </c>
      <c r="N164" t="s">
        <v>346</v>
      </c>
      <c r="O164" t="s">
        <v>640</v>
      </c>
      <c r="P164">
        <v>1.4771495367839999E-4</v>
      </c>
      <c r="Q164" t="s">
        <v>238</v>
      </c>
      <c r="S164" t="s">
        <v>347</v>
      </c>
      <c r="T164" t="s">
        <v>640</v>
      </c>
      <c r="U164">
        <v>1.8740173523250001E-4</v>
      </c>
      <c r="V164" t="s">
        <v>238</v>
      </c>
      <c r="X164">
        <v>1.1415525114155251E-4</v>
      </c>
      <c r="Y164">
        <v>1.4452759200788939E-4</v>
      </c>
      <c r="Z164" t="s">
        <v>640</v>
      </c>
      <c r="AA164" t="s">
        <v>25</v>
      </c>
      <c r="AC164" t="s">
        <v>22</v>
      </c>
      <c r="AD164" t="s">
        <v>640</v>
      </c>
      <c r="AE164">
        <v>9.2057224225195611E-5</v>
      </c>
      <c r="AG164" t="s">
        <v>97</v>
      </c>
      <c r="AH164" t="s">
        <v>640</v>
      </c>
      <c r="AI164">
        <v>0</v>
      </c>
    </row>
    <row r="165" spans="5:35" x14ac:dyDescent="0.45">
      <c r="E165" t="s">
        <v>473</v>
      </c>
      <c r="G165" t="s">
        <v>371</v>
      </c>
      <c r="I165" t="s">
        <v>236</v>
      </c>
      <c r="J165" t="s">
        <v>641</v>
      </c>
      <c r="K165">
        <v>4.1930043525789998E-4</v>
      </c>
      <c r="L165" t="s">
        <v>238</v>
      </c>
      <c r="N165" t="s">
        <v>346</v>
      </c>
      <c r="O165" t="s">
        <v>641</v>
      </c>
      <c r="P165">
        <v>1.307591483585E-4</v>
      </c>
      <c r="Q165" t="s">
        <v>238</v>
      </c>
      <c r="S165" t="s">
        <v>347</v>
      </c>
      <c r="T165" t="s">
        <v>641</v>
      </c>
      <c r="U165">
        <v>1.8378413854150001E-4</v>
      </c>
      <c r="V165" t="s">
        <v>238</v>
      </c>
      <c r="X165">
        <v>1.1415525114155251E-4</v>
      </c>
      <c r="Y165">
        <v>1.408812536774151E-4</v>
      </c>
      <c r="Z165" t="s">
        <v>641</v>
      </c>
      <c r="AA165" t="s">
        <v>25</v>
      </c>
      <c r="AC165" t="s">
        <v>22</v>
      </c>
      <c r="AD165" t="s">
        <v>641</v>
      </c>
      <c r="AE165">
        <v>9.1896713165063627E-5</v>
      </c>
      <c r="AG165" t="s">
        <v>97</v>
      </c>
      <c r="AH165" t="s">
        <v>641</v>
      </c>
      <c r="AI165">
        <v>0</v>
      </c>
    </row>
    <row r="166" spans="5:35" x14ac:dyDescent="0.45">
      <c r="E166" t="s">
        <v>474</v>
      </c>
      <c r="G166" t="s">
        <v>371</v>
      </c>
      <c r="I166" t="s">
        <v>236</v>
      </c>
      <c r="J166" t="s">
        <v>642</v>
      </c>
      <c r="K166">
        <v>4.6306268237299999E-4</v>
      </c>
      <c r="L166" t="s">
        <v>238</v>
      </c>
      <c r="N166" t="s">
        <v>346</v>
      </c>
      <c r="O166" t="s">
        <v>642</v>
      </c>
      <c r="P166">
        <v>1.166956123951E-4</v>
      </c>
      <c r="Q166" t="s">
        <v>238</v>
      </c>
      <c r="S166" t="s">
        <v>347</v>
      </c>
      <c r="T166" t="s">
        <v>642</v>
      </c>
      <c r="U166">
        <v>1.8103079843970001E-4</v>
      </c>
      <c r="V166" t="s">
        <v>238</v>
      </c>
      <c r="X166">
        <v>1.1415525114155251E-4</v>
      </c>
      <c r="Y166">
        <v>1.4054976837464471E-4</v>
      </c>
      <c r="Z166" t="s">
        <v>642</v>
      </c>
      <c r="AA166" t="s">
        <v>25</v>
      </c>
      <c r="AC166" t="s">
        <v>22</v>
      </c>
      <c r="AD166" t="s">
        <v>642</v>
      </c>
      <c r="AE166">
        <v>9.2120282141676036E-5</v>
      </c>
      <c r="AG166" t="s">
        <v>97</v>
      </c>
      <c r="AH166" t="s">
        <v>642</v>
      </c>
      <c r="AI166">
        <v>0</v>
      </c>
    </row>
    <row r="167" spans="5:35" x14ac:dyDescent="0.45">
      <c r="E167" t="s">
        <v>475</v>
      </c>
      <c r="G167" t="s">
        <v>371</v>
      </c>
      <c r="I167" t="s">
        <v>236</v>
      </c>
      <c r="J167" t="s">
        <v>643</v>
      </c>
      <c r="K167">
        <v>4.4235548937209999E-4</v>
      </c>
      <c r="L167" t="s">
        <v>238</v>
      </c>
      <c r="N167" t="s">
        <v>346</v>
      </c>
      <c r="O167" t="s">
        <v>643</v>
      </c>
      <c r="P167">
        <v>1.120881171859E-4</v>
      </c>
      <c r="Q167" t="s">
        <v>238</v>
      </c>
      <c r="S167" t="s">
        <v>347</v>
      </c>
      <c r="T167" t="s">
        <v>643</v>
      </c>
      <c r="U167">
        <v>1.7283460242190001E-4</v>
      </c>
      <c r="V167" t="s">
        <v>238</v>
      </c>
      <c r="X167">
        <v>1.1415525114155251E-4</v>
      </c>
      <c r="Y167">
        <v>1.4253868019126702E-4</v>
      </c>
      <c r="Z167" t="s">
        <v>643</v>
      </c>
      <c r="AA167" t="s">
        <v>25</v>
      </c>
      <c r="AC167" t="s">
        <v>22</v>
      </c>
      <c r="AD167" t="s">
        <v>643</v>
      </c>
      <c r="AE167">
        <v>9.2108817065952338E-5</v>
      </c>
      <c r="AG167" t="s">
        <v>97</v>
      </c>
      <c r="AH167" t="s">
        <v>643</v>
      </c>
      <c r="AI167">
        <v>0</v>
      </c>
    </row>
    <row r="168" spans="5:35" x14ac:dyDescent="0.45">
      <c r="E168" t="s">
        <v>476</v>
      </c>
      <c r="G168" t="s">
        <v>371</v>
      </c>
      <c r="I168" t="s">
        <v>236</v>
      </c>
      <c r="J168" t="s">
        <v>644</v>
      </c>
      <c r="K168">
        <v>4.3000823768940002E-4</v>
      </c>
      <c r="L168" t="s">
        <v>238</v>
      </c>
      <c r="N168" t="s">
        <v>346</v>
      </c>
      <c r="O168" t="s">
        <v>644</v>
      </c>
      <c r="P168">
        <v>8.9552607050219919E-5</v>
      </c>
      <c r="Q168" t="s">
        <v>238</v>
      </c>
      <c r="S168" t="s">
        <v>347</v>
      </c>
      <c r="T168" t="s">
        <v>644</v>
      </c>
      <c r="U168">
        <v>1.643074612473E-4</v>
      </c>
      <c r="V168" t="s">
        <v>238</v>
      </c>
      <c r="X168">
        <v>1.1415525114155251E-4</v>
      </c>
      <c r="Y168">
        <v>1.4883690094390442E-4</v>
      </c>
      <c r="Z168" t="s">
        <v>644</v>
      </c>
      <c r="AA168" t="s">
        <v>25</v>
      </c>
      <c r="AC168" t="s">
        <v>22</v>
      </c>
      <c r="AD168" t="s">
        <v>644</v>
      </c>
      <c r="AE168">
        <v>9.0976640838235631E-5</v>
      </c>
      <c r="AG168" t="s">
        <v>97</v>
      </c>
      <c r="AH168" t="s">
        <v>644</v>
      </c>
      <c r="AI168">
        <v>0</v>
      </c>
    </row>
    <row r="169" spans="5:35" x14ac:dyDescent="0.45">
      <c r="E169" t="s">
        <v>477</v>
      </c>
      <c r="G169" t="s">
        <v>371</v>
      </c>
      <c r="I169" t="s">
        <v>236</v>
      </c>
      <c r="J169" t="s">
        <v>645</v>
      </c>
      <c r="K169">
        <v>4.2295784820540002E-4</v>
      </c>
      <c r="L169" t="s">
        <v>238</v>
      </c>
      <c r="N169" t="s">
        <v>346</v>
      </c>
      <c r="O169" t="s">
        <v>645</v>
      </c>
      <c r="P169">
        <v>7.1594403093973015E-5</v>
      </c>
      <c r="Q169" t="s">
        <v>238</v>
      </c>
      <c r="S169" t="s">
        <v>347</v>
      </c>
      <c r="T169" t="s">
        <v>645</v>
      </c>
      <c r="U169">
        <v>1.485734195561E-4</v>
      </c>
      <c r="V169" t="s">
        <v>238</v>
      </c>
      <c r="X169">
        <v>1.1415525114155251E-4</v>
      </c>
      <c r="Y169">
        <v>1.5049432745775637E-4</v>
      </c>
      <c r="Z169" t="s">
        <v>645</v>
      </c>
      <c r="AA169" t="s">
        <v>25</v>
      </c>
      <c r="AC169" t="s">
        <v>22</v>
      </c>
      <c r="AD169" t="s">
        <v>645</v>
      </c>
      <c r="AE169">
        <v>9.0549566767527323E-5</v>
      </c>
      <c r="AG169" t="s">
        <v>97</v>
      </c>
      <c r="AH169" t="s">
        <v>645</v>
      </c>
      <c r="AI169">
        <v>0</v>
      </c>
    </row>
    <row r="170" spans="5:35" x14ac:dyDescent="0.45">
      <c r="E170" t="s">
        <v>478</v>
      </c>
      <c r="G170" t="s">
        <v>371</v>
      </c>
      <c r="I170" t="s">
        <v>236</v>
      </c>
      <c r="J170" t="s">
        <v>646</v>
      </c>
      <c r="K170">
        <v>4.0008748324129998E-4</v>
      </c>
      <c r="L170" t="s">
        <v>238</v>
      </c>
      <c r="N170" t="s">
        <v>346</v>
      </c>
      <c r="O170" t="s">
        <v>646</v>
      </c>
      <c r="P170">
        <v>5.5460795361208041E-5</v>
      </c>
      <c r="Q170" t="s">
        <v>238</v>
      </c>
      <c r="S170" t="s">
        <v>347</v>
      </c>
      <c r="T170" t="s">
        <v>646</v>
      </c>
      <c r="U170">
        <v>1.2751899014879999E-4</v>
      </c>
      <c r="V170" t="s">
        <v>238</v>
      </c>
      <c r="X170">
        <v>1.1415525114155251E-4</v>
      </c>
      <c r="Y170">
        <v>1.7237235744060203E-4</v>
      </c>
      <c r="Z170" t="s">
        <v>646</v>
      </c>
      <c r="AA170" t="s">
        <v>25</v>
      </c>
      <c r="AC170" t="s">
        <v>22</v>
      </c>
      <c r="AD170" t="s">
        <v>646</v>
      </c>
      <c r="AE170">
        <v>9.0065167318200418E-5</v>
      </c>
      <c r="AG170" t="s">
        <v>97</v>
      </c>
      <c r="AH170" t="s">
        <v>646</v>
      </c>
      <c r="AI170">
        <v>0</v>
      </c>
    </row>
    <row r="171" spans="5:35" x14ac:dyDescent="0.45">
      <c r="E171" t="s">
        <v>479</v>
      </c>
      <c r="G171" t="s">
        <v>371</v>
      </c>
      <c r="I171" t="s">
        <v>236</v>
      </c>
      <c r="J171" t="s">
        <v>647</v>
      </c>
      <c r="K171">
        <v>3.2060085139149998E-4</v>
      </c>
      <c r="L171" t="s">
        <v>238</v>
      </c>
      <c r="N171" t="s">
        <v>346</v>
      </c>
      <c r="O171" t="s">
        <v>647</v>
      </c>
      <c r="P171">
        <v>3.7936472207936473E-5</v>
      </c>
      <c r="Q171" t="s">
        <v>238</v>
      </c>
      <c r="S171" t="s">
        <v>347</v>
      </c>
      <c r="T171" t="s">
        <v>647</v>
      </c>
      <c r="U171">
        <v>9.5305487660522623E-5</v>
      </c>
      <c r="V171" t="s">
        <v>238</v>
      </c>
      <c r="X171">
        <v>1.1415525114155251E-4</v>
      </c>
      <c r="Y171">
        <v>2.2209515285616027E-4</v>
      </c>
      <c r="Z171" t="s">
        <v>647</v>
      </c>
      <c r="AA171" t="s">
        <v>25</v>
      </c>
      <c r="AC171" t="s">
        <v>22</v>
      </c>
      <c r="AD171" t="s">
        <v>647</v>
      </c>
      <c r="AE171">
        <v>9.1045431292577898E-5</v>
      </c>
      <c r="AG171" t="s">
        <v>97</v>
      </c>
      <c r="AH171" t="s">
        <v>647</v>
      </c>
      <c r="AI171">
        <v>0</v>
      </c>
    </row>
    <row r="172" spans="5:35" x14ac:dyDescent="0.45">
      <c r="E172" t="s">
        <v>480</v>
      </c>
      <c r="G172" t="s">
        <v>371</v>
      </c>
      <c r="I172" t="s">
        <v>236</v>
      </c>
      <c r="J172" t="s">
        <v>648</v>
      </c>
      <c r="K172">
        <v>2.6214891203500001E-4</v>
      </c>
      <c r="L172" t="s">
        <v>238</v>
      </c>
      <c r="N172" t="s">
        <v>346</v>
      </c>
      <c r="O172" t="s">
        <v>648</v>
      </c>
      <c r="P172">
        <v>2.8653529650223103E-5</v>
      </c>
      <c r="Q172" t="s">
        <v>238</v>
      </c>
      <c r="S172" t="s">
        <v>347</v>
      </c>
      <c r="T172" t="s">
        <v>648</v>
      </c>
      <c r="U172">
        <v>6.8756819853930232E-5</v>
      </c>
      <c r="V172" t="s">
        <v>238</v>
      </c>
      <c r="X172">
        <v>1.1415525114155251E-4</v>
      </c>
      <c r="Y172">
        <v>2.2209515285616027E-4</v>
      </c>
      <c r="Z172" t="s">
        <v>648</v>
      </c>
      <c r="AA172" t="s">
        <v>25</v>
      </c>
      <c r="AC172" t="s">
        <v>22</v>
      </c>
      <c r="AD172" t="s">
        <v>648</v>
      </c>
      <c r="AE172">
        <v>9.1045431292577925E-5</v>
      </c>
      <c r="AG172" t="s">
        <v>97</v>
      </c>
      <c r="AH172" t="s">
        <v>648</v>
      </c>
      <c r="AI172">
        <v>0</v>
      </c>
    </row>
    <row r="173" spans="5:35" x14ac:dyDescent="0.45">
      <c r="E173" t="s">
        <v>481</v>
      </c>
      <c r="G173" t="s">
        <v>371</v>
      </c>
      <c r="I173" t="s">
        <v>236</v>
      </c>
      <c r="J173" t="s">
        <v>649</v>
      </c>
      <c r="K173">
        <v>1.7445391429809999E-4</v>
      </c>
      <c r="L173" t="s">
        <v>238</v>
      </c>
      <c r="N173" t="s">
        <v>346</v>
      </c>
      <c r="O173" t="s">
        <v>649</v>
      </c>
      <c r="P173">
        <v>2.4402739387710229E-5</v>
      </c>
      <c r="Q173" t="s">
        <v>238</v>
      </c>
      <c r="S173" t="s">
        <v>347</v>
      </c>
      <c r="T173" t="s">
        <v>649</v>
      </c>
      <c r="U173">
        <v>6.3429575402803941E-5</v>
      </c>
      <c r="V173" t="s">
        <v>238</v>
      </c>
      <c r="X173">
        <v>1.1415525114155251E-4</v>
      </c>
      <c r="Y173">
        <v>1.7237235744060203E-4</v>
      </c>
      <c r="Z173" t="s">
        <v>649</v>
      </c>
      <c r="AA173" t="s">
        <v>25</v>
      </c>
      <c r="AC173" t="s">
        <v>22</v>
      </c>
      <c r="AD173" t="s">
        <v>649</v>
      </c>
      <c r="AE173">
        <v>9.1386517295358386E-5</v>
      </c>
      <c r="AG173" t="s">
        <v>97</v>
      </c>
      <c r="AH173" t="s">
        <v>649</v>
      </c>
      <c r="AI173">
        <v>0</v>
      </c>
    </row>
    <row r="174" spans="5:35" x14ac:dyDescent="0.45">
      <c r="E174" t="s">
        <v>482</v>
      </c>
      <c r="G174" t="s">
        <v>371</v>
      </c>
      <c r="I174" t="s">
        <v>236</v>
      </c>
      <c r="J174" t="s">
        <v>650</v>
      </c>
      <c r="K174">
        <v>7.2923524245613547E-5</v>
      </c>
      <c r="L174" t="s">
        <v>238</v>
      </c>
      <c r="N174" t="s">
        <v>346</v>
      </c>
      <c r="O174" t="s">
        <v>650</v>
      </c>
      <c r="P174">
        <v>2.7161895999727259E-5</v>
      </c>
      <c r="Q174" t="s">
        <v>238</v>
      </c>
      <c r="S174" t="s">
        <v>347</v>
      </c>
      <c r="T174" t="s">
        <v>650</v>
      </c>
      <c r="U174">
        <v>5.8249544076213279E-5</v>
      </c>
      <c r="V174" t="s">
        <v>238</v>
      </c>
      <c r="X174">
        <v>1.1415525114155251E-4</v>
      </c>
      <c r="Y174">
        <v>1.5579809230208258E-4</v>
      </c>
      <c r="Z174" t="s">
        <v>650</v>
      </c>
      <c r="AA174" t="s">
        <v>25</v>
      </c>
      <c r="AC174" t="s">
        <v>22</v>
      </c>
      <c r="AD174" t="s">
        <v>650</v>
      </c>
      <c r="AE174">
        <v>8.8649230466321833E-5</v>
      </c>
      <c r="AG174" t="s">
        <v>97</v>
      </c>
      <c r="AH174" t="s">
        <v>650</v>
      </c>
      <c r="AI174">
        <v>0</v>
      </c>
    </row>
    <row r="175" spans="5:35" x14ac:dyDescent="0.45">
      <c r="E175" t="s">
        <v>483</v>
      </c>
      <c r="G175" t="s">
        <v>371</v>
      </c>
      <c r="I175" t="s">
        <v>236</v>
      </c>
      <c r="J175" t="s">
        <v>651</v>
      </c>
      <c r="K175">
        <v>2.2951421042146638E-5</v>
      </c>
      <c r="L175" t="s">
        <v>238</v>
      </c>
      <c r="N175" t="s">
        <v>346</v>
      </c>
      <c r="O175" t="s">
        <v>651</v>
      </c>
      <c r="P175">
        <v>2.7905862457884323E-5</v>
      </c>
      <c r="Q175" t="s">
        <v>238</v>
      </c>
      <c r="S175" t="s">
        <v>347</v>
      </c>
      <c r="T175" t="s">
        <v>651</v>
      </c>
      <c r="U175">
        <v>4.5137877697825563E-5</v>
      </c>
      <c r="V175" t="s">
        <v>238</v>
      </c>
      <c r="X175">
        <v>1.1415525114155251E-4</v>
      </c>
      <c r="Y175">
        <v>1.093901499142282E-4</v>
      </c>
      <c r="Z175" t="s">
        <v>651</v>
      </c>
      <c r="AA175" t="s">
        <v>25</v>
      </c>
      <c r="AC175" t="s">
        <v>22</v>
      </c>
      <c r="AD175" t="s">
        <v>651</v>
      </c>
      <c r="AE175">
        <v>8.905624065451366E-5</v>
      </c>
      <c r="AG175" t="s">
        <v>97</v>
      </c>
      <c r="AH175" t="s">
        <v>651</v>
      </c>
      <c r="AI175">
        <v>0</v>
      </c>
    </row>
    <row r="176" spans="5:35" x14ac:dyDescent="0.45">
      <c r="E176" t="s">
        <v>484</v>
      </c>
      <c r="G176" t="s">
        <v>371</v>
      </c>
      <c r="I176" t="s">
        <v>236</v>
      </c>
      <c r="J176" t="s">
        <v>652</v>
      </c>
      <c r="K176">
        <v>0</v>
      </c>
      <c r="L176" t="s">
        <v>238</v>
      </c>
      <c r="N176" t="s">
        <v>346</v>
      </c>
      <c r="O176" t="s">
        <v>652</v>
      </c>
      <c r="P176">
        <v>2.3807920252968417E-5</v>
      </c>
      <c r="Q176" t="s">
        <v>238</v>
      </c>
      <c r="S176" t="s">
        <v>347</v>
      </c>
      <c r="T176" t="s">
        <v>652</v>
      </c>
      <c r="U176">
        <v>3.3006503326831923E-5</v>
      </c>
      <c r="V176" t="s">
        <v>238</v>
      </c>
      <c r="X176">
        <v>1.1415525114155251E-4</v>
      </c>
      <c r="Y176">
        <v>7.9556472664893237E-5</v>
      </c>
      <c r="Z176" t="s">
        <v>652</v>
      </c>
      <c r="AA176" t="s">
        <v>25</v>
      </c>
      <c r="AC176" t="s">
        <v>22</v>
      </c>
      <c r="AD176" t="s">
        <v>652</v>
      </c>
      <c r="AE176">
        <v>8.7067050016449409E-5</v>
      </c>
      <c r="AG176" t="s">
        <v>97</v>
      </c>
      <c r="AH176" t="s">
        <v>652</v>
      </c>
      <c r="AI176">
        <v>0</v>
      </c>
    </row>
    <row r="177" spans="5:35" x14ac:dyDescent="0.45">
      <c r="E177" t="s">
        <v>485</v>
      </c>
      <c r="G177" t="s">
        <v>371</v>
      </c>
      <c r="I177" t="s">
        <v>236</v>
      </c>
      <c r="J177" t="s">
        <v>653</v>
      </c>
      <c r="K177">
        <v>0</v>
      </c>
      <c r="L177" t="s">
        <v>238</v>
      </c>
      <c r="N177" t="s">
        <v>346</v>
      </c>
      <c r="O177" t="s">
        <v>653</v>
      </c>
      <c r="P177">
        <v>2.0882738336887981E-5</v>
      </c>
      <c r="Q177" t="s">
        <v>238</v>
      </c>
      <c r="S177" t="s">
        <v>347</v>
      </c>
      <c r="T177" t="s">
        <v>653</v>
      </c>
      <c r="U177">
        <v>2.0029551960882932E-5</v>
      </c>
      <c r="V177" t="s">
        <v>238</v>
      </c>
      <c r="X177">
        <v>1.1415525114155251E-4</v>
      </c>
      <c r="Y177">
        <v>5.6352501470966035E-5</v>
      </c>
      <c r="Z177" t="s">
        <v>653</v>
      </c>
      <c r="AA177" t="s">
        <v>25</v>
      </c>
      <c r="AC177" t="s">
        <v>22</v>
      </c>
      <c r="AD177" t="s">
        <v>653</v>
      </c>
      <c r="AE177">
        <v>9.9592645244606163E-5</v>
      </c>
      <c r="AG177" t="s">
        <v>97</v>
      </c>
      <c r="AH177" t="s">
        <v>653</v>
      </c>
      <c r="AI177">
        <v>0</v>
      </c>
    </row>
    <row r="178" spans="5:35" x14ac:dyDescent="0.45">
      <c r="E178" t="s">
        <v>486</v>
      </c>
      <c r="G178" t="s">
        <v>371</v>
      </c>
      <c r="I178" t="s">
        <v>236</v>
      </c>
      <c r="J178" t="s">
        <v>654</v>
      </c>
      <c r="K178">
        <v>0</v>
      </c>
      <c r="L178" t="s">
        <v>238</v>
      </c>
      <c r="N178" t="s">
        <v>346</v>
      </c>
      <c r="O178" t="s">
        <v>654</v>
      </c>
      <c r="P178">
        <v>8.4545643384501763E-6</v>
      </c>
      <c r="Q178" t="s">
        <v>238</v>
      </c>
      <c r="S178" t="s">
        <v>347</v>
      </c>
      <c r="T178" t="s">
        <v>654</v>
      </c>
      <c r="U178">
        <v>1.4984030033363296E-5</v>
      </c>
      <c r="V178" t="s">
        <v>238</v>
      </c>
      <c r="X178">
        <v>1.1415525114155251E-4</v>
      </c>
      <c r="Y178">
        <v>2.9833677249334962E-5</v>
      </c>
      <c r="Z178" t="s">
        <v>654</v>
      </c>
      <c r="AA178" t="s">
        <v>25</v>
      </c>
      <c r="AC178" t="s">
        <v>22</v>
      </c>
      <c r="AD178" t="s">
        <v>654</v>
      </c>
      <c r="AE178">
        <v>8.892152601476004E-5</v>
      </c>
      <c r="AG178" t="s">
        <v>97</v>
      </c>
      <c r="AH178" t="s">
        <v>654</v>
      </c>
      <c r="AI178">
        <v>0</v>
      </c>
    </row>
    <row r="179" spans="5:35" x14ac:dyDescent="0.45">
      <c r="E179" t="s">
        <v>202</v>
      </c>
      <c r="G179" t="s">
        <v>373</v>
      </c>
      <c r="I179" t="s">
        <v>236</v>
      </c>
      <c r="J179" t="s">
        <v>655</v>
      </c>
      <c r="K179">
        <v>0</v>
      </c>
      <c r="L179" t="s">
        <v>238</v>
      </c>
      <c r="N179" t="s">
        <v>346</v>
      </c>
      <c r="O179" t="s">
        <v>655</v>
      </c>
      <c r="P179">
        <v>7.8754746536389956E-5</v>
      </c>
      <c r="Q179" t="s">
        <v>238</v>
      </c>
      <c r="S179" t="s">
        <v>347</v>
      </c>
      <c r="T179" t="s">
        <v>655</v>
      </c>
      <c r="U179">
        <v>5.0403738017174607E-5</v>
      </c>
      <c r="V179" t="s">
        <v>238</v>
      </c>
      <c r="X179">
        <v>1.1415525114155251E-4</v>
      </c>
      <c r="Y179">
        <v>2.1546544680075254E-5</v>
      </c>
      <c r="Z179" t="s">
        <v>655</v>
      </c>
      <c r="AA179" t="s">
        <v>25</v>
      </c>
      <c r="AC179" t="s">
        <v>22</v>
      </c>
      <c r="AD179" t="s">
        <v>655</v>
      </c>
      <c r="AE179">
        <v>6.7115100615077708E-5</v>
      </c>
      <c r="AG179" t="s">
        <v>97</v>
      </c>
      <c r="AH179" t="s">
        <v>655</v>
      </c>
      <c r="AI179">
        <v>0</v>
      </c>
    </row>
    <row r="180" spans="5:35" x14ac:dyDescent="0.45">
      <c r="E180" t="s">
        <v>203</v>
      </c>
      <c r="G180" t="s">
        <v>373</v>
      </c>
      <c r="I180" t="s">
        <v>236</v>
      </c>
      <c r="J180" t="s">
        <v>656</v>
      </c>
      <c r="K180">
        <v>0</v>
      </c>
      <c r="L180" t="s">
        <v>238</v>
      </c>
      <c r="N180" t="s">
        <v>346</v>
      </c>
      <c r="O180" t="s">
        <v>656</v>
      </c>
      <c r="P180">
        <v>6.2620767179446388E-5</v>
      </c>
      <c r="Q180" t="s">
        <v>238</v>
      </c>
      <c r="S180" t="s">
        <v>347</v>
      </c>
      <c r="T180" t="s">
        <v>656</v>
      </c>
      <c r="U180">
        <v>3.8752643587695992E-5</v>
      </c>
      <c r="V180" t="s">
        <v>238</v>
      </c>
      <c r="X180">
        <v>1.1415525114155251E-4</v>
      </c>
      <c r="Y180">
        <v>1.4916838624667481E-5</v>
      </c>
      <c r="Z180" t="s">
        <v>656</v>
      </c>
      <c r="AA180" t="s">
        <v>25</v>
      </c>
      <c r="AC180" t="s">
        <v>22</v>
      </c>
      <c r="AD180" t="s">
        <v>656</v>
      </c>
      <c r="AE180">
        <v>6.5295019843938237E-5</v>
      </c>
      <c r="AG180" t="s">
        <v>97</v>
      </c>
      <c r="AH180" t="s">
        <v>656</v>
      </c>
      <c r="AI180">
        <v>0</v>
      </c>
    </row>
    <row r="181" spans="5:35" x14ac:dyDescent="0.45">
      <c r="E181" t="s">
        <v>204</v>
      </c>
      <c r="G181" t="s">
        <v>373</v>
      </c>
      <c r="I181" t="s">
        <v>236</v>
      </c>
      <c r="J181" t="s">
        <v>657</v>
      </c>
      <c r="K181">
        <v>0</v>
      </c>
      <c r="L181" t="s">
        <v>238</v>
      </c>
      <c r="N181" t="s">
        <v>346</v>
      </c>
      <c r="O181" t="s">
        <v>657</v>
      </c>
      <c r="P181">
        <v>4.8481744185950607E-5</v>
      </c>
      <c r="Q181" t="s">
        <v>238</v>
      </c>
      <c r="S181" t="s">
        <v>347</v>
      </c>
      <c r="T181" t="s">
        <v>657</v>
      </c>
      <c r="U181">
        <v>2.965610691269327E-5</v>
      </c>
      <c r="V181" t="s">
        <v>238</v>
      </c>
      <c r="X181">
        <v>1.1415525114155251E-4</v>
      </c>
      <c r="Y181">
        <v>1.6574265138519424E-5</v>
      </c>
      <c r="Z181" t="s">
        <v>657</v>
      </c>
      <c r="AA181" t="s">
        <v>25</v>
      </c>
      <c r="AC181" t="s">
        <v>22</v>
      </c>
      <c r="AD181" t="s">
        <v>657</v>
      </c>
      <c r="AE181">
        <v>6.5295019843938237E-5</v>
      </c>
      <c r="AG181" t="s">
        <v>97</v>
      </c>
      <c r="AH181" t="s">
        <v>657</v>
      </c>
      <c r="AI181">
        <v>0</v>
      </c>
    </row>
    <row r="182" spans="5:35" x14ac:dyDescent="0.45">
      <c r="E182" t="s">
        <v>205</v>
      </c>
      <c r="G182" t="s">
        <v>373</v>
      </c>
      <c r="I182" t="s">
        <v>236</v>
      </c>
      <c r="J182" t="s">
        <v>658</v>
      </c>
      <c r="K182">
        <v>0</v>
      </c>
      <c r="L182" t="s">
        <v>238</v>
      </c>
      <c r="N182" t="s">
        <v>346</v>
      </c>
      <c r="O182" t="s">
        <v>658</v>
      </c>
      <c r="P182">
        <v>3.5024779813601112E-5</v>
      </c>
      <c r="Q182" t="s">
        <v>238</v>
      </c>
      <c r="S182" t="s">
        <v>347</v>
      </c>
      <c r="T182" t="s">
        <v>658</v>
      </c>
      <c r="U182">
        <v>2.0655443935861949E-5</v>
      </c>
      <c r="V182" t="s">
        <v>238</v>
      </c>
      <c r="X182">
        <v>1.1415525114155251E-4</v>
      </c>
      <c r="Y182">
        <v>1.4585353321897093E-5</v>
      </c>
      <c r="Z182" t="s">
        <v>658</v>
      </c>
      <c r="AA182" t="s">
        <v>25</v>
      </c>
      <c r="AC182" t="s">
        <v>22</v>
      </c>
      <c r="AD182" t="s">
        <v>658</v>
      </c>
      <c r="AE182">
        <v>6.6043116034910526E-5</v>
      </c>
      <c r="AG182" t="s">
        <v>97</v>
      </c>
      <c r="AH182" t="s">
        <v>658</v>
      </c>
      <c r="AI182">
        <v>0</v>
      </c>
    </row>
    <row r="183" spans="5:35" x14ac:dyDescent="0.45">
      <c r="E183" t="s">
        <v>206</v>
      </c>
      <c r="G183" t="s">
        <v>373</v>
      </c>
      <c r="I183" t="s">
        <v>236</v>
      </c>
      <c r="J183" t="s">
        <v>659</v>
      </c>
      <c r="K183">
        <v>0</v>
      </c>
      <c r="L183" t="s">
        <v>238</v>
      </c>
      <c r="N183" t="s">
        <v>346</v>
      </c>
      <c r="O183" t="s">
        <v>659</v>
      </c>
      <c r="P183">
        <v>2.274756732348428E-5</v>
      </c>
      <c r="Q183" t="s">
        <v>238</v>
      </c>
      <c r="S183" t="s">
        <v>347</v>
      </c>
      <c r="T183" t="s">
        <v>659</v>
      </c>
      <c r="U183">
        <v>1.3372479616743222E-5</v>
      </c>
      <c r="V183" t="s">
        <v>238</v>
      </c>
      <c r="X183">
        <v>1.1415525114155251E-4</v>
      </c>
      <c r="Y183">
        <v>2.1215059377304864E-5</v>
      </c>
      <c r="Z183" t="s">
        <v>659</v>
      </c>
      <c r="AA183" t="s">
        <v>25</v>
      </c>
      <c r="AC183" t="s">
        <v>22</v>
      </c>
      <c r="AD183" t="s">
        <v>659</v>
      </c>
      <c r="AE183">
        <v>7.5834290702961655E-5</v>
      </c>
      <c r="AG183" t="s">
        <v>97</v>
      </c>
      <c r="AH183" t="s">
        <v>659</v>
      </c>
      <c r="AI183">
        <v>0</v>
      </c>
    </row>
    <row r="184" spans="5:35" x14ac:dyDescent="0.45">
      <c r="E184" t="s">
        <v>207</v>
      </c>
      <c r="G184" t="s">
        <v>373</v>
      </c>
      <c r="I184" t="s">
        <v>236</v>
      </c>
      <c r="J184" t="s">
        <v>660</v>
      </c>
      <c r="K184">
        <v>0</v>
      </c>
      <c r="L184" t="s">
        <v>238</v>
      </c>
      <c r="N184" t="s">
        <v>346</v>
      </c>
      <c r="O184" t="s">
        <v>660</v>
      </c>
      <c r="P184">
        <v>1.5409307998802086E-5</v>
      </c>
      <c r="Q184" t="s">
        <v>238</v>
      </c>
      <c r="S184" t="s">
        <v>347</v>
      </c>
      <c r="T184" t="s">
        <v>660</v>
      </c>
      <c r="U184">
        <v>8.9891997255924775E-6</v>
      </c>
      <c r="V184" t="s">
        <v>238</v>
      </c>
      <c r="X184">
        <v>1.1415525114155251E-4</v>
      </c>
      <c r="Y184">
        <v>5.7678442682047593E-5</v>
      </c>
      <c r="Z184" t="s">
        <v>660</v>
      </c>
      <c r="AA184" t="s">
        <v>25</v>
      </c>
      <c r="AC184" t="s">
        <v>22</v>
      </c>
      <c r="AD184" t="s">
        <v>660</v>
      </c>
      <c r="AE184">
        <v>9.5597214981712431E-5</v>
      </c>
      <c r="AG184" t="s">
        <v>97</v>
      </c>
      <c r="AH184" t="s">
        <v>660</v>
      </c>
      <c r="AI184">
        <v>0</v>
      </c>
    </row>
    <row r="185" spans="5:35" x14ac:dyDescent="0.45">
      <c r="E185" t="s">
        <v>208</v>
      </c>
      <c r="G185" t="s">
        <v>373</v>
      </c>
      <c r="I185" t="s">
        <v>236</v>
      </c>
      <c r="J185" t="s">
        <v>661</v>
      </c>
      <c r="K185">
        <v>3.4144491119010874E-8</v>
      </c>
      <c r="L185" t="s">
        <v>238</v>
      </c>
      <c r="N185" t="s">
        <v>346</v>
      </c>
      <c r="O185" t="s">
        <v>661</v>
      </c>
      <c r="P185">
        <v>1.3084754611836489E-5</v>
      </c>
      <c r="Q185" t="s">
        <v>238</v>
      </c>
      <c r="S185" t="s">
        <v>347</v>
      </c>
      <c r="T185" t="s">
        <v>661</v>
      </c>
      <c r="U185">
        <v>7.3884468252039276E-6</v>
      </c>
      <c r="V185" t="s">
        <v>238</v>
      </c>
      <c r="X185">
        <v>1.1415525114155251E-4</v>
      </c>
      <c r="Y185">
        <v>1.6905750441289813E-4</v>
      </c>
      <c r="Z185" t="s">
        <v>661</v>
      </c>
      <c r="AA185" t="s">
        <v>25</v>
      </c>
      <c r="AC185" t="s">
        <v>22</v>
      </c>
      <c r="AD185" t="s">
        <v>661</v>
      </c>
      <c r="AE185">
        <v>1.115967281541543E-4</v>
      </c>
      <c r="AG185" t="s">
        <v>97</v>
      </c>
      <c r="AH185" t="s">
        <v>661</v>
      </c>
      <c r="AI185">
        <v>0</v>
      </c>
    </row>
    <row r="186" spans="5:35" x14ac:dyDescent="0.45">
      <c r="E186" t="s">
        <v>209</v>
      </c>
      <c r="G186" t="s">
        <v>373</v>
      </c>
      <c r="I186" t="s">
        <v>236</v>
      </c>
      <c r="J186" t="s">
        <v>662</v>
      </c>
      <c r="K186">
        <v>5.8998597463627431E-6</v>
      </c>
      <c r="L186" t="s">
        <v>238</v>
      </c>
      <c r="N186" t="s">
        <v>346</v>
      </c>
      <c r="O186" t="s">
        <v>662</v>
      </c>
      <c r="P186">
        <v>1.0312291597070038E-5</v>
      </c>
      <c r="Q186" t="s">
        <v>238</v>
      </c>
      <c r="S186" t="s">
        <v>347</v>
      </c>
      <c r="T186" t="s">
        <v>662</v>
      </c>
      <c r="U186">
        <v>7.8526544617481623E-6</v>
      </c>
      <c r="V186" t="s">
        <v>238</v>
      </c>
      <c r="X186">
        <v>1.1415525114155251E-4</v>
      </c>
      <c r="Y186">
        <v>1.9060404909297337E-4</v>
      </c>
      <c r="Z186" t="s">
        <v>662</v>
      </c>
      <c r="AA186" t="s">
        <v>25</v>
      </c>
      <c r="AC186" t="s">
        <v>22</v>
      </c>
      <c r="AD186" t="s">
        <v>662</v>
      </c>
      <c r="AE186">
        <v>1.2374970842129039E-4</v>
      </c>
      <c r="AG186" t="s">
        <v>97</v>
      </c>
      <c r="AH186" t="s">
        <v>662</v>
      </c>
      <c r="AI186">
        <v>0</v>
      </c>
    </row>
    <row r="187" spans="5:35" x14ac:dyDescent="0.45">
      <c r="E187" t="s">
        <v>210</v>
      </c>
      <c r="G187" t="s">
        <v>373</v>
      </c>
      <c r="I187" t="s">
        <v>236</v>
      </c>
      <c r="J187" t="s">
        <v>663</v>
      </c>
      <c r="K187">
        <v>1.1691646601908256E-5</v>
      </c>
      <c r="L187" t="s">
        <v>238</v>
      </c>
      <c r="N187" t="s">
        <v>346</v>
      </c>
      <c r="O187" t="s">
        <v>663</v>
      </c>
      <c r="P187">
        <v>8.0939110132505165E-6</v>
      </c>
      <c r="Q187" t="s">
        <v>238</v>
      </c>
      <c r="S187" t="s">
        <v>347</v>
      </c>
      <c r="T187" t="s">
        <v>663</v>
      </c>
      <c r="U187">
        <v>7.2565486533324377E-6</v>
      </c>
      <c r="V187" t="s">
        <v>238</v>
      </c>
      <c r="X187">
        <v>1.1415525114155251E-4</v>
      </c>
      <c r="Y187">
        <v>1.4585353321897094E-4</v>
      </c>
      <c r="Z187" t="s">
        <v>663</v>
      </c>
      <c r="AA187" t="s">
        <v>25</v>
      </c>
      <c r="AC187" t="s">
        <v>22</v>
      </c>
      <c r="AD187" t="s">
        <v>663</v>
      </c>
      <c r="AE187">
        <v>1.2884306831155001E-4</v>
      </c>
      <c r="AG187" t="s">
        <v>97</v>
      </c>
      <c r="AH187" t="s">
        <v>663</v>
      </c>
      <c r="AI187">
        <v>0</v>
      </c>
    </row>
    <row r="188" spans="5:35" x14ac:dyDescent="0.45">
      <c r="E188" t="s">
        <v>211</v>
      </c>
      <c r="G188" t="s">
        <v>373</v>
      </c>
      <c r="I188" t="s">
        <v>236</v>
      </c>
      <c r="J188" t="s">
        <v>664</v>
      </c>
      <c r="K188">
        <v>2.4271269854274324E-5</v>
      </c>
      <c r="L188" t="s">
        <v>238</v>
      </c>
      <c r="N188" t="s">
        <v>346</v>
      </c>
      <c r="O188" t="s">
        <v>664</v>
      </c>
      <c r="P188">
        <v>8.9781751169694002E-6</v>
      </c>
      <c r="Q188" t="s">
        <v>238</v>
      </c>
      <c r="S188" t="s">
        <v>347</v>
      </c>
      <c r="T188" t="s">
        <v>664</v>
      </c>
      <c r="U188">
        <v>7.7436895405579989E-6</v>
      </c>
      <c r="V188" t="s">
        <v>238</v>
      </c>
      <c r="X188">
        <v>1.1415525114155251E-4</v>
      </c>
      <c r="Y188">
        <v>1.4452759200788939E-4</v>
      </c>
      <c r="Z188" t="s">
        <v>664</v>
      </c>
      <c r="AA188" t="s">
        <v>25</v>
      </c>
      <c r="AC188" t="s">
        <v>22</v>
      </c>
      <c r="AD188" t="s">
        <v>664</v>
      </c>
      <c r="AE188">
        <v>1.2890899249696139E-4</v>
      </c>
      <c r="AG188" t="s">
        <v>97</v>
      </c>
      <c r="AH188" t="s">
        <v>664</v>
      </c>
      <c r="AI188">
        <v>0</v>
      </c>
    </row>
    <row r="189" spans="5:35" x14ac:dyDescent="0.45">
      <c r="E189" t="s">
        <v>212</v>
      </c>
      <c r="G189" t="s">
        <v>373</v>
      </c>
      <c r="I189" t="s">
        <v>236</v>
      </c>
      <c r="J189" t="s">
        <v>665</v>
      </c>
      <c r="K189">
        <v>4.4876190409686962E-5</v>
      </c>
      <c r="L189" t="s">
        <v>238</v>
      </c>
      <c r="N189" t="s">
        <v>346</v>
      </c>
      <c r="O189" t="s">
        <v>665</v>
      </c>
      <c r="P189">
        <v>9.6968945690961742E-6</v>
      </c>
      <c r="Q189" t="s">
        <v>238</v>
      </c>
      <c r="S189" t="s">
        <v>347</v>
      </c>
      <c r="T189" t="s">
        <v>665</v>
      </c>
      <c r="U189">
        <v>1.2330287585756752E-5</v>
      </c>
      <c r="V189" t="s">
        <v>238</v>
      </c>
      <c r="X189">
        <v>1.1415525114155251E-4</v>
      </c>
      <c r="Y189">
        <v>1.408812536774151E-4</v>
      </c>
      <c r="Z189" t="s">
        <v>665</v>
      </c>
      <c r="AA189" t="s">
        <v>25</v>
      </c>
      <c r="AC189" t="s">
        <v>22</v>
      </c>
      <c r="AD189" t="s">
        <v>665</v>
      </c>
      <c r="AE189">
        <v>1.278083452274849E-4</v>
      </c>
      <c r="AG189" t="s">
        <v>97</v>
      </c>
      <c r="AH189" t="s">
        <v>665</v>
      </c>
      <c r="AI189">
        <v>0</v>
      </c>
    </row>
    <row r="190" spans="5:35" x14ac:dyDescent="0.45">
      <c r="E190" t="s">
        <v>213</v>
      </c>
      <c r="G190" t="s">
        <v>373</v>
      </c>
      <c r="I190" t="s">
        <v>236</v>
      </c>
      <c r="J190" t="s">
        <v>666</v>
      </c>
      <c r="K190">
        <v>7.3350626394807207E-5</v>
      </c>
      <c r="L190" t="s">
        <v>238</v>
      </c>
      <c r="N190" t="s">
        <v>346</v>
      </c>
      <c r="O190" t="s">
        <v>666</v>
      </c>
      <c r="P190">
        <v>1.2236553197127912E-5</v>
      </c>
      <c r="Q190" t="s">
        <v>238</v>
      </c>
      <c r="S190" t="s">
        <v>347</v>
      </c>
      <c r="T190" t="s">
        <v>666</v>
      </c>
      <c r="U190">
        <v>1.463027731867886E-5</v>
      </c>
      <c r="V190" t="s">
        <v>238</v>
      </c>
      <c r="X190">
        <v>1.1415525114155251E-4</v>
      </c>
      <c r="Y190">
        <v>1.4054976837464471E-4</v>
      </c>
      <c r="Z190" t="s">
        <v>666</v>
      </c>
      <c r="AA190" t="s">
        <v>25</v>
      </c>
      <c r="AC190" t="s">
        <v>22</v>
      </c>
      <c r="AD190" t="s">
        <v>666</v>
      </c>
      <c r="AE190">
        <v>1.2697712723751565E-4</v>
      </c>
      <c r="AG190" t="s">
        <v>97</v>
      </c>
      <c r="AH190" t="s">
        <v>666</v>
      </c>
      <c r="AI190">
        <v>0</v>
      </c>
    </row>
    <row r="191" spans="5:35" x14ac:dyDescent="0.45">
      <c r="E191" t="s">
        <v>214</v>
      </c>
      <c r="G191" t="s">
        <v>373</v>
      </c>
      <c r="I191" t="s">
        <v>236</v>
      </c>
      <c r="J191" t="s">
        <v>667</v>
      </c>
      <c r="K191">
        <v>1.031725304408E-4</v>
      </c>
      <c r="L191" t="s">
        <v>238</v>
      </c>
      <c r="N191" t="s">
        <v>346</v>
      </c>
      <c r="O191" t="s">
        <v>667</v>
      </c>
      <c r="P191">
        <v>1.3735529348751976E-5</v>
      </c>
      <c r="Q191" t="s">
        <v>238</v>
      </c>
      <c r="S191" t="s">
        <v>347</v>
      </c>
      <c r="T191" t="s">
        <v>667</v>
      </c>
      <c r="U191">
        <v>1.7528991271401469E-5</v>
      </c>
      <c r="V191" t="s">
        <v>238</v>
      </c>
      <c r="X191">
        <v>1.1415525114155251E-4</v>
      </c>
      <c r="Y191">
        <v>1.4253868019126702E-4</v>
      </c>
      <c r="Z191" t="s">
        <v>667</v>
      </c>
      <c r="AA191" t="s">
        <v>25</v>
      </c>
      <c r="AC191" t="s">
        <v>22</v>
      </c>
      <c r="AD191" t="s">
        <v>667</v>
      </c>
      <c r="AE191">
        <v>1.27364073543191E-4</v>
      </c>
      <c r="AG191" t="s">
        <v>97</v>
      </c>
      <c r="AH191" t="s">
        <v>667</v>
      </c>
      <c r="AI191">
        <v>0</v>
      </c>
    </row>
    <row r="192" spans="5:35" x14ac:dyDescent="0.45">
      <c r="E192" t="s">
        <v>215</v>
      </c>
      <c r="G192" t="s">
        <v>373</v>
      </c>
      <c r="I192" t="s">
        <v>236</v>
      </c>
      <c r="J192" t="s">
        <v>668</v>
      </c>
      <c r="K192">
        <v>1.323837674391E-4</v>
      </c>
      <c r="L192" t="s">
        <v>238</v>
      </c>
      <c r="N192" t="s">
        <v>346</v>
      </c>
      <c r="O192" t="s">
        <v>668</v>
      </c>
      <c r="P192">
        <v>1.3997215297294631E-5</v>
      </c>
      <c r="Q192" t="s">
        <v>238</v>
      </c>
      <c r="S192" t="s">
        <v>347</v>
      </c>
      <c r="T192" t="s">
        <v>668</v>
      </c>
      <c r="U192">
        <v>1.9761120224883481E-5</v>
      </c>
      <c r="V192" t="s">
        <v>238</v>
      </c>
      <c r="X192">
        <v>1.1415525114155251E-4</v>
      </c>
      <c r="Y192">
        <v>1.4883690094390442E-4</v>
      </c>
      <c r="Z192" t="s">
        <v>668</v>
      </c>
      <c r="AA192" t="s">
        <v>25</v>
      </c>
      <c r="AC192" t="s">
        <v>22</v>
      </c>
      <c r="AD192" t="s">
        <v>668</v>
      </c>
      <c r="AE192">
        <v>1.2666183765511357E-4</v>
      </c>
      <c r="AG192" t="s">
        <v>97</v>
      </c>
      <c r="AH192" t="s">
        <v>668</v>
      </c>
      <c r="AI192">
        <v>0</v>
      </c>
    </row>
    <row r="193" spans="5:35" x14ac:dyDescent="0.45">
      <c r="E193" t="s">
        <v>216</v>
      </c>
      <c r="G193" t="s">
        <v>373</v>
      </c>
      <c r="I193" t="s">
        <v>236</v>
      </c>
      <c r="J193" t="s">
        <v>669</v>
      </c>
      <c r="K193">
        <v>1.7347829286009999E-4</v>
      </c>
      <c r="L193" t="s">
        <v>238</v>
      </c>
      <c r="N193" t="s">
        <v>346</v>
      </c>
      <c r="O193" t="s">
        <v>669</v>
      </c>
      <c r="P193">
        <v>1.6636868849121489E-5</v>
      </c>
      <c r="Q193" t="s">
        <v>238</v>
      </c>
      <c r="S193" t="s">
        <v>347</v>
      </c>
      <c r="T193" t="s">
        <v>669</v>
      </c>
      <c r="U193">
        <v>2.3284540294485275E-5</v>
      </c>
      <c r="V193" t="s">
        <v>238</v>
      </c>
      <c r="X193">
        <v>1.1415525114155251E-4</v>
      </c>
      <c r="Y193">
        <v>1.5049432745775637E-4</v>
      </c>
      <c r="Z193" t="s">
        <v>669</v>
      </c>
      <c r="AA193" t="s">
        <v>25</v>
      </c>
      <c r="AC193" t="s">
        <v>22</v>
      </c>
      <c r="AD193" t="s">
        <v>669</v>
      </c>
      <c r="AE193">
        <v>1.2573316652149277E-4</v>
      </c>
      <c r="AG193" t="s">
        <v>97</v>
      </c>
      <c r="AH193" t="s">
        <v>669</v>
      </c>
      <c r="AI193">
        <v>0</v>
      </c>
    </row>
    <row r="194" spans="5:35" x14ac:dyDescent="0.45">
      <c r="E194" t="s">
        <v>217</v>
      </c>
      <c r="G194" t="s">
        <v>373</v>
      </c>
      <c r="I194" t="s">
        <v>236</v>
      </c>
      <c r="J194" t="s">
        <v>670</v>
      </c>
      <c r="K194">
        <v>1.2426546181749999E-4</v>
      </c>
      <c r="L194" t="s">
        <v>238</v>
      </c>
      <c r="N194" t="s">
        <v>346</v>
      </c>
      <c r="O194" t="s">
        <v>670</v>
      </c>
      <c r="P194">
        <v>2.4044524086345121E-5</v>
      </c>
      <c r="Q194" t="s">
        <v>238</v>
      </c>
      <c r="S194" t="s">
        <v>347</v>
      </c>
      <c r="T194" t="s">
        <v>670</v>
      </c>
      <c r="U194">
        <v>2.5112216748613316E-5</v>
      </c>
      <c r="V194" t="s">
        <v>238</v>
      </c>
      <c r="X194">
        <v>1.1415525114155251E-4</v>
      </c>
      <c r="Y194">
        <v>1.7237235744060203E-4</v>
      </c>
      <c r="Z194" t="s">
        <v>670</v>
      </c>
      <c r="AA194" t="s">
        <v>25</v>
      </c>
      <c r="AC194" t="s">
        <v>22</v>
      </c>
      <c r="AD194" t="s">
        <v>670</v>
      </c>
      <c r="AE194">
        <v>1.2649846032605064E-4</v>
      </c>
      <c r="AG194" t="s">
        <v>97</v>
      </c>
      <c r="AH194" t="s">
        <v>670</v>
      </c>
      <c r="AI194">
        <v>0</v>
      </c>
    </row>
    <row r="195" spans="5:35" x14ac:dyDescent="0.45">
      <c r="E195" t="s">
        <v>218</v>
      </c>
      <c r="G195" t="s">
        <v>373</v>
      </c>
      <c r="I195" t="s">
        <v>236</v>
      </c>
      <c r="J195" t="s">
        <v>671</v>
      </c>
      <c r="K195">
        <v>7.8093112400751168E-5</v>
      </c>
      <c r="L195" t="s">
        <v>238</v>
      </c>
      <c r="N195" t="s">
        <v>346</v>
      </c>
      <c r="O195" t="s">
        <v>671</v>
      </c>
      <c r="P195">
        <v>2.5192151094813909E-5</v>
      </c>
      <c r="Q195" t="s">
        <v>238</v>
      </c>
      <c r="S195" t="s">
        <v>347</v>
      </c>
      <c r="T195" t="s">
        <v>671</v>
      </c>
      <c r="U195">
        <v>2.5693355708710855E-5</v>
      </c>
      <c r="V195" t="s">
        <v>238</v>
      </c>
      <c r="X195">
        <v>1.1415525114155251E-4</v>
      </c>
      <c r="Y195">
        <v>2.2209515285616027E-4</v>
      </c>
      <c r="Z195" t="s">
        <v>671</v>
      </c>
      <c r="AA195" t="s">
        <v>25</v>
      </c>
      <c r="AC195" t="s">
        <v>22</v>
      </c>
      <c r="AD195" t="s">
        <v>671</v>
      </c>
      <c r="AE195">
        <v>1.2585068354766085E-4</v>
      </c>
      <c r="AG195" t="s">
        <v>97</v>
      </c>
      <c r="AH195" t="s">
        <v>671</v>
      </c>
      <c r="AI195">
        <v>0</v>
      </c>
    </row>
    <row r="196" spans="5:35" x14ac:dyDescent="0.45">
      <c r="E196" t="s">
        <v>219</v>
      </c>
      <c r="G196" t="s">
        <v>373</v>
      </c>
      <c r="I196" t="s">
        <v>236</v>
      </c>
      <c r="J196" t="s">
        <v>672</v>
      </c>
      <c r="K196">
        <v>5.0461804619742413E-5</v>
      </c>
      <c r="L196" t="s">
        <v>238</v>
      </c>
      <c r="N196" t="s">
        <v>346</v>
      </c>
      <c r="O196" t="s">
        <v>672</v>
      </c>
      <c r="P196">
        <v>2.7076084865218605E-5</v>
      </c>
      <c r="Q196" t="s">
        <v>238</v>
      </c>
      <c r="S196" t="s">
        <v>347</v>
      </c>
      <c r="T196" t="s">
        <v>672</v>
      </c>
      <c r="U196">
        <v>2.6974056625012147E-5</v>
      </c>
      <c r="V196" t="s">
        <v>238</v>
      </c>
      <c r="X196">
        <v>1.1415525114155251E-4</v>
      </c>
      <c r="Y196">
        <v>2.2209515285616027E-4</v>
      </c>
      <c r="Z196" t="s">
        <v>672</v>
      </c>
      <c r="AA196" t="s">
        <v>25</v>
      </c>
      <c r="AC196" t="s">
        <v>22</v>
      </c>
      <c r="AD196" t="s">
        <v>672</v>
      </c>
      <c r="AE196">
        <v>1.2576469547973299E-4</v>
      </c>
      <c r="AG196" t="s">
        <v>97</v>
      </c>
      <c r="AH196" t="s">
        <v>672</v>
      </c>
      <c r="AI196">
        <v>0</v>
      </c>
    </row>
    <row r="197" spans="5:35" x14ac:dyDescent="0.45">
      <c r="E197" t="s">
        <v>220</v>
      </c>
      <c r="G197" t="s">
        <v>373</v>
      </c>
      <c r="I197" t="s">
        <v>236</v>
      </c>
      <c r="J197" t="s">
        <v>673</v>
      </c>
      <c r="K197">
        <v>8.5451688752776115E-6</v>
      </c>
      <c r="L197" t="s">
        <v>238</v>
      </c>
      <c r="N197" t="s">
        <v>346</v>
      </c>
      <c r="O197" t="s">
        <v>673</v>
      </c>
      <c r="P197">
        <v>2.9704337602146439E-5</v>
      </c>
      <c r="Q197" t="s">
        <v>238</v>
      </c>
      <c r="S197" t="s">
        <v>347</v>
      </c>
      <c r="T197" t="s">
        <v>673</v>
      </c>
      <c r="U197">
        <v>2.5918784890391831E-5</v>
      </c>
      <c r="V197" t="s">
        <v>238</v>
      </c>
      <c r="X197">
        <v>1.1415525114155251E-4</v>
      </c>
      <c r="Y197">
        <v>1.7237235744060203E-4</v>
      </c>
      <c r="Z197" t="s">
        <v>673</v>
      </c>
      <c r="AA197" t="s">
        <v>25</v>
      </c>
      <c r="AC197" t="s">
        <v>22</v>
      </c>
      <c r="AD197" t="s">
        <v>673</v>
      </c>
      <c r="AE197">
        <v>1.2552679515846594E-4</v>
      </c>
      <c r="AG197" t="s">
        <v>97</v>
      </c>
      <c r="AH197" t="s">
        <v>673</v>
      </c>
      <c r="AI197">
        <v>0</v>
      </c>
    </row>
    <row r="198" spans="5:35" x14ac:dyDescent="0.45">
      <c r="E198" t="s">
        <v>221</v>
      </c>
      <c r="G198" t="s">
        <v>373</v>
      </c>
      <c r="I198" t="s">
        <v>236</v>
      </c>
      <c r="J198" t="s">
        <v>674</v>
      </c>
      <c r="K198">
        <v>0</v>
      </c>
      <c r="L198" t="s">
        <v>238</v>
      </c>
      <c r="N198" t="s">
        <v>346</v>
      </c>
      <c r="O198" t="s">
        <v>674</v>
      </c>
      <c r="P198">
        <v>3.3345669711877365E-5</v>
      </c>
      <c r="Q198" t="s">
        <v>238</v>
      </c>
      <c r="S198" t="s">
        <v>347</v>
      </c>
      <c r="T198" t="s">
        <v>674</v>
      </c>
      <c r="U198">
        <v>2.535099521928049E-5</v>
      </c>
      <c r="V198" t="s">
        <v>238</v>
      </c>
      <c r="X198">
        <v>1.1415525114155251E-4</v>
      </c>
      <c r="Y198">
        <v>1.5579809230208258E-4</v>
      </c>
      <c r="Z198" t="s">
        <v>674</v>
      </c>
      <c r="AA198" t="s">
        <v>25</v>
      </c>
      <c r="AC198" t="s">
        <v>22</v>
      </c>
      <c r="AD198" t="s">
        <v>674</v>
      </c>
      <c r="AE198">
        <v>1.2227931245972415E-4</v>
      </c>
      <c r="AG198" t="s">
        <v>97</v>
      </c>
      <c r="AH198" t="s">
        <v>674</v>
      </c>
      <c r="AI198">
        <v>0</v>
      </c>
    </row>
    <row r="199" spans="5:35" x14ac:dyDescent="0.45">
      <c r="E199" t="s">
        <v>222</v>
      </c>
      <c r="G199" t="s">
        <v>373</v>
      </c>
      <c r="I199" t="s">
        <v>236</v>
      </c>
      <c r="J199" t="s">
        <v>675</v>
      </c>
      <c r="K199">
        <v>0</v>
      </c>
      <c r="L199" t="s">
        <v>238</v>
      </c>
      <c r="N199" t="s">
        <v>346</v>
      </c>
      <c r="O199" t="s">
        <v>675</v>
      </c>
      <c r="P199">
        <v>3.5711939590870593E-5</v>
      </c>
      <c r="Q199" t="s">
        <v>238</v>
      </c>
      <c r="S199" t="s">
        <v>347</v>
      </c>
      <c r="T199" t="s">
        <v>675</v>
      </c>
      <c r="U199">
        <v>2.644027696568111E-5</v>
      </c>
      <c r="V199" t="s">
        <v>238</v>
      </c>
      <c r="X199">
        <v>1.1415525114155251E-4</v>
      </c>
      <c r="Y199">
        <v>1.093901499142282E-4</v>
      </c>
      <c r="Z199" t="s">
        <v>675</v>
      </c>
      <c r="AA199" t="s">
        <v>25</v>
      </c>
      <c r="AC199" t="s">
        <v>22</v>
      </c>
      <c r="AD199" t="s">
        <v>675</v>
      </c>
      <c r="AE199">
        <v>1.0750942865865053E-4</v>
      </c>
      <c r="AG199" t="s">
        <v>97</v>
      </c>
      <c r="AH199" t="s">
        <v>675</v>
      </c>
      <c r="AI199">
        <v>0</v>
      </c>
    </row>
    <row r="200" spans="5:35" x14ac:dyDescent="0.45">
      <c r="E200" t="s">
        <v>223</v>
      </c>
      <c r="G200" t="s">
        <v>373</v>
      </c>
      <c r="I200" t="s">
        <v>236</v>
      </c>
      <c r="J200" t="s">
        <v>676</v>
      </c>
      <c r="K200">
        <v>0</v>
      </c>
      <c r="L200" t="s">
        <v>238</v>
      </c>
      <c r="N200" t="s">
        <v>346</v>
      </c>
      <c r="O200" t="s">
        <v>676</v>
      </c>
      <c r="P200">
        <v>3.9312242377103779E-5</v>
      </c>
      <c r="Q200" t="s">
        <v>238</v>
      </c>
      <c r="S200" t="s">
        <v>347</v>
      </c>
      <c r="T200" t="s">
        <v>676</v>
      </c>
      <c r="U200">
        <v>2.5759661296603613E-5</v>
      </c>
      <c r="V200" t="s">
        <v>238</v>
      </c>
      <c r="X200">
        <v>1.1415525114155251E-4</v>
      </c>
      <c r="Y200">
        <v>7.9556472664893237E-5</v>
      </c>
      <c r="Z200" t="s">
        <v>676</v>
      </c>
      <c r="AA200" t="s">
        <v>25</v>
      </c>
      <c r="AC200" t="s">
        <v>22</v>
      </c>
      <c r="AD200" t="s">
        <v>676</v>
      </c>
      <c r="AE200">
        <v>9.834883315540361E-5</v>
      </c>
      <c r="AG200" t="s">
        <v>97</v>
      </c>
      <c r="AH200" t="s">
        <v>676</v>
      </c>
      <c r="AI200">
        <v>0</v>
      </c>
    </row>
    <row r="201" spans="5:35" x14ac:dyDescent="0.45">
      <c r="E201" t="s">
        <v>224</v>
      </c>
      <c r="G201" t="s">
        <v>373</v>
      </c>
      <c r="I201" t="s">
        <v>236</v>
      </c>
      <c r="J201" t="s">
        <v>677</v>
      </c>
      <c r="K201">
        <v>0</v>
      </c>
      <c r="L201" t="s">
        <v>238</v>
      </c>
      <c r="N201" t="s">
        <v>346</v>
      </c>
      <c r="O201" t="s">
        <v>677</v>
      </c>
      <c r="P201">
        <v>5.383514277815686E-5</v>
      </c>
      <c r="Q201" t="s">
        <v>238</v>
      </c>
      <c r="S201" t="s">
        <v>347</v>
      </c>
      <c r="T201" t="s">
        <v>677</v>
      </c>
      <c r="U201">
        <v>2.6692504881058071E-5</v>
      </c>
      <c r="V201" t="s">
        <v>238</v>
      </c>
      <c r="X201">
        <v>1.1415525114155251E-4</v>
      </c>
      <c r="Y201">
        <v>5.6352501470966035E-5</v>
      </c>
      <c r="Z201" t="s">
        <v>677</v>
      </c>
      <c r="AA201" t="s">
        <v>25</v>
      </c>
      <c r="AC201" t="s">
        <v>22</v>
      </c>
      <c r="AD201" t="s">
        <v>677</v>
      </c>
      <c r="AE201">
        <v>8.723917477912544E-5</v>
      </c>
      <c r="AG201" t="s">
        <v>97</v>
      </c>
      <c r="AH201" t="s">
        <v>677</v>
      </c>
      <c r="AI201">
        <v>0</v>
      </c>
    </row>
    <row r="202" spans="5:35" x14ac:dyDescent="0.45">
      <c r="E202" t="s">
        <v>225</v>
      </c>
      <c r="G202" t="s">
        <v>373</v>
      </c>
      <c r="I202" t="s">
        <v>236</v>
      </c>
      <c r="J202" t="s">
        <v>678</v>
      </c>
      <c r="K202">
        <v>0</v>
      </c>
      <c r="L202" t="s">
        <v>238</v>
      </c>
      <c r="N202" t="s">
        <v>346</v>
      </c>
      <c r="O202" t="s">
        <v>678</v>
      </c>
      <c r="P202">
        <v>5.8450122792446646E-5</v>
      </c>
      <c r="Q202" t="s">
        <v>238</v>
      </c>
      <c r="S202" t="s">
        <v>347</v>
      </c>
      <c r="T202" t="s">
        <v>678</v>
      </c>
      <c r="U202">
        <v>2.9563474314482576E-5</v>
      </c>
      <c r="V202" t="s">
        <v>238</v>
      </c>
      <c r="X202">
        <v>1.1415525114155251E-4</v>
      </c>
      <c r="Y202">
        <v>2.9833677249334962E-5</v>
      </c>
      <c r="Z202" t="s">
        <v>678</v>
      </c>
      <c r="AA202" t="s">
        <v>25</v>
      </c>
      <c r="AC202" t="s">
        <v>22</v>
      </c>
      <c r="AD202" t="s">
        <v>678</v>
      </c>
      <c r="AE202">
        <v>7.4561667297629486E-5</v>
      </c>
      <c r="AG202" t="s">
        <v>97</v>
      </c>
      <c r="AH202" t="s">
        <v>678</v>
      </c>
      <c r="AI202">
        <v>0</v>
      </c>
    </row>
    <row r="203" spans="5:35" x14ac:dyDescent="0.45">
      <c r="E203" t="s">
        <v>487</v>
      </c>
      <c r="G203" t="s">
        <v>375</v>
      </c>
      <c r="I203" t="s">
        <v>236</v>
      </c>
      <c r="J203" t="s">
        <v>337</v>
      </c>
      <c r="K203">
        <v>0</v>
      </c>
      <c r="L203" t="s">
        <v>238</v>
      </c>
      <c r="N203" t="s">
        <v>346</v>
      </c>
      <c r="O203" t="s">
        <v>337</v>
      </c>
      <c r="P203">
        <v>2.8789893965614637E-2</v>
      </c>
      <c r="Q203" t="s">
        <v>238</v>
      </c>
      <c r="S203" t="s">
        <v>347</v>
      </c>
      <c r="T203" t="s">
        <v>337</v>
      </c>
      <c r="U203">
        <v>2.9420211732883013E-2</v>
      </c>
      <c r="V203" t="s">
        <v>238</v>
      </c>
      <c r="X203">
        <v>2.0547945205479451E-2</v>
      </c>
      <c r="Y203">
        <v>4.3954951147353507E-3</v>
      </c>
      <c r="Z203" t="s">
        <v>337</v>
      </c>
      <c r="AA203" t="s">
        <v>25</v>
      </c>
      <c r="AC203" t="s">
        <v>22</v>
      </c>
      <c r="AD203" t="s">
        <v>337</v>
      </c>
      <c r="AE203">
        <v>1.3288812062762953E-2</v>
      </c>
      <c r="AG203" t="s">
        <v>97</v>
      </c>
      <c r="AH203" t="s">
        <v>337</v>
      </c>
      <c r="AI203">
        <v>0.22725064566059183</v>
      </c>
    </row>
    <row r="204" spans="5:35" x14ac:dyDescent="0.45">
      <c r="E204" t="s">
        <v>488</v>
      </c>
      <c r="G204" t="s">
        <v>375</v>
      </c>
      <c r="I204" t="s">
        <v>236</v>
      </c>
      <c r="J204" t="s">
        <v>338</v>
      </c>
      <c r="K204">
        <v>5.6033372197025706E-5</v>
      </c>
      <c r="L204" t="s">
        <v>238</v>
      </c>
      <c r="N204" t="s">
        <v>346</v>
      </c>
      <c r="O204" t="s">
        <v>338</v>
      </c>
      <c r="P204">
        <v>4.9756394251055632E-3</v>
      </c>
      <c r="Q204" t="s">
        <v>238</v>
      </c>
      <c r="S204" t="s">
        <v>347</v>
      </c>
      <c r="T204" t="s">
        <v>338</v>
      </c>
      <c r="U204">
        <v>4.9025883727715144E-3</v>
      </c>
      <c r="V204" t="s">
        <v>238</v>
      </c>
      <c r="X204">
        <v>3.4246575342465752E-3</v>
      </c>
      <c r="Y204">
        <v>5.0717251323869452E-3</v>
      </c>
      <c r="Z204" t="s">
        <v>338</v>
      </c>
      <c r="AA204" t="s">
        <v>25</v>
      </c>
      <c r="AC204" t="s">
        <v>22</v>
      </c>
      <c r="AD204" t="s">
        <v>338</v>
      </c>
      <c r="AE204">
        <v>3.2115035594453634E-3</v>
      </c>
      <c r="AG204" t="s">
        <v>97</v>
      </c>
      <c r="AH204" t="s">
        <v>338</v>
      </c>
      <c r="AI204">
        <v>9.6880352805519099E-2</v>
      </c>
    </row>
    <row r="205" spans="5:35" x14ac:dyDescent="0.45">
      <c r="E205" t="s">
        <v>489</v>
      </c>
      <c r="G205" t="s">
        <v>375</v>
      </c>
      <c r="I205" t="s">
        <v>236</v>
      </c>
      <c r="J205" t="s">
        <v>339</v>
      </c>
      <c r="K205">
        <v>1.7271201743941781E-3</v>
      </c>
      <c r="L205" t="s">
        <v>238</v>
      </c>
      <c r="N205" t="s">
        <v>346</v>
      </c>
      <c r="O205" t="s">
        <v>339</v>
      </c>
      <c r="P205">
        <v>4.9850986315931366E-3</v>
      </c>
      <c r="Q205" t="s">
        <v>238</v>
      </c>
      <c r="S205" t="s">
        <v>347</v>
      </c>
      <c r="T205" t="s">
        <v>339</v>
      </c>
      <c r="U205">
        <v>4.8565190749464649E-3</v>
      </c>
      <c r="V205" t="s">
        <v>238</v>
      </c>
      <c r="X205">
        <v>3.4246575342465752E-3</v>
      </c>
      <c r="Y205">
        <v>5.7181214727892006E-3</v>
      </c>
      <c r="Z205" t="s">
        <v>339</v>
      </c>
      <c r="AA205" t="s">
        <v>25</v>
      </c>
      <c r="AC205" t="s">
        <v>22</v>
      </c>
      <c r="AD205" t="s">
        <v>339</v>
      </c>
      <c r="AE205">
        <v>3.5359537373507253E-3</v>
      </c>
      <c r="AG205" t="s">
        <v>97</v>
      </c>
      <c r="AH205" t="s">
        <v>339</v>
      </c>
      <c r="AI205">
        <v>8.7971893875467444E-2</v>
      </c>
    </row>
    <row r="206" spans="5:35" x14ac:dyDescent="0.45">
      <c r="E206" t="s">
        <v>490</v>
      </c>
      <c r="G206" t="s">
        <v>375</v>
      </c>
      <c r="I206" t="s">
        <v>236</v>
      </c>
      <c r="J206" t="s">
        <v>340</v>
      </c>
      <c r="K206">
        <v>3.8669880115744467E-3</v>
      </c>
      <c r="L206" t="s">
        <v>238</v>
      </c>
      <c r="N206" t="s">
        <v>346</v>
      </c>
      <c r="O206" t="s">
        <v>340</v>
      </c>
      <c r="P206">
        <v>4.8294494372146113E-3</v>
      </c>
      <c r="Q206" t="s">
        <v>238</v>
      </c>
      <c r="S206" t="s">
        <v>347</v>
      </c>
      <c r="T206" t="s">
        <v>340</v>
      </c>
      <c r="U206">
        <v>4.8149093122692027E-3</v>
      </c>
      <c r="V206" t="s">
        <v>238</v>
      </c>
      <c r="X206">
        <v>3.4246575342465752E-3</v>
      </c>
      <c r="Y206">
        <v>4.3756059965691279E-3</v>
      </c>
      <c r="Z206" t="s">
        <v>340</v>
      </c>
      <c r="AA206" t="s">
        <v>25</v>
      </c>
      <c r="AC206" t="s">
        <v>22</v>
      </c>
      <c r="AD206" t="s">
        <v>340</v>
      </c>
      <c r="AE206">
        <v>3.6443732259320203E-3</v>
      </c>
      <c r="AG206" t="s">
        <v>97</v>
      </c>
      <c r="AH206" t="s">
        <v>340</v>
      </c>
      <c r="AI206">
        <v>6.4001254722724665E-2</v>
      </c>
    </row>
    <row r="207" spans="5:35" x14ac:dyDescent="0.45">
      <c r="E207" t="s">
        <v>491</v>
      </c>
      <c r="G207" t="s">
        <v>375</v>
      </c>
      <c r="I207" t="s">
        <v>236</v>
      </c>
      <c r="J207" t="s">
        <v>341</v>
      </c>
      <c r="K207">
        <v>4.9832433806609087E-2</v>
      </c>
      <c r="L207" t="s">
        <v>238</v>
      </c>
      <c r="N207" t="s">
        <v>346</v>
      </c>
      <c r="O207" t="s">
        <v>341</v>
      </c>
      <c r="P207">
        <v>3.1407085104105115E-2</v>
      </c>
      <c r="Q207" t="s">
        <v>238</v>
      </c>
      <c r="S207" t="s">
        <v>347</v>
      </c>
      <c r="T207" t="s">
        <v>341</v>
      </c>
      <c r="U207">
        <v>3.1609037419203109E-2</v>
      </c>
      <c r="V207" t="s">
        <v>238</v>
      </c>
      <c r="X207">
        <v>2.3972602739726026E-2</v>
      </c>
      <c r="Y207">
        <v>3.1206026402804371E-2</v>
      </c>
      <c r="Z207" t="s">
        <v>341</v>
      </c>
      <c r="AA207" t="s">
        <v>25</v>
      </c>
      <c r="AC207" t="s">
        <v>22</v>
      </c>
      <c r="AD207" t="s">
        <v>341</v>
      </c>
      <c r="AE207">
        <v>2.5067131987455187E-2</v>
      </c>
      <c r="AG207" t="s">
        <v>97</v>
      </c>
      <c r="AH207" t="s">
        <v>341</v>
      </c>
      <c r="AI207">
        <v>7.3245526472338174E-2</v>
      </c>
    </row>
    <row r="208" spans="5:35" x14ac:dyDescent="0.45">
      <c r="E208" t="s">
        <v>492</v>
      </c>
      <c r="G208" t="s">
        <v>375</v>
      </c>
      <c r="I208" t="s">
        <v>236</v>
      </c>
      <c r="J208" t="s">
        <v>342</v>
      </c>
      <c r="K208">
        <v>4.5887985913370495E-3</v>
      </c>
      <c r="L208" t="s">
        <v>238</v>
      </c>
      <c r="N208" t="s">
        <v>346</v>
      </c>
      <c r="O208" t="s">
        <v>342</v>
      </c>
      <c r="P208">
        <v>4.609711215205127E-3</v>
      </c>
      <c r="Q208" t="s">
        <v>238</v>
      </c>
      <c r="S208" t="s">
        <v>347</v>
      </c>
      <c r="T208" t="s">
        <v>342</v>
      </c>
      <c r="U208">
        <v>4.5918238275771571E-3</v>
      </c>
      <c r="V208" t="s">
        <v>238</v>
      </c>
      <c r="X208">
        <v>3.4246575342465752E-3</v>
      </c>
      <c r="Y208">
        <v>6.662854585684809E-3</v>
      </c>
      <c r="Z208" t="s">
        <v>342</v>
      </c>
      <c r="AA208" t="s">
        <v>25</v>
      </c>
      <c r="AC208" t="s">
        <v>22</v>
      </c>
      <c r="AD208" t="s">
        <v>342</v>
      </c>
      <c r="AE208">
        <v>3.5629195954528991E-3</v>
      </c>
      <c r="AG208" t="s">
        <v>97</v>
      </c>
      <c r="AH208" t="s">
        <v>342</v>
      </c>
      <c r="AI208">
        <v>6.2873422120554689E-2</v>
      </c>
    </row>
    <row r="209" spans="5:35" x14ac:dyDescent="0.45">
      <c r="E209" t="s">
        <v>493</v>
      </c>
      <c r="G209" t="s">
        <v>375</v>
      </c>
      <c r="I209" t="s">
        <v>236</v>
      </c>
      <c r="J209" t="s">
        <v>343</v>
      </c>
      <c r="K209">
        <v>1.8721038948726228E-3</v>
      </c>
      <c r="L209" t="s">
        <v>238</v>
      </c>
      <c r="N209" t="s">
        <v>346</v>
      </c>
      <c r="O209" t="s">
        <v>343</v>
      </c>
      <c r="P209">
        <v>4.739033612260927E-3</v>
      </c>
      <c r="Q209" t="s">
        <v>238</v>
      </c>
      <c r="S209" t="s">
        <v>347</v>
      </c>
      <c r="T209" t="s">
        <v>343</v>
      </c>
      <c r="U209">
        <v>4.6127141251301003E-3</v>
      </c>
      <c r="V209" t="s">
        <v>238</v>
      </c>
      <c r="X209">
        <v>3.4246575342465752E-3</v>
      </c>
      <c r="Y209">
        <v>6.662854585684809E-3</v>
      </c>
      <c r="Z209" t="s">
        <v>343</v>
      </c>
      <c r="AA209" t="s">
        <v>25</v>
      </c>
      <c r="AC209" t="s">
        <v>22</v>
      </c>
      <c r="AD209" t="s">
        <v>343</v>
      </c>
      <c r="AE209">
        <v>3.6046754012386628E-3</v>
      </c>
      <c r="AG209" t="s">
        <v>97</v>
      </c>
      <c r="AH209" t="s">
        <v>343</v>
      </c>
      <c r="AI209">
        <v>6.7579190490636876E-2</v>
      </c>
    </row>
    <row r="210" spans="5:35" x14ac:dyDescent="0.45">
      <c r="E210" t="s">
        <v>494</v>
      </c>
      <c r="G210" t="s">
        <v>375</v>
      </c>
      <c r="I210" t="s">
        <v>236</v>
      </c>
      <c r="J210" t="s">
        <v>344</v>
      </c>
      <c r="K210">
        <v>1.9636221821532363E-4</v>
      </c>
      <c r="L210" t="s">
        <v>238</v>
      </c>
      <c r="N210" t="s">
        <v>346</v>
      </c>
      <c r="O210" t="s">
        <v>344</v>
      </c>
      <c r="P210">
        <v>2.9513382385232958E-2</v>
      </c>
      <c r="Q210" t="s">
        <v>238</v>
      </c>
      <c r="S210" t="s">
        <v>347</v>
      </c>
      <c r="T210" t="s">
        <v>344</v>
      </c>
      <c r="U210">
        <v>2.8582895167713566E-2</v>
      </c>
      <c r="V210" t="s">
        <v>238</v>
      </c>
      <c r="X210">
        <v>2.0547945205479451E-2</v>
      </c>
      <c r="Y210">
        <v>1.8099097531263209E-2</v>
      </c>
      <c r="Z210" t="s">
        <v>344</v>
      </c>
      <c r="AA210" t="s">
        <v>25</v>
      </c>
      <c r="AC210" t="s">
        <v>22</v>
      </c>
      <c r="AD210" t="s">
        <v>344</v>
      </c>
      <c r="AE210">
        <v>1.8539994452897352E-2</v>
      </c>
      <c r="AG210" t="s">
        <v>97</v>
      </c>
      <c r="AH210" t="s">
        <v>344</v>
      </c>
      <c r="AI210">
        <v>0.15631392567066316</v>
      </c>
    </row>
    <row r="211" spans="5:35" x14ac:dyDescent="0.45">
      <c r="E211" t="s">
        <v>495</v>
      </c>
      <c r="G211" t="s">
        <v>375</v>
      </c>
      <c r="I211" t="s">
        <v>236</v>
      </c>
      <c r="J211" t="s">
        <v>679</v>
      </c>
      <c r="K211">
        <v>0</v>
      </c>
      <c r="L211" t="s">
        <v>238</v>
      </c>
      <c r="N211" t="s">
        <v>346</v>
      </c>
      <c r="O211" t="s">
        <v>679</v>
      </c>
      <c r="P211">
        <v>2.8506573327434289E-5</v>
      </c>
      <c r="Q211" t="s">
        <v>238</v>
      </c>
      <c r="S211" t="s">
        <v>347</v>
      </c>
      <c r="T211" t="s">
        <v>679</v>
      </c>
      <c r="U211">
        <v>1.1872048794571611E-5</v>
      </c>
      <c r="V211" t="s">
        <v>238</v>
      </c>
      <c r="X211">
        <v>1.1415525114155251E-4</v>
      </c>
      <c r="Y211">
        <v>2.1546544680075254E-5</v>
      </c>
      <c r="Z211" t="s">
        <v>679</v>
      </c>
      <c r="AA211" t="s">
        <v>25</v>
      </c>
      <c r="AC211" t="s">
        <v>22</v>
      </c>
      <c r="AD211" t="s">
        <v>679</v>
      </c>
      <c r="AE211">
        <v>6.4357138464299157E-5</v>
      </c>
      <c r="AG211" t="s">
        <v>97</v>
      </c>
      <c r="AH211" t="s">
        <v>679</v>
      </c>
      <c r="AI211">
        <v>0</v>
      </c>
    </row>
    <row r="212" spans="5:35" x14ac:dyDescent="0.45">
      <c r="E212" t="s">
        <v>496</v>
      </c>
      <c r="G212" t="s">
        <v>375</v>
      </c>
      <c r="I212" t="s">
        <v>236</v>
      </c>
      <c r="J212" t="s">
        <v>680</v>
      </c>
      <c r="K212">
        <v>0</v>
      </c>
      <c r="L212" t="s">
        <v>238</v>
      </c>
      <c r="N212" t="s">
        <v>346</v>
      </c>
      <c r="O212" t="s">
        <v>680</v>
      </c>
      <c r="P212">
        <v>2.4337220951420891E-5</v>
      </c>
      <c r="Q212" t="s">
        <v>238</v>
      </c>
      <c r="S212" t="s">
        <v>347</v>
      </c>
      <c r="T212" t="s">
        <v>680</v>
      </c>
      <c r="U212">
        <v>1.1718500536398084E-5</v>
      </c>
      <c r="V212" t="s">
        <v>238</v>
      </c>
      <c r="X212">
        <v>1.1415525114155251E-4</v>
      </c>
      <c r="Y212">
        <v>1.4916838624667481E-5</v>
      </c>
      <c r="Z212" t="s">
        <v>680</v>
      </c>
      <c r="AA212" t="s">
        <v>25</v>
      </c>
      <c r="AC212" t="s">
        <v>22</v>
      </c>
      <c r="AD212" t="s">
        <v>680</v>
      </c>
      <c r="AE212">
        <v>6.0628122585161419E-5</v>
      </c>
      <c r="AG212" t="s">
        <v>97</v>
      </c>
      <c r="AH212" t="s">
        <v>680</v>
      </c>
      <c r="AI212">
        <v>0</v>
      </c>
    </row>
    <row r="213" spans="5:35" x14ac:dyDescent="0.45">
      <c r="E213" t="s">
        <v>497</v>
      </c>
      <c r="G213" t="s">
        <v>375</v>
      </c>
      <c r="I213" t="s">
        <v>236</v>
      </c>
      <c r="J213" t="s">
        <v>681</v>
      </c>
      <c r="K213">
        <v>0</v>
      </c>
      <c r="L213" t="s">
        <v>238</v>
      </c>
      <c r="N213" t="s">
        <v>346</v>
      </c>
      <c r="O213" t="s">
        <v>681</v>
      </c>
      <c r="P213">
        <v>1.971789554450978E-5</v>
      </c>
      <c r="Q213" t="s">
        <v>238</v>
      </c>
      <c r="S213" t="s">
        <v>347</v>
      </c>
      <c r="T213" t="s">
        <v>681</v>
      </c>
      <c r="U213">
        <v>9.4985815355708083E-6</v>
      </c>
      <c r="V213" t="s">
        <v>238</v>
      </c>
      <c r="X213">
        <v>1.1415525114155251E-4</v>
      </c>
      <c r="Y213">
        <v>1.6574265138519424E-5</v>
      </c>
      <c r="Z213" t="s">
        <v>681</v>
      </c>
      <c r="AA213" t="s">
        <v>25</v>
      </c>
      <c r="AC213" t="s">
        <v>22</v>
      </c>
      <c r="AD213" t="s">
        <v>681</v>
      </c>
      <c r="AE213">
        <v>6.0628122585161419E-5</v>
      </c>
      <c r="AG213" t="s">
        <v>97</v>
      </c>
      <c r="AH213" t="s">
        <v>681</v>
      </c>
      <c r="AI213">
        <v>0</v>
      </c>
    </row>
    <row r="214" spans="5:35" x14ac:dyDescent="0.45">
      <c r="E214" t="s">
        <v>498</v>
      </c>
      <c r="G214" t="s">
        <v>375</v>
      </c>
      <c r="I214" t="s">
        <v>236</v>
      </c>
      <c r="J214" t="s">
        <v>682</v>
      </c>
      <c r="K214">
        <v>0</v>
      </c>
      <c r="L214" t="s">
        <v>238</v>
      </c>
      <c r="N214" t="s">
        <v>346</v>
      </c>
      <c r="O214" t="s">
        <v>682</v>
      </c>
      <c r="P214">
        <v>1.7529012619929225E-5</v>
      </c>
      <c r="Q214" t="s">
        <v>238</v>
      </c>
      <c r="S214" t="s">
        <v>347</v>
      </c>
      <c r="T214" t="s">
        <v>682</v>
      </c>
      <c r="U214">
        <v>8.8871897880432792E-6</v>
      </c>
      <c r="V214" t="s">
        <v>238</v>
      </c>
      <c r="X214">
        <v>1.1415525114155251E-4</v>
      </c>
      <c r="Y214">
        <v>1.4585353321897093E-5</v>
      </c>
      <c r="Z214" t="s">
        <v>682</v>
      </c>
      <c r="AA214" t="s">
        <v>25</v>
      </c>
      <c r="AC214" t="s">
        <v>22</v>
      </c>
      <c r="AD214" t="s">
        <v>682</v>
      </c>
      <c r="AE214">
        <v>6.0719843190951115E-5</v>
      </c>
      <c r="AG214" t="s">
        <v>97</v>
      </c>
      <c r="AH214" t="s">
        <v>682</v>
      </c>
      <c r="AI214">
        <v>0</v>
      </c>
    </row>
    <row r="215" spans="5:35" x14ac:dyDescent="0.45">
      <c r="E215" t="s">
        <v>499</v>
      </c>
      <c r="G215" t="s">
        <v>375</v>
      </c>
      <c r="I215" t="s">
        <v>236</v>
      </c>
      <c r="J215" t="s">
        <v>683</v>
      </c>
      <c r="K215">
        <v>0</v>
      </c>
      <c r="L215" t="s">
        <v>238</v>
      </c>
      <c r="N215" t="s">
        <v>346</v>
      </c>
      <c r="O215" t="s">
        <v>683</v>
      </c>
      <c r="P215">
        <v>1.6390494313295294E-5</v>
      </c>
      <c r="Q215" t="s">
        <v>238</v>
      </c>
      <c r="S215" t="s">
        <v>347</v>
      </c>
      <c r="T215" t="s">
        <v>683</v>
      </c>
      <c r="U215">
        <v>1.0691273269348942E-5</v>
      </c>
      <c r="V215" t="s">
        <v>238</v>
      </c>
      <c r="X215">
        <v>1.1415525114155251E-4</v>
      </c>
      <c r="Y215">
        <v>2.1215059377304864E-5</v>
      </c>
      <c r="Z215" t="s">
        <v>683</v>
      </c>
      <c r="AA215" t="s">
        <v>25</v>
      </c>
      <c r="AC215" t="s">
        <v>22</v>
      </c>
      <c r="AD215" t="s">
        <v>683</v>
      </c>
      <c r="AE215">
        <v>6.1235771598518212E-5</v>
      </c>
      <c r="AG215" t="s">
        <v>97</v>
      </c>
      <c r="AH215" t="s">
        <v>683</v>
      </c>
      <c r="AI215">
        <v>0</v>
      </c>
    </row>
    <row r="216" spans="5:35" x14ac:dyDescent="0.45">
      <c r="E216" t="s">
        <v>500</v>
      </c>
      <c r="G216" t="s">
        <v>375</v>
      </c>
      <c r="I216" t="s">
        <v>236</v>
      </c>
      <c r="J216" t="s">
        <v>684</v>
      </c>
      <c r="K216">
        <v>0</v>
      </c>
      <c r="L216" t="s">
        <v>238</v>
      </c>
      <c r="N216" t="s">
        <v>346</v>
      </c>
      <c r="O216" t="s">
        <v>684</v>
      </c>
      <c r="P216">
        <v>1.303933586582716E-5</v>
      </c>
      <c r="Q216" t="s">
        <v>238</v>
      </c>
      <c r="S216" t="s">
        <v>347</v>
      </c>
      <c r="T216" t="s">
        <v>684</v>
      </c>
      <c r="U216">
        <v>1.0277228536526072E-5</v>
      </c>
      <c r="V216" t="s">
        <v>238</v>
      </c>
      <c r="X216">
        <v>1.1415525114155251E-4</v>
      </c>
      <c r="Y216">
        <v>5.7678442682047593E-5</v>
      </c>
      <c r="Z216" t="s">
        <v>684</v>
      </c>
      <c r="AA216" t="s">
        <v>25</v>
      </c>
      <c r="AC216" t="s">
        <v>22</v>
      </c>
      <c r="AD216" t="s">
        <v>684</v>
      </c>
      <c r="AE216">
        <v>6.2611580685363794E-5</v>
      </c>
      <c r="AG216" t="s">
        <v>97</v>
      </c>
      <c r="AH216" t="s">
        <v>684</v>
      </c>
      <c r="AI216">
        <v>0</v>
      </c>
    </row>
    <row r="217" spans="5:35" x14ac:dyDescent="0.45">
      <c r="E217" t="s">
        <v>501</v>
      </c>
      <c r="G217" t="s">
        <v>375</v>
      </c>
      <c r="I217" t="s">
        <v>236</v>
      </c>
      <c r="J217" t="s">
        <v>685</v>
      </c>
      <c r="K217">
        <v>0</v>
      </c>
      <c r="L217" t="s">
        <v>238</v>
      </c>
      <c r="N217" t="s">
        <v>346</v>
      </c>
      <c r="O217" t="s">
        <v>685</v>
      </c>
      <c r="P217">
        <v>1.0685070718111404E-5</v>
      </c>
      <c r="Q217" t="s">
        <v>238</v>
      </c>
      <c r="S217" t="s">
        <v>347</v>
      </c>
      <c r="T217" t="s">
        <v>685</v>
      </c>
      <c r="U217">
        <v>1.073436312023141E-5</v>
      </c>
      <c r="V217" t="s">
        <v>238</v>
      </c>
      <c r="X217">
        <v>1.1415525114155251E-4</v>
      </c>
      <c r="Y217">
        <v>1.6905750441289813E-4</v>
      </c>
      <c r="Z217" t="s">
        <v>685</v>
      </c>
      <c r="AA217" t="s">
        <v>25</v>
      </c>
      <c r="AC217" t="s">
        <v>22</v>
      </c>
      <c r="AD217" t="s">
        <v>685</v>
      </c>
      <c r="AE217">
        <v>7.4240033738140002E-5</v>
      </c>
      <c r="AG217" t="s">
        <v>97</v>
      </c>
      <c r="AH217" t="s">
        <v>685</v>
      </c>
      <c r="AI217">
        <v>0</v>
      </c>
    </row>
    <row r="218" spans="5:35" x14ac:dyDescent="0.45">
      <c r="E218" t="s">
        <v>502</v>
      </c>
      <c r="G218" t="s">
        <v>375</v>
      </c>
      <c r="I218" t="s">
        <v>236</v>
      </c>
      <c r="J218" t="s">
        <v>686</v>
      </c>
      <c r="K218">
        <v>8.6959533267832638E-6</v>
      </c>
      <c r="L218" t="s">
        <v>238</v>
      </c>
      <c r="N218" t="s">
        <v>346</v>
      </c>
      <c r="O218" t="s">
        <v>686</v>
      </c>
      <c r="P218">
        <v>1.0419011915756948E-5</v>
      </c>
      <c r="Q218" t="s">
        <v>238</v>
      </c>
      <c r="S218" t="s">
        <v>347</v>
      </c>
      <c r="T218" t="s">
        <v>686</v>
      </c>
      <c r="U218">
        <v>1.2326624382868296E-5</v>
      </c>
      <c r="V218" t="s">
        <v>238</v>
      </c>
      <c r="X218">
        <v>1.1415525114155251E-4</v>
      </c>
      <c r="Y218">
        <v>1.9060404909297337E-4</v>
      </c>
      <c r="Z218" t="s">
        <v>686</v>
      </c>
      <c r="AA218" t="s">
        <v>25</v>
      </c>
      <c r="AC218" t="s">
        <v>22</v>
      </c>
      <c r="AD218" t="s">
        <v>686</v>
      </c>
      <c r="AE218">
        <v>8.6854483303155531E-5</v>
      </c>
      <c r="AG218" t="s">
        <v>97</v>
      </c>
      <c r="AH218" t="s">
        <v>686</v>
      </c>
      <c r="AI218">
        <v>0</v>
      </c>
    </row>
    <row r="219" spans="5:35" x14ac:dyDescent="0.45">
      <c r="E219" t="s">
        <v>503</v>
      </c>
      <c r="G219" t="s">
        <v>375</v>
      </c>
      <c r="I219" t="s">
        <v>236</v>
      </c>
      <c r="J219" t="s">
        <v>687</v>
      </c>
      <c r="K219">
        <v>2.8022329701780007E-5</v>
      </c>
      <c r="L219" t="s">
        <v>238</v>
      </c>
      <c r="N219" t="s">
        <v>346</v>
      </c>
      <c r="O219" t="s">
        <v>687</v>
      </c>
      <c r="P219">
        <v>1.02718956039358E-5</v>
      </c>
      <c r="Q219" t="s">
        <v>238</v>
      </c>
      <c r="S219" t="s">
        <v>347</v>
      </c>
      <c r="T219" t="s">
        <v>687</v>
      </c>
      <c r="U219">
        <v>1.4757504529974031E-5</v>
      </c>
      <c r="V219" t="s">
        <v>238</v>
      </c>
      <c r="X219">
        <v>1.1415525114155251E-4</v>
      </c>
      <c r="Y219">
        <v>1.4585353321897094E-4</v>
      </c>
      <c r="Z219" t="s">
        <v>687</v>
      </c>
      <c r="AA219" t="s">
        <v>25</v>
      </c>
      <c r="AC219" t="s">
        <v>22</v>
      </c>
      <c r="AD219" t="s">
        <v>687</v>
      </c>
      <c r="AE219">
        <v>9.341537288605046E-5</v>
      </c>
      <c r="AG219" t="s">
        <v>97</v>
      </c>
      <c r="AH219" t="s">
        <v>687</v>
      </c>
      <c r="AI219">
        <v>0</v>
      </c>
    </row>
    <row r="220" spans="5:35" x14ac:dyDescent="0.45">
      <c r="E220" t="s">
        <v>504</v>
      </c>
      <c r="G220" t="s">
        <v>375</v>
      </c>
      <c r="I220" t="s">
        <v>236</v>
      </c>
      <c r="J220" t="s">
        <v>688</v>
      </c>
      <c r="K220">
        <v>4.7613538160050058E-5</v>
      </c>
      <c r="L220" t="s">
        <v>238</v>
      </c>
      <c r="N220" t="s">
        <v>346</v>
      </c>
      <c r="O220" t="s">
        <v>688</v>
      </c>
      <c r="P220">
        <v>9.4404321569721215E-6</v>
      </c>
      <c r="Q220" t="s">
        <v>238</v>
      </c>
      <c r="S220" t="s">
        <v>347</v>
      </c>
      <c r="T220" t="s">
        <v>688</v>
      </c>
      <c r="U220">
        <v>1.7442292261083336E-5</v>
      </c>
      <c r="V220" t="s">
        <v>238</v>
      </c>
      <c r="X220">
        <v>1.1415525114155251E-4</v>
      </c>
      <c r="Y220">
        <v>1.4452759200788939E-4</v>
      </c>
      <c r="Z220" t="s">
        <v>688</v>
      </c>
      <c r="AA220" t="s">
        <v>25</v>
      </c>
      <c r="AC220" t="s">
        <v>22</v>
      </c>
      <c r="AD220" t="s">
        <v>688</v>
      </c>
      <c r="AE220">
        <v>9.6141194639363275E-5</v>
      </c>
      <c r="AG220" t="s">
        <v>97</v>
      </c>
      <c r="AH220" t="s">
        <v>688</v>
      </c>
      <c r="AI220">
        <v>0</v>
      </c>
    </row>
    <row r="221" spans="5:35" x14ac:dyDescent="0.45">
      <c r="E221" t="s">
        <v>505</v>
      </c>
      <c r="G221" t="s">
        <v>375</v>
      </c>
      <c r="I221" t="s">
        <v>236</v>
      </c>
      <c r="J221" t="s">
        <v>689</v>
      </c>
      <c r="K221">
        <v>6.8911691850348609E-5</v>
      </c>
      <c r="L221" t="s">
        <v>238</v>
      </c>
      <c r="N221" t="s">
        <v>346</v>
      </c>
      <c r="O221" t="s">
        <v>689</v>
      </c>
      <c r="P221">
        <v>7.7715796828536144E-6</v>
      </c>
      <c r="Q221" t="s">
        <v>238</v>
      </c>
      <c r="S221" t="s">
        <v>347</v>
      </c>
      <c r="T221" t="s">
        <v>689</v>
      </c>
      <c r="U221">
        <v>1.9139744935954811E-5</v>
      </c>
      <c r="V221" t="s">
        <v>238</v>
      </c>
      <c r="X221">
        <v>1.1415525114155251E-4</v>
      </c>
      <c r="Y221">
        <v>1.408812536774151E-4</v>
      </c>
      <c r="Z221" t="s">
        <v>689</v>
      </c>
      <c r="AA221" t="s">
        <v>25</v>
      </c>
      <c r="AC221" t="s">
        <v>22</v>
      </c>
      <c r="AD221" t="s">
        <v>689</v>
      </c>
      <c r="AE221">
        <v>9.4966024377682678E-5</v>
      </c>
      <c r="AG221" t="s">
        <v>97</v>
      </c>
      <c r="AH221" t="s">
        <v>689</v>
      </c>
      <c r="AI221">
        <v>0</v>
      </c>
    </row>
    <row r="222" spans="5:35" x14ac:dyDescent="0.45">
      <c r="E222" t="s">
        <v>506</v>
      </c>
      <c r="G222" t="s">
        <v>375</v>
      </c>
      <c r="I222" t="s">
        <v>236</v>
      </c>
      <c r="J222" t="s">
        <v>690</v>
      </c>
      <c r="K222">
        <v>8.8078731657053553E-5</v>
      </c>
      <c r="L222" t="s">
        <v>238</v>
      </c>
      <c r="N222" t="s">
        <v>346</v>
      </c>
      <c r="O222" t="s">
        <v>690</v>
      </c>
      <c r="P222">
        <v>7.6434829553905244E-6</v>
      </c>
      <c r="Q222" t="s">
        <v>238</v>
      </c>
      <c r="S222" t="s">
        <v>347</v>
      </c>
      <c r="T222" t="s">
        <v>690</v>
      </c>
      <c r="U222">
        <v>2.1849473281409998E-5</v>
      </c>
      <c r="V222" t="s">
        <v>238</v>
      </c>
      <c r="X222">
        <v>1.1415525114155251E-4</v>
      </c>
      <c r="Y222">
        <v>1.4054976837464471E-4</v>
      </c>
      <c r="Z222" t="s">
        <v>690</v>
      </c>
      <c r="AA222" t="s">
        <v>25</v>
      </c>
      <c r="AC222" t="s">
        <v>22</v>
      </c>
      <c r="AD222" t="s">
        <v>690</v>
      </c>
      <c r="AE222">
        <v>9.4880036309754831E-5</v>
      </c>
      <c r="AG222" t="s">
        <v>97</v>
      </c>
      <c r="AH222" t="s">
        <v>690</v>
      </c>
      <c r="AI222">
        <v>0</v>
      </c>
    </row>
    <row r="223" spans="5:35" x14ac:dyDescent="0.45">
      <c r="E223" t="s">
        <v>507</v>
      </c>
      <c r="G223" t="s">
        <v>375</v>
      </c>
      <c r="I223" t="s">
        <v>236</v>
      </c>
      <c r="J223" t="s">
        <v>691</v>
      </c>
      <c r="K223">
        <v>9.9134479780565107E-5</v>
      </c>
      <c r="L223" t="s">
        <v>238</v>
      </c>
      <c r="N223" t="s">
        <v>346</v>
      </c>
      <c r="O223" t="s">
        <v>691</v>
      </c>
      <c r="P223">
        <v>1.1930199972543029E-5</v>
      </c>
      <c r="Q223" t="s">
        <v>238</v>
      </c>
      <c r="S223" t="s">
        <v>347</v>
      </c>
      <c r="T223" t="s">
        <v>691</v>
      </c>
      <c r="U223">
        <v>2.2551867428991071E-5</v>
      </c>
      <c r="V223" t="s">
        <v>238</v>
      </c>
      <c r="X223">
        <v>1.1415525114155251E-4</v>
      </c>
      <c r="Y223">
        <v>1.4253868019126702E-4</v>
      </c>
      <c r="Z223" t="s">
        <v>691</v>
      </c>
      <c r="AA223" t="s">
        <v>25</v>
      </c>
      <c r="AC223" t="s">
        <v>22</v>
      </c>
      <c r="AD223" t="s">
        <v>691</v>
      </c>
      <c r="AE223">
        <v>9.4576211803076431E-5</v>
      </c>
      <c r="AG223" t="s">
        <v>97</v>
      </c>
      <c r="AH223" t="s">
        <v>691</v>
      </c>
      <c r="AI223">
        <v>0</v>
      </c>
    </row>
    <row r="224" spans="5:35" x14ac:dyDescent="0.45">
      <c r="E224" t="s">
        <v>508</v>
      </c>
      <c r="G224" t="s">
        <v>375</v>
      </c>
      <c r="I224" t="s">
        <v>236</v>
      </c>
      <c r="J224" t="s">
        <v>692</v>
      </c>
      <c r="K224">
        <v>1.124954710961E-4</v>
      </c>
      <c r="L224" t="s">
        <v>238</v>
      </c>
      <c r="N224" t="s">
        <v>346</v>
      </c>
      <c r="O224" t="s">
        <v>692</v>
      </c>
      <c r="P224">
        <v>1.5170722051069231E-5</v>
      </c>
      <c r="Q224" t="s">
        <v>238</v>
      </c>
      <c r="S224" t="s">
        <v>347</v>
      </c>
      <c r="T224" t="s">
        <v>692</v>
      </c>
      <c r="U224">
        <v>2.4054920438718008E-5</v>
      </c>
      <c r="V224" t="s">
        <v>238</v>
      </c>
      <c r="X224">
        <v>1.1415525114155251E-4</v>
      </c>
      <c r="Y224">
        <v>1.4883690094390442E-4</v>
      </c>
      <c r="Z224" t="s">
        <v>692</v>
      </c>
      <c r="AA224" t="s">
        <v>25</v>
      </c>
      <c r="AC224" t="s">
        <v>22</v>
      </c>
      <c r="AD224" t="s">
        <v>692</v>
      </c>
      <c r="AE224">
        <v>9.3555820063665921E-5</v>
      </c>
      <c r="AG224" t="s">
        <v>97</v>
      </c>
      <c r="AH224" t="s">
        <v>692</v>
      </c>
      <c r="AI224">
        <v>0</v>
      </c>
    </row>
    <row r="225" spans="5:35" x14ac:dyDescent="0.45">
      <c r="E225" t="s">
        <v>509</v>
      </c>
      <c r="G225" t="s">
        <v>375</v>
      </c>
      <c r="I225" t="s">
        <v>236</v>
      </c>
      <c r="J225" t="s">
        <v>693</v>
      </c>
      <c r="K225">
        <v>1.0325776692539999E-4</v>
      </c>
      <c r="L225" t="s">
        <v>238</v>
      </c>
      <c r="N225" t="s">
        <v>346</v>
      </c>
      <c r="O225" t="s">
        <v>693</v>
      </c>
      <c r="P225">
        <v>1.840462191585694E-5</v>
      </c>
      <c r="Q225" t="s">
        <v>238</v>
      </c>
      <c r="S225" t="s">
        <v>347</v>
      </c>
      <c r="T225" t="s">
        <v>693</v>
      </c>
      <c r="U225">
        <v>2.6152599690337569E-5</v>
      </c>
      <c r="V225" t="s">
        <v>238</v>
      </c>
      <c r="X225">
        <v>1.1415525114155251E-4</v>
      </c>
      <c r="Y225">
        <v>1.5049432745775637E-4</v>
      </c>
      <c r="Z225" t="s">
        <v>693</v>
      </c>
      <c r="AA225" t="s">
        <v>25</v>
      </c>
      <c r="AC225" t="s">
        <v>22</v>
      </c>
      <c r="AD225" t="s">
        <v>693</v>
      </c>
      <c r="AE225">
        <v>9.2876514327035927E-5</v>
      </c>
      <c r="AG225" t="s">
        <v>97</v>
      </c>
      <c r="AH225" t="s">
        <v>693</v>
      </c>
      <c r="AI225">
        <v>0</v>
      </c>
    </row>
    <row r="226" spans="5:35" x14ac:dyDescent="0.45">
      <c r="E226" t="s">
        <v>510</v>
      </c>
      <c r="G226" t="s">
        <v>375</v>
      </c>
      <c r="I226" t="s">
        <v>236</v>
      </c>
      <c r="J226" t="s">
        <v>694</v>
      </c>
      <c r="K226">
        <v>8.9447506332019633E-5</v>
      </c>
      <c r="L226" t="s">
        <v>238</v>
      </c>
      <c r="N226" t="s">
        <v>346</v>
      </c>
      <c r="O226" t="s">
        <v>694</v>
      </c>
      <c r="P226">
        <v>1.8879600156053442E-5</v>
      </c>
      <c r="Q226" t="s">
        <v>238</v>
      </c>
      <c r="S226" t="s">
        <v>347</v>
      </c>
      <c r="T226" t="s">
        <v>694</v>
      </c>
      <c r="U226">
        <v>2.8225475948737245E-5</v>
      </c>
      <c r="V226" t="s">
        <v>238</v>
      </c>
      <c r="X226">
        <v>1.1415525114155251E-4</v>
      </c>
      <c r="Y226">
        <v>1.7237235744060203E-4</v>
      </c>
      <c r="Z226" t="s">
        <v>694</v>
      </c>
      <c r="AA226" t="s">
        <v>25</v>
      </c>
      <c r="AC226" t="s">
        <v>22</v>
      </c>
      <c r="AD226" t="s">
        <v>694</v>
      </c>
      <c r="AE226">
        <v>9.3160274951197832E-5</v>
      </c>
      <c r="AG226" t="s">
        <v>97</v>
      </c>
      <c r="AH226" t="s">
        <v>694</v>
      </c>
      <c r="AI226">
        <v>0</v>
      </c>
    </row>
    <row r="227" spans="5:35" x14ac:dyDescent="0.45">
      <c r="E227" t="s">
        <v>226</v>
      </c>
      <c r="G227" t="s">
        <v>146</v>
      </c>
      <c r="I227" t="s">
        <v>236</v>
      </c>
      <c r="J227" t="s">
        <v>695</v>
      </c>
      <c r="K227">
        <v>6.0280175231801832E-5</v>
      </c>
      <c r="L227" t="s">
        <v>238</v>
      </c>
      <c r="N227" t="s">
        <v>346</v>
      </c>
      <c r="O227" t="s">
        <v>695</v>
      </c>
      <c r="P227">
        <v>2.0105461868299867E-5</v>
      </c>
      <c r="Q227" t="s">
        <v>238</v>
      </c>
      <c r="S227" t="s">
        <v>347</v>
      </c>
      <c r="T227" t="s">
        <v>695</v>
      </c>
      <c r="U227">
        <v>3.017158031353431E-5</v>
      </c>
      <c r="V227" t="s">
        <v>238</v>
      </c>
      <c r="X227">
        <v>1.1415525114155251E-4</v>
      </c>
      <c r="Y227">
        <v>2.2209515285616027E-4</v>
      </c>
      <c r="Z227" t="s">
        <v>695</v>
      </c>
      <c r="AA227" t="s">
        <v>25</v>
      </c>
      <c r="AC227" t="s">
        <v>22</v>
      </c>
      <c r="AD227" t="s">
        <v>695</v>
      </c>
      <c r="AE227">
        <v>9.4490223735148584E-5</v>
      </c>
      <c r="AG227" t="s">
        <v>97</v>
      </c>
      <c r="AH227" t="s">
        <v>695</v>
      </c>
      <c r="AI227">
        <v>0</v>
      </c>
    </row>
    <row r="228" spans="5:35" x14ac:dyDescent="0.45">
      <c r="E228" t="s">
        <v>227</v>
      </c>
      <c r="G228" t="s">
        <v>146</v>
      </c>
      <c r="I228" t="s">
        <v>236</v>
      </c>
      <c r="J228" t="s">
        <v>696</v>
      </c>
      <c r="K228">
        <v>3.3493743892819454E-5</v>
      </c>
      <c r="L228" t="s">
        <v>238</v>
      </c>
      <c r="N228" t="s">
        <v>346</v>
      </c>
      <c r="O228" t="s">
        <v>696</v>
      </c>
      <c r="P228">
        <v>1.9834157076084809E-5</v>
      </c>
      <c r="Q228" t="s">
        <v>238</v>
      </c>
      <c r="S228" t="s">
        <v>347</v>
      </c>
      <c r="T228" t="s">
        <v>696</v>
      </c>
      <c r="U228">
        <v>3.3880316763788743E-5</v>
      </c>
      <c r="V228" t="s">
        <v>238</v>
      </c>
      <c r="X228">
        <v>1.1415525114155251E-4</v>
      </c>
      <c r="Y228">
        <v>2.2209515285616027E-4</v>
      </c>
      <c r="Z228" t="s">
        <v>696</v>
      </c>
      <c r="AA228" t="s">
        <v>25</v>
      </c>
      <c r="AC228" t="s">
        <v>22</v>
      </c>
      <c r="AD228" t="s">
        <v>696</v>
      </c>
      <c r="AE228">
        <v>9.4748187938932112E-5</v>
      </c>
      <c r="AG228" t="s">
        <v>97</v>
      </c>
      <c r="AH228" t="s">
        <v>696</v>
      </c>
      <c r="AI228">
        <v>0</v>
      </c>
    </row>
    <row r="229" spans="5:35" x14ac:dyDescent="0.45">
      <c r="E229" t="s">
        <v>228</v>
      </c>
      <c r="G229" t="s">
        <v>146</v>
      </c>
      <c r="I229" t="s">
        <v>236</v>
      </c>
      <c r="J229" t="s">
        <v>697</v>
      </c>
      <c r="K229">
        <v>2.9970651830318938E-6</v>
      </c>
      <c r="L229" t="s">
        <v>238</v>
      </c>
      <c r="N229" t="s">
        <v>346</v>
      </c>
      <c r="O229" t="s">
        <v>697</v>
      </c>
      <c r="P229">
        <v>2.2973244542486662E-5</v>
      </c>
      <c r="Q229" t="s">
        <v>238</v>
      </c>
      <c r="S229" t="s">
        <v>347</v>
      </c>
      <c r="T229" t="s">
        <v>697</v>
      </c>
      <c r="U229">
        <v>4.0033961758395852E-5</v>
      </c>
      <c r="V229" t="s">
        <v>238</v>
      </c>
      <c r="X229">
        <v>1.1415525114155251E-4</v>
      </c>
      <c r="Y229">
        <v>1.7237235744060203E-4</v>
      </c>
      <c r="Z229" t="s">
        <v>697</v>
      </c>
      <c r="AA229" t="s">
        <v>25</v>
      </c>
      <c r="AC229" t="s">
        <v>22</v>
      </c>
      <c r="AD229" t="s">
        <v>697</v>
      </c>
      <c r="AE229">
        <v>9.479404824182697E-5</v>
      </c>
      <c r="AG229" t="s">
        <v>97</v>
      </c>
      <c r="AH229" t="s">
        <v>697</v>
      </c>
      <c r="AI229">
        <v>0</v>
      </c>
    </row>
    <row r="230" spans="5:35" x14ac:dyDescent="0.45">
      <c r="E230" t="s">
        <v>229</v>
      </c>
      <c r="G230" t="s">
        <v>146</v>
      </c>
      <c r="I230" t="s">
        <v>236</v>
      </c>
      <c r="J230" t="s">
        <v>698</v>
      </c>
      <c r="K230">
        <v>0</v>
      </c>
      <c r="L230" t="s">
        <v>238</v>
      </c>
      <c r="N230" t="s">
        <v>346</v>
      </c>
      <c r="O230" t="s">
        <v>698</v>
      </c>
      <c r="P230">
        <v>2.9371957733785545E-5</v>
      </c>
      <c r="Q230" t="s">
        <v>238</v>
      </c>
      <c r="S230" t="s">
        <v>347</v>
      </c>
      <c r="T230" t="s">
        <v>698</v>
      </c>
      <c r="U230">
        <v>4.6030290978479055E-5</v>
      </c>
      <c r="V230" t="s">
        <v>238</v>
      </c>
      <c r="X230">
        <v>1.1415525114155251E-4</v>
      </c>
      <c r="Y230">
        <v>1.5579809230208258E-4</v>
      </c>
      <c r="Z230" t="s">
        <v>698</v>
      </c>
      <c r="AA230" t="s">
        <v>25</v>
      </c>
      <c r="AC230" t="s">
        <v>22</v>
      </c>
      <c r="AD230" t="s">
        <v>698</v>
      </c>
      <c r="AE230">
        <v>9.4928762881580603E-5</v>
      </c>
      <c r="AG230" t="s">
        <v>97</v>
      </c>
      <c r="AH230" t="s">
        <v>698</v>
      </c>
      <c r="AI230">
        <v>0</v>
      </c>
    </row>
    <row r="231" spans="5:35" x14ac:dyDescent="0.45">
      <c r="E231" t="s">
        <v>230</v>
      </c>
      <c r="G231" t="s">
        <v>146</v>
      </c>
      <c r="I231" t="s">
        <v>236</v>
      </c>
      <c r="J231" t="s">
        <v>699</v>
      </c>
      <c r="K231">
        <v>0</v>
      </c>
      <c r="L231" t="s">
        <v>238</v>
      </c>
      <c r="N231" t="s">
        <v>346</v>
      </c>
      <c r="O231" t="s">
        <v>699</v>
      </c>
      <c r="P231">
        <v>3.3904847763952998E-5</v>
      </c>
      <c r="Q231" t="s">
        <v>238</v>
      </c>
      <c r="S231" t="s">
        <v>347</v>
      </c>
      <c r="T231" t="s">
        <v>699</v>
      </c>
      <c r="U231">
        <v>5.0388052655111682E-5</v>
      </c>
      <c r="V231" t="s">
        <v>238</v>
      </c>
      <c r="X231">
        <v>1.1415525114155251E-4</v>
      </c>
      <c r="Y231">
        <v>1.093901499142282E-4</v>
      </c>
      <c r="Z231" t="s">
        <v>699</v>
      </c>
      <c r="AA231" t="s">
        <v>25</v>
      </c>
      <c r="AC231" t="s">
        <v>22</v>
      </c>
      <c r="AD231" t="s">
        <v>699</v>
      </c>
      <c r="AE231">
        <v>9.3249129288056607E-5</v>
      </c>
      <c r="AG231" t="s">
        <v>97</v>
      </c>
      <c r="AH231" t="s">
        <v>699</v>
      </c>
      <c r="AI231">
        <v>0</v>
      </c>
    </row>
    <row r="232" spans="5:35" x14ac:dyDescent="0.45">
      <c r="E232" t="s">
        <v>231</v>
      </c>
      <c r="G232" t="s">
        <v>146</v>
      </c>
      <c r="I232" t="s">
        <v>236</v>
      </c>
      <c r="J232" t="s">
        <v>700</v>
      </c>
      <c r="K232">
        <v>0</v>
      </c>
      <c r="L232" t="s">
        <v>238</v>
      </c>
      <c r="N232" t="s">
        <v>346</v>
      </c>
      <c r="O232" t="s">
        <v>700</v>
      </c>
      <c r="P232">
        <v>3.9185236963807563E-5</v>
      </c>
      <c r="Q232" t="s">
        <v>238</v>
      </c>
      <c r="S232" t="s">
        <v>347</v>
      </c>
      <c r="T232" t="s">
        <v>700</v>
      </c>
      <c r="U232">
        <v>5.8974037720713233E-5</v>
      </c>
      <c r="V232" t="s">
        <v>238</v>
      </c>
      <c r="X232">
        <v>1.1415525114155251E-4</v>
      </c>
      <c r="Y232">
        <v>7.9556472664893237E-5</v>
      </c>
      <c r="Z232" t="s">
        <v>700</v>
      </c>
      <c r="AA232" t="s">
        <v>25</v>
      </c>
      <c r="AC232" t="s">
        <v>22</v>
      </c>
      <c r="AD232" t="s">
        <v>700</v>
      </c>
      <c r="AE232">
        <v>8.7966595648355744E-5</v>
      </c>
      <c r="AG232" t="s">
        <v>97</v>
      </c>
      <c r="AH232" t="s">
        <v>700</v>
      </c>
      <c r="AI232">
        <v>0</v>
      </c>
    </row>
    <row r="233" spans="5:35" x14ac:dyDescent="0.45">
      <c r="E233" t="s">
        <v>232</v>
      </c>
      <c r="G233" t="s">
        <v>146</v>
      </c>
      <c r="I233" t="s">
        <v>236</v>
      </c>
      <c r="J233" t="s">
        <v>701</v>
      </c>
      <c r="K233">
        <v>0</v>
      </c>
      <c r="L233" t="s">
        <v>238</v>
      </c>
      <c r="N233" t="s">
        <v>346</v>
      </c>
      <c r="O233" t="s">
        <v>701</v>
      </c>
      <c r="P233">
        <v>4.7913592449489336E-5</v>
      </c>
      <c r="Q233" t="s">
        <v>238</v>
      </c>
      <c r="S233" t="s">
        <v>347</v>
      </c>
      <c r="T233" t="s">
        <v>701</v>
      </c>
      <c r="U233">
        <v>7.4289607544449733E-5</v>
      </c>
      <c r="V233" t="s">
        <v>238</v>
      </c>
      <c r="X233">
        <v>1.1415525114155251E-4</v>
      </c>
      <c r="Y233">
        <v>5.6352501470966035E-5</v>
      </c>
      <c r="Z233" t="s">
        <v>701</v>
      </c>
      <c r="AA233" t="s">
        <v>25</v>
      </c>
      <c r="AC233" t="s">
        <v>22</v>
      </c>
      <c r="AD233" t="s">
        <v>701</v>
      </c>
      <c r="AE233">
        <v>8.8551314510265094E-5</v>
      </c>
      <c r="AG233" t="s">
        <v>97</v>
      </c>
      <c r="AH233" t="s">
        <v>701</v>
      </c>
      <c r="AI233">
        <v>0</v>
      </c>
    </row>
    <row r="234" spans="5:35" x14ac:dyDescent="0.45">
      <c r="E234" t="s">
        <v>233</v>
      </c>
      <c r="G234" t="s">
        <v>146</v>
      </c>
      <c r="I234" t="s">
        <v>236</v>
      </c>
      <c r="J234" t="s">
        <v>702</v>
      </c>
      <c r="K234">
        <v>0</v>
      </c>
      <c r="L234" t="s">
        <v>238</v>
      </c>
      <c r="N234" t="s">
        <v>346</v>
      </c>
      <c r="O234" t="s">
        <v>702</v>
      </c>
      <c r="P234">
        <v>5.0412180859024105E-5</v>
      </c>
      <c r="Q234" t="s">
        <v>238</v>
      </c>
      <c r="S234" t="s">
        <v>347</v>
      </c>
      <c r="T234" t="s">
        <v>702</v>
      </c>
      <c r="U234">
        <v>7.5977040902880293E-5</v>
      </c>
      <c r="V234" t="s">
        <v>238</v>
      </c>
      <c r="X234">
        <v>1.1415525114155251E-4</v>
      </c>
      <c r="Y234">
        <v>2.9833677249334962E-5</v>
      </c>
      <c r="Z234" t="s">
        <v>702</v>
      </c>
      <c r="AA234" t="s">
        <v>25</v>
      </c>
      <c r="AC234" t="s">
        <v>22</v>
      </c>
      <c r="AD234" t="s">
        <v>702</v>
      </c>
      <c r="AE234">
        <v>7.8390391150124226E-5</v>
      </c>
      <c r="AG234" t="s">
        <v>97</v>
      </c>
      <c r="AH234" t="s">
        <v>702</v>
      </c>
      <c r="AI234">
        <v>0</v>
      </c>
    </row>
    <row r="235" spans="5:35" x14ac:dyDescent="0.45">
      <c r="I235" t="s">
        <v>236</v>
      </c>
      <c r="J235" t="s">
        <v>703</v>
      </c>
      <c r="K235">
        <v>0</v>
      </c>
      <c r="L235" t="s">
        <v>238</v>
      </c>
      <c r="N235" t="s">
        <v>346</v>
      </c>
      <c r="O235" t="s">
        <v>703</v>
      </c>
      <c r="P235">
        <v>2.3200133374594031E-2</v>
      </c>
      <c r="Q235" t="s">
        <v>238</v>
      </c>
      <c r="S235" t="s">
        <v>347</v>
      </c>
      <c r="T235" t="s">
        <v>703</v>
      </c>
      <c r="U235">
        <v>2.2927475877629507E-2</v>
      </c>
      <c r="V235" t="s">
        <v>238</v>
      </c>
      <c r="X235">
        <v>1.9863013698630139E-2</v>
      </c>
      <c r="Y235">
        <v>4.2489786109108389E-3</v>
      </c>
      <c r="Z235" t="s">
        <v>703</v>
      </c>
      <c r="AA235" t="s">
        <v>25</v>
      </c>
      <c r="AC235" t="s">
        <v>22</v>
      </c>
      <c r="AD235" t="s">
        <v>703</v>
      </c>
      <c r="AE235">
        <v>1.487704445182458E-2</v>
      </c>
      <c r="AG235" t="s">
        <v>97</v>
      </c>
      <c r="AH235" t="s">
        <v>703</v>
      </c>
      <c r="AI235">
        <v>0.22462720612546372</v>
      </c>
    </row>
    <row r="236" spans="5:35" x14ac:dyDescent="0.45">
      <c r="I236" t="s">
        <v>236</v>
      </c>
      <c r="J236" t="s">
        <v>704</v>
      </c>
      <c r="K236">
        <v>0</v>
      </c>
      <c r="L236" t="s">
        <v>238</v>
      </c>
      <c r="N236" t="s">
        <v>346</v>
      </c>
      <c r="O236" t="s">
        <v>704</v>
      </c>
      <c r="P236">
        <v>3.8441027679717563E-3</v>
      </c>
      <c r="Q236" t="s">
        <v>238</v>
      </c>
      <c r="S236" t="s">
        <v>347</v>
      </c>
      <c r="T236" t="s">
        <v>704</v>
      </c>
      <c r="U236">
        <v>3.6863679327910548E-3</v>
      </c>
      <c r="V236" t="s">
        <v>238</v>
      </c>
      <c r="X236">
        <v>3.3105022831050228E-3</v>
      </c>
      <c r="Y236">
        <v>4.9026676279740472E-3</v>
      </c>
      <c r="Z236" t="s">
        <v>704</v>
      </c>
      <c r="AA236" t="s">
        <v>25</v>
      </c>
      <c r="AC236" t="s">
        <v>22</v>
      </c>
      <c r="AD236" t="s">
        <v>704</v>
      </c>
      <c r="AE236">
        <v>3.519084519137081E-3</v>
      </c>
      <c r="AG236" t="s">
        <v>97</v>
      </c>
      <c r="AH236" t="s">
        <v>704</v>
      </c>
      <c r="AI236">
        <v>0.11607409809873337</v>
      </c>
    </row>
    <row r="237" spans="5:35" x14ac:dyDescent="0.45">
      <c r="I237" t="s">
        <v>236</v>
      </c>
      <c r="J237" t="s">
        <v>705</v>
      </c>
      <c r="K237">
        <v>1.0476133313176833E-4</v>
      </c>
      <c r="L237" t="s">
        <v>238</v>
      </c>
      <c r="N237" t="s">
        <v>346</v>
      </c>
      <c r="O237" t="s">
        <v>705</v>
      </c>
      <c r="P237">
        <v>3.8399973210228211E-3</v>
      </c>
      <c r="Q237" t="s">
        <v>238</v>
      </c>
      <c r="S237" t="s">
        <v>347</v>
      </c>
      <c r="T237" t="s">
        <v>705</v>
      </c>
      <c r="U237">
        <v>3.7158214367464196E-3</v>
      </c>
      <c r="V237" t="s">
        <v>238</v>
      </c>
      <c r="X237">
        <v>3.3105022831050228E-3</v>
      </c>
      <c r="Y237">
        <v>5.5275174236962274E-3</v>
      </c>
      <c r="Z237" t="s">
        <v>705</v>
      </c>
      <c r="AA237" t="s">
        <v>25</v>
      </c>
      <c r="AC237" t="s">
        <v>22</v>
      </c>
      <c r="AD237" t="s">
        <v>705</v>
      </c>
      <c r="AE237">
        <v>3.7166765004284863E-3</v>
      </c>
      <c r="AG237" t="s">
        <v>97</v>
      </c>
      <c r="AH237" t="s">
        <v>705</v>
      </c>
      <c r="AI237">
        <v>9.9196440587343115E-2</v>
      </c>
    </row>
    <row r="238" spans="5:35" x14ac:dyDescent="0.45">
      <c r="I238" t="s">
        <v>236</v>
      </c>
      <c r="J238" t="s">
        <v>706</v>
      </c>
      <c r="K238">
        <v>1.2240570612813758E-3</v>
      </c>
      <c r="L238" t="s">
        <v>238</v>
      </c>
      <c r="N238" t="s">
        <v>346</v>
      </c>
      <c r="O238" t="s">
        <v>706</v>
      </c>
      <c r="P238">
        <v>3.8036064214916772E-3</v>
      </c>
      <c r="Q238" t="s">
        <v>238</v>
      </c>
      <c r="S238" t="s">
        <v>347</v>
      </c>
      <c r="T238" t="s">
        <v>706</v>
      </c>
      <c r="U238">
        <v>3.7470077802469878E-3</v>
      </c>
      <c r="V238" t="s">
        <v>238</v>
      </c>
      <c r="X238">
        <v>3.3105022831050228E-3</v>
      </c>
      <c r="Y238">
        <v>4.2297524633501575E-3</v>
      </c>
      <c r="Z238" t="s">
        <v>706</v>
      </c>
      <c r="AA238" t="s">
        <v>25</v>
      </c>
      <c r="AC238" t="s">
        <v>22</v>
      </c>
      <c r="AD238" t="s">
        <v>706</v>
      </c>
      <c r="AE238">
        <v>3.9174500402332224E-3</v>
      </c>
      <c r="AG238" t="s">
        <v>97</v>
      </c>
      <c r="AH238" t="s">
        <v>706</v>
      </c>
      <c r="AI238">
        <v>0.10020572713681486</v>
      </c>
    </row>
    <row r="239" spans="5:35" x14ac:dyDescent="0.45">
      <c r="I239" t="s">
        <v>236</v>
      </c>
      <c r="J239" t="s">
        <v>707</v>
      </c>
      <c r="K239">
        <v>2.5112083032889785E-2</v>
      </c>
      <c r="L239" t="s">
        <v>238</v>
      </c>
      <c r="N239" t="s">
        <v>346</v>
      </c>
      <c r="O239" t="s">
        <v>707</v>
      </c>
      <c r="P239">
        <v>2.4919716920010153E-2</v>
      </c>
      <c r="Q239" t="s">
        <v>238</v>
      </c>
      <c r="S239" t="s">
        <v>347</v>
      </c>
      <c r="T239" t="s">
        <v>707</v>
      </c>
      <c r="U239">
        <v>2.5962125078877105E-2</v>
      </c>
      <c r="V239" t="s">
        <v>238</v>
      </c>
      <c r="X239">
        <v>2.3173515981735161E-2</v>
      </c>
      <c r="Y239">
        <v>3.0165825522710896E-2</v>
      </c>
      <c r="Z239" t="s">
        <v>707</v>
      </c>
      <c r="AA239" t="s">
        <v>25</v>
      </c>
      <c r="AC239" t="s">
        <v>22</v>
      </c>
      <c r="AD239" t="s">
        <v>707</v>
      </c>
      <c r="AE239">
        <v>2.7489430212248239E-2</v>
      </c>
      <c r="AG239" t="s">
        <v>97</v>
      </c>
      <c r="AH239" t="s">
        <v>707</v>
      </c>
      <c r="AI239">
        <v>0.10811367657549775</v>
      </c>
    </row>
    <row r="240" spans="5:35" x14ac:dyDescent="0.45">
      <c r="I240" t="s">
        <v>236</v>
      </c>
      <c r="J240" t="s">
        <v>708</v>
      </c>
      <c r="K240">
        <v>1.3822812682007257E-3</v>
      </c>
      <c r="L240" t="s">
        <v>238</v>
      </c>
      <c r="N240" t="s">
        <v>346</v>
      </c>
      <c r="O240" t="s">
        <v>708</v>
      </c>
      <c r="P240">
        <v>3.5229869895935257E-3</v>
      </c>
      <c r="Q240" t="s">
        <v>238</v>
      </c>
      <c r="S240" t="s">
        <v>347</v>
      </c>
      <c r="T240" t="s">
        <v>708</v>
      </c>
      <c r="U240">
        <v>3.6449220788534542E-3</v>
      </c>
      <c r="V240" t="s">
        <v>238</v>
      </c>
      <c r="X240">
        <v>3.3105022831050228E-3</v>
      </c>
      <c r="Y240">
        <v>6.4407594328286487E-3</v>
      </c>
      <c r="Z240" t="s">
        <v>708</v>
      </c>
      <c r="AA240" t="s">
        <v>25</v>
      </c>
      <c r="AC240" t="s">
        <v>22</v>
      </c>
      <c r="AD240" t="s">
        <v>708</v>
      </c>
      <c r="AE240">
        <v>4.0120311824159956E-3</v>
      </c>
      <c r="AG240" t="s">
        <v>97</v>
      </c>
      <c r="AH240" t="s">
        <v>708</v>
      </c>
      <c r="AI240">
        <v>8.4614652972040405E-2</v>
      </c>
    </row>
    <row r="241" spans="9:35" x14ac:dyDescent="0.45">
      <c r="I241" t="s">
        <v>236</v>
      </c>
      <c r="J241" t="s">
        <v>709</v>
      </c>
      <c r="K241">
        <v>8.1893093857031315E-5</v>
      </c>
      <c r="L241" t="s">
        <v>238</v>
      </c>
      <c r="N241" t="s">
        <v>346</v>
      </c>
      <c r="O241" t="s">
        <v>709</v>
      </c>
      <c r="P241">
        <v>3.5485224383518151E-3</v>
      </c>
      <c r="Q241" t="s">
        <v>238</v>
      </c>
      <c r="S241" t="s">
        <v>347</v>
      </c>
      <c r="T241" t="s">
        <v>709</v>
      </c>
      <c r="U241">
        <v>3.6587579914816428E-3</v>
      </c>
      <c r="V241" t="s">
        <v>238</v>
      </c>
      <c r="X241">
        <v>3.3105022831050228E-3</v>
      </c>
      <c r="Y241">
        <v>6.4407594328286487E-3</v>
      </c>
      <c r="Z241" t="s">
        <v>709</v>
      </c>
      <c r="AA241" t="s">
        <v>25</v>
      </c>
      <c r="AC241" t="s">
        <v>22</v>
      </c>
      <c r="AD241" t="s">
        <v>709</v>
      </c>
      <c r="AE241">
        <v>4.0433738331756962E-3</v>
      </c>
      <c r="AG241" t="s">
        <v>97</v>
      </c>
      <c r="AH241" t="s">
        <v>709</v>
      </c>
      <c r="AI241">
        <v>8.5279349748686339E-2</v>
      </c>
    </row>
    <row r="242" spans="9:35" x14ac:dyDescent="0.45">
      <c r="I242" t="s">
        <v>236</v>
      </c>
      <c r="J242" t="s">
        <v>710</v>
      </c>
      <c r="K242">
        <v>0</v>
      </c>
      <c r="L242" t="s">
        <v>238</v>
      </c>
      <c r="N242" t="s">
        <v>346</v>
      </c>
      <c r="O242" t="s">
        <v>710</v>
      </c>
      <c r="P242">
        <v>2.1418187443777187E-2</v>
      </c>
      <c r="Q242" t="s">
        <v>238</v>
      </c>
      <c r="S242" t="s">
        <v>347</v>
      </c>
      <c r="T242" t="s">
        <v>710</v>
      </c>
      <c r="U242">
        <v>2.2312778975194503E-2</v>
      </c>
      <c r="V242" t="s">
        <v>238</v>
      </c>
      <c r="X242">
        <v>1.9863013698630139E-2</v>
      </c>
      <c r="Y242">
        <v>1.7495794280221105E-2</v>
      </c>
      <c r="Z242" t="s">
        <v>710</v>
      </c>
      <c r="AA242" t="s">
        <v>25</v>
      </c>
      <c r="AC242" t="s">
        <v>22</v>
      </c>
      <c r="AD242" t="s">
        <v>710</v>
      </c>
      <c r="AE242">
        <v>2.0961368098380846E-2</v>
      </c>
      <c r="AG242" t="s">
        <v>97</v>
      </c>
      <c r="AH242" t="s">
        <v>710</v>
      </c>
      <c r="AI242">
        <v>0.19074255597171152</v>
      </c>
    </row>
    <row r="243" spans="9:35" x14ac:dyDescent="0.45">
      <c r="I243" t="s">
        <v>236</v>
      </c>
      <c r="J243" t="s">
        <v>711</v>
      </c>
      <c r="K243">
        <v>0</v>
      </c>
      <c r="L243" t="s">
        <v>238</v>
      </c>
      <c r="N243" t="s">
        <v>346</v>
      </c>
      <c r="O243" t="s">
        <v>711</v>
      </c>
      <c r="P243">
        <v>1.8019032187409311E-5</v>
      </c>
      <c r="Q243" t="s">
        <v>238</v>
      </c>
      <c r="S243" t="s">
        <v>347</v>
      </c>
      <c r="T243" t="s">
        <v>711</v>
      </c>
      <c r="U243">
        <v>5.7253962646236672E-5</v>
      </c>
      <c r="V243" t="s">
        <v>238</v>
      </c>
      <c r="X243">
        <v>1.1415525114155251E-4</v>
      </c>
      <c r="Y243">
        <v>2.1546544680075254E-5</v>
      </c>
      <c r="Z243" t="s">
        <v>711</v>
      </c>
      <c r="AA243" t="s">
        <v>25</v>
      </c>
      <c r="AC243" t="s">
        <v>22</v>
      </c>
      <c r="AD243" t="s">
        <v>711</v>
      </c>
      <c r="AE243">
        <v>8.516554444492556E-5</v>
      </c>
      <c r="AG243" t="s">
        <v>97</v>
      </c>
      <c r="AH243" t="s">
        <v>711</v>
      </c>
      <c r="AI243">
        <v>0</v>
      </c>
    </row>
    <row r="244" spans="9:35" x14ac:dyDescent="0.45">
      <c r="I244" t="s">
        <v>236</v>
      </c>
      <c r="J244" t="s">
        <v>712</v>
      </c>
      <c r="K244">
        <v>0</v>
      </c>
      <c r="L244" t="s">
        <v>238</v>
      </c>
      <c r="N244" t="s">
        <v>346</v>
      </c>
      <c r="O244" t="s">
        <v>712</v>
      </c>
      <c r="P244">
        <v>1.2744314094030927E-5</v>
      </c>
      <c r="Q244" t="s">
        <v>238</v>
      </c>
      <c r="S244" t="s">
        <v>347</v>
      </c>
      <c r="T244" t="s">
        <v>712</v>
      </c>
      <c r="U244">
        <v>4.6083288886919255E-5</v>
      </c>
      <c r="V244" t="s">
        <v>238</v>
      </c>
      <c r="X244">
        <v>1.1415525114155251E-4</v>
      </c>
      <c r="Y244">
        <v>1.4916838624667481E-5</v>
      </c>
      <c r="Z244" t="s">
        <v>712</v>
      </c>
      <c r="AA244" t="s">
        <v>25</v>
      </c>
      <c r="AC244" t="s">
        <v>22</v>
      </c>
      <c r="AD244" t="s">
        <v>712</v>
      </c>
      <c r="AE244">
        <v>8.1144169134833141E-5</v>
      </c>
      <c r="AG244" t="s">
        <v>97</v>
      </c>
      <c r="AH244" t="s">
        <v>712</v>
      </c>
      <c r="AI244">
        <v>0</v>
      </c>
    </row>
    <row r="245" spans="9:35" x14ac:dyDescent="0.45">
      <c r="I245" t="s">
        <v>236</v>
      </c>
      <c r="J245" t="s">
        <v>713</v>
      </c>
      <c r="K245">
        <v>0</v>
      </c>
      <c r="L245" t="s">
        <v>238</v>
      </c>
      <c r="N245" t="s">
        <v>346</v>
      </c>
      <c r="O245" t="s">
        <v>713</v>
      </c>
      <c r="P245">
        <v>9.3806802625628801E-6</v>
      </c>
      <c r="Q245" t="s">
        <v>238</v>
      </c>
      <c r="S245" t="s">
        <v>347</v>
      </c>
      <c r="T245" t="s">
        <v>713</v>
      </c>
      <c r="U245">
        <v>3.8022059398896442E-5</v>
      </c>
      <c r="V245" t="s">
        <v>238</v>
      </c>
      <c r="X245">
        <v>1.1415525114155251E-4</v>
      </c>
      <c r="Y245">
        <v>1.6574265138519424E-5</v>
      </c>
      <c r="Z245" t="s">
        <v>713</v>
      </c>
      <c r="AA245" t="s">
        <v>25</v>
      </c>
      <c r="AC245" t="s">
        <v>22</v>
      </c>
      <c r="AD245" t="s">
        <v>713</v>
      </c>
      <c r="AE245">
        <v>8.0714228795193904E-5</v>
      </c>
      <c r="AG245" t="s">
        <v>97</v>
      </c>
      <c r="AH245" t="s">
        <v>713</v>
      </c>
      <c r="AI245">
        <v>0</v>
      </c>
    </row>
    <row r="246" spans="9:35" x14ac:dyDescent="0.45">
      <c r="I246" t="s">
        <v>236</v>
      </c>
      <c r="J246" t="s">
        <v>714</v>
      </c>
      <c r="K246">
        <v>0</v>
      </c>
      <c r="L246" t="s">
        <v>238</v>
      </c>
      <c r="N246" t="s">
        <v>346</v>
      </c>
      <c r="O246" t="s">
        <v>714</v>
      </c>
      <c r="P246">
        <v>9.5893109854045279E-6</v>
      </c>
      <c r="Q246" t="s">
        <v>238</v>
      </c>
      <c r="S246" t="s">
        <v>347</v>
      </c>
      <c r="T246" t="s">
        <v>714</v>
      </c>
      <c r="U246">
        <v>3.41820729370141E-5</v>
      </c>
      <c r="V246" t="s">
        <v>238</v>
      </c>
      <c r="X246">
        <v>1.1415525114155251E-4</v>
      </c>
      <c r="Y246">
        <v>1.4585353321897093E-5</v>
      </c>
      <c r="Z246" t="s">
        <v>714</v>
      </c>
      <c r="AA246" t="s">
        <v>25</v>
      </c>
      <c r="AC246" t="s">
        <v>22</v>
      </c>
      <c r="AD246" t="s">
        <v>714</v>
      </c>
      <c r="AE246">
        <v>8.0714228795193904E-5</v>
      </c>
      <c r="AG246" t="s">
        <v>97</v>
      </c>
      <c r="AH246" t="s">
        <v>714</v>
      </c>
      <c r="AI246">
        <v>0</v>
      </c>
    </row>
    <row r="247" spans="9:35" x14ac:dyDescent="0.45">
      <c r="I247" t="s">
        <v>236</v>
      </c>
      <c r="J247" t="s">
        <v>715</v>
      </c>
      <c r="K247">
        <v>0</v>
      </c>
      <c r="L247" t="s">
        <v>238</v>
      </c>
      <c r="N247" t="s">
        <v>346</v>
      </c>
      <c r="O247" t="s">
        <v>715</v>
      </c>
      <c r="P247">
        <v>1.155521440647059E-5</v>
      </c>
      <c r="Q247" t="s">
        <v>238</v>
      </c>
      <c r="S247" t="s">
        <v>347</v>
      </c>
      <c r="T247" t="s">
        <v>715</v>
      </c>
      <c r="U247">
        <v>2.6536417702139185E-5</v>
      </c>
      <c r="V247" t="s">
        <v>238</v>
      </c>
      <c r="X247">
        <v>1.1415525114155251E-4</v>
      </c>
      <c r="Y247">
        <v>2.1215059377304864E-5</v>
      </c>
      <c r="Z247" t="s">
        <v>715</v>
      </c>
      <c r="AA247" t="s">
        <v>25</v>
      </c>
      <c r="AC247" t="s">
        <v>22</v>
      </c>
      <c r="AD247" t="s">
        <v>715</v>
      </c>
      <c r="AE247">
        <v>8.6524155918185589E-5</v>
      </c>
      <c r="AG247" t="s">
        <v>97</v>
      </c>
      <c r="AH247" t="s">
        <v>715</v>
      </c>
      <c r="AI247">
        <v>0</v>
      </c>
    </row>
    <row r="248" spans="9:35" x14ac:dyDescent="0.45">
      <c r="I248" t="s">
        <v>236</v>
      </c>
      <c r="J248" t="s">
        <v>716</v>
      </c>
      <c r="K248">
        <v>0</v>
      </c>
      <c r="L248" t="s">
        <v>238</v>
      </c>
      <c r="N248" t="s">
        <v>346</v>
      </c>
      <c r="O248" t="s">
        <v>716</v>
      </c>
      <c r="P248">
        <v>9.5613170572845884E-6</v>
      </c>
      <c r="Q248" t="s">
        <v>238</v>
      </c>
      <c r="S248" t="s">
        <v>347</v>
      </c>
      <c r="T248" t="s">
        <v>716</v>
      </c>
      <c r="U248">
        <v>1.7464030261890603E-5</v>
      </c>
      <c r="V248" t="s">
        <v>238</v>
      </c>
      <c r="X248">
        <v>1.1415525114155251E-4</v>
      </c>
      <c r="Y248">
        <v>5.7678442682047593E-5</v>
      </c>
      <c r="Z248" t="s">
        <v>716</v>
      </c>
      <c r="AA248" t="s">
        <v>25</v>
      </c>
      <c r="AC248" t="s">
        <v>22</v>
      </c>
      <c r="AD248" t="s">
        <v>716</v>
      </c>
      <c r="AE248">
        <v>1.1434129589284494E-4</v>
      </c>
      <c r="AG248" t="s">
        <v>97</v>
      </c>
      <c r="AH248" t="s">
        <v>716</v>
      </c>
      <c r="AI248">
        <v>0</v>
      </c>
    </row>
    <row r="249" spans="9:35" x14ac:dyDescent="0.45">
      <c r="I249" t="s">
        <v>236</v>
      </c>
      <c r="J249" t="s">
        <v>717</v>
      </c>
      <c r="K249">
        <v>0</v>
      </c>
      <c r="L249" t="s">
        <v>238</v>
      </c>
      <c r="N249" t="s">
        <v>346</v>
      </c>
      <c r="O249" t="s">
        <v>717</v>
      </c>
      <c r="P249">
        <v>8.0408236165887932E-6</v>
      </c>
      <c r="Q249" t="s">
        <v>238</v>
      </c>
      <c r="S249" t="s">
        <v>347</v>
      </c>
      <c r="T249" t="s">
        <v>717</v>
      </c>
      <c r="U249">
        <v>1.5341995709750722E-5</v>
      </c>
      <c r="V249" t="s">
        <v>238</v>
      </c>
      <c r="X249">
        <v>1.1415525114155251E-4</v>
      </c>
      <c r="Y249">
        <v>1.6905750441289813E-4</v>
      </c>
      <c r="Z249" t="s">
        <v>717</v>
      </c>
      <c r="AA249" t="s">
        <v>25</v>
      </c>
      <c r="AC249" t="s">
        <v>22</v>
      </c>
      <c r="AD249" t="s">
        <v>717</v>
      </c>
      <c r="AE249">
        <v>1.3545996537592481E-4</v>
      </c>
      <c r="AG249" t="s">
        <v>97</v>
      </c>
      <c r="AH249" t="s">
        <v>717</v>
      </c>
      <c r="AI249">
        <v>0</v>
      </c>
    </row>
    <row r="250" spans="9:35" x14ac:dyDescent="0.45">
      <c r="I250" t="s">
        <v>236</v>
      </c>
      <c r="J250" t="s">
        <v>718</v>
      </c>
      <c r="K250">
        <v>0</v>
      </c>
      <c r="L250" t="s">
        <v>238</v>
      </c>
      <c r="N250" t="s">
        <v>346</v>
      </c>
      <c r="O250" t="s">
        <v>718</v>
      </c>
      <c r="P250">
        <v>8.4666679914735433E-6</v>
      </c>
      <c r="Q250" t="s">
        <v>238</v>
      </c>
      <c r="S250" t="s">
        <v>347</v>
      </c>
      <c r="T250" t="s">
        <v>718</v>
      </c>
      <c r="U250">
        <v>1.8630234519662773E-5</v>
      </c>
      <c r="V250" t="s">
        <v>238</v>
      </c>
      <c r="X250">
        <v>1.1415525114155251E-4</v>
      </c>
      <c r="Y250">
        <v>1.9060404909297337E-4</v>
      </c>
      <c r="Z250" t="s">
        <v>718</v>
      </c>
      <c r="AA250" t="s">
        <v>25</v>
      </c>
      <c r="AC250" t="s">
        <v>22</v>
      </c>
      <c r="AD250" t="s">
        <v>718</v>
      </c>
      <c r="AE250">
        <v>1.4260270755179819E-4</v>
      </c>
      <c r="AG250" t="s">
        <v>97</v>
      </c>
      <c r="AH250" t="s">
        <v>718</v>
      </c>
      <c r="AI250">
        <v>0</v>
      </c>
    </row>
    <row r="251" spans="9:35" x14ac:dyDescent="0.45">
      <c r="I251" t="s">
        <v>236</v>
      </c>
      <c r="J251" t="s">
        <v>719</v>
      </c>
      <c r="K251">
        <v>2.9789954902998191E-5</v>
      </c>
      <c r="L251" t="s">
        <v>238</v>
      </c>
      <c r="N251" t="s">
        <v>346</v>
      </c>
      <c r="O251" t="s">
        <v>719</v>
      </c>
      <c r="P251">
        <v>8.3528817756860786E-6</v>
      </c>
      <c r="Q251" t="s">
        <v>238</v>
      </c>
      <c r="S251" t="s">
        <v>347</v>
      </c>
      <c r="T251" t="s">
        <v>719</v>
      </c>
      <c r="U251">
        <v>1.8124686461398465E-5</v>
      </c>
      <c r="V251" t="s">
        <v>238</v>
      </c>
      <c r="X251">
        <v>1.1415525114155251E-4</v>
      </c>
      <c r="Y251">
        <v>1.4585353321897094E-4</v>
      </c>
      <c r="Z251" t="s">
        <v>719</v>
      </c>
      <c r="AA251" t="s">
        <v>25</v>
      </c>
      <c r="AC251" t="s">
        <v>22</v>
      </c>
      <c r="AD251" t="s">
        <v>719</v>
      </c>
      <c r="AE251">
        <v>1.4732918501889896E-4</v>
      </c>
      <c r="AG251" t="s">
        <v>97</v>
      </c>
      <c r="AH251" t="s">
        <v>719</v>
      </c>
      <c r="AI251">
        <v>0</v>
      </c>
    </row>
    <row r="252" spans="9:35" x14ac:dyDescent="0.45">
      <c r="I252" t="s">
        <v>236</v>
      </c>
      <c r="J252" t="s">
        <v>720</v>
      </c>
      <c r="K252">
        <v>8.6782033150141456E-5</v>
      </c>
      <c r="L252" t="s">
        <v>238</v>
      </c>
      <c r="N252" t="s">
        <v>346</v>
      </c>
      <c r="O252" t="s">
        <v>720</v>
      </c>
      <c r="P252">
        <v>7.6886843019759407E-6</v>
      </c>
      <c r="Q252" t="s">
        <v>238</v>
      </c>
      <c r="S252" t="s">
        <v>347</v>
      </c>
      <c r="T252" t="s">
        <v>720</v>
      </c>
      <c r="U252">
        <v>1.9444833672872817E-5</v>
      </c>
      <c r="V252" t="s">
        <v>238</v>
      </c>
      <c r="X252">
        <v>1.1415525114155251E-4</v>
      </c>
      <c r="Y252">
        <v>1.4452759200788939E-4</v>
      </c>
      <c r="Z252" t="s">
        <v>720</v>
      </c>
      <c r="AA252" t="s">
        <v>25</v>
      </c>
      <c r="AC252" t="s">
        <v>22</v>
      </c>
      <c r="AD252" t="s">
        <v>720</v>
      </c>
      <c r="AE252">
        <v>1.475040274236856E-4</v>
      </c>
      <c r="AG252" t="s">
        <v>97</v>
      </c>
      <c r="AH252" t="s">
        <v>720</v>
      </c>
      <c r="AI252">
        <v>0</v>
      </c>
    </row>
    <row r="253" spans="9:35" x14ac:dyDescent="0.45">
      <c r="I253" t="s">
        <v>236</v>
      </c>
      <c r="J253" t="s">
        <v>721</v>
      </c>
      <c r="K253">
        <v>1.3523580101169999E-4</v>
      </c>
      <c r="L253" t="s">
        <v>238</v>
      </c>
      <c r="N253" t="s">
        <v>346</v>
      </c>
      <c r="O253" t="s">
        <v>721</v>
      </c>
      <c r="P253">
        <v>8.3167003763211136E-6</v>
      </c>
      <c r="Q253" t="s">
        <v>238</v>
      </c>
      <c r="S253" t="s">
        <v>347</v>
      </c>
      <c r="T253" t="s">
        <v>721</v>
      </c>
      <c r="U253">
        <v>1.3187849365018832E-5</v>
      </c>
      <c r="V253" t="s">
        <v>238</v>
      </c>
      <c r="X253">
        <v>1.1415525114155251E-4</v>
      </c>
      <c r="Y253">
        <v>1.408812536774151E-4</v>
      </c>
      <c r="Z253" t="s">
        <v>721</v>
      </c>
      <c r="AA253" t="s">
        <v>25</v>
      </c>
      <c r="AC253" t="s">
        <v>22</v>
      </c>
      <c r="AD253" t="s">
        <v>721</v>
      </c>
      <c r="AE253">
        <v>1.4701102916756591E-4</v>
      </c>
      <c r="AG253" t="s">
        <v>97</v>
      </c>
      <c r="AH253" t="s">
        <v>721</v>
      </c>
      <c r="AI253">
        <v>0</v>
      </c>
    </row>
    <row r="254" spans="9:35" x14ac:dyDescent="0.45">
      <c r="I254" t="s">
        <v>236</v>
      </c>
      <c r="J254" t="s">
        <v>722</v>
      </c>
      <c r="K254">
        <v>1.2906470351759999E-4</v>
      </c>
      <c r="L254" t="s">
        <v>238</v>
      </c>
      <c r="N254" t="s">
        <v>346</v>
      </c>
      <c r="O254" t="s">
        <v>722</v>
      </c>
      <c r="P254">
        <v>1.3424700114047754E-5</v>
      </c>
      <c r="Q254" t="s">
        <v>238</v>
      </c>
      <c r="S254" t="s">
        <v>347</v>
      </c>
      <c r="T254" t="s">
        <v>722</v>
      </c>
      <c r="U254">
        <v>1.9502130807383047E-5</v>
      </c>
      <c r="V254" t="s">
        <v>238</v>
      </c>
      <c r="X254">
        <v>1.1415525114155251E-4</v>
      </c>
      <c r="Y254">
        <v>1.4054976837464471E-4</v>
      </c>
      <c r="Z254" t="s">
        <v>722</v>
      </c>
      <c r="AA254" t="s">
        <v>25</v>
      </c>
      <c r="AC254" t="s">
        <v>22</v>
      </c>
      <c r="AD254" t="s">
        <v>722</v>
      </c>
      <c r="AE254">
        <v>1.4597343981456989E-4</v>
      </c>
      <c r="AG254" t="s">
        <v>97</v>
      </c>
      <c r="AH254" t="s">
        <v>722</v>
      </c>
      <c r="AI254">
        <v>0</v>
      </c>
    </row>
    <row r="255" spans="9:35" x14ac:dyDescent="0.45">
      <c r="I255" t="s">
        <v>236</v>
      </c>
      <c r="J255" t="s">
        <v>723</v>
      </c>
      <c r="K255">
        <v>1.2004247384100001E-4</v>
      </c>
      <c r="L255" t="s">
        <v>238</v>
      </c>
      <c r="N255" t="s">
        <v>346</v>
      </c>
      <c r="O255" t="s">
        <v>723</v>
      </c>
      <c r="P255">
        <v>1.745780213979983E-5</v>
      </c>
      <c r="Q255" t="s">
        <v>238</v>
      </c>
      <c r="S255" t="s">
        <v>347</v>
      </c>
      <c r="T255" t="s">
        <v>723</v>
      </c>
      <c r="U255">
        <v>2.2502111958442529E-5</v>
      </c>
      <c r="V255" t="s">
        <v>238</v>
      </c>
      <c r="X255">
        <v>1.1415525114155251E-4</v>
      </c>
      <c r="Y255">
        <v>1.4253868019126702E-4</v>
      </c>
      <c r="Z255" t="s">
        <v>723</v>
      </c>
      <c r="AA255" t="s">
        <v>25</v>
      </c>
      <c r="AC255" t="s">
        <v>22</v>
      </c>
      <c r="AD255" t="s">
        <v>723</v>
      </c>
      <c r="AE255">
        <v>1.4503903614308724E-4</v>
      </c>
      <c r="AG255" t="s">
        <v>97</v>
      </c>
      <c r="AH255" t="s">
        <v>723</v>
      </c>
      <c r="AI255">
        <v>0</v>
      </c>
    </row>
    <row r="256" spans="9:35" x14ac:dyDescent="0.45">
      <c r="I256" t="s">
        <v>236</v>
      </c>
      <c r="J256" t="s">
        <v>724</v>
      </c>
      <c r="K256">
        <v>1.111616154631E-4</v>
      </c>
      <c r="L256" t="s">
        <v>238</v>
      </c>
      <c r="N256" t="s">
        <v>346</v>
      </c>
      <c r="O256" t="s">
        <v>724</v>
      </c>
      <c r="P256">
        <v>1.8661376203876871E-5</v>
      </c>
      <c r="Q256" t="s">
        <v>238</v>
      </c>
      <c r="S256" t="s">
        <v>347</v>
      </c>
      <c r="T256" t="s">
        <v>724</v>
      </c>
      <c r="U256">
        <v>2.5200547924143566E-5</v>
      </c>
      <c r="V256" t="s">
        <v>238</v>
      </c>
      <c r="X256">
        <v>1.1415525114155251E-4</v>
      </c>
      <c r="Y256">
        <v>1.4883690094390442E-4</v>
      </c>
      <c r="Z256" t="s">
        <v>724</v>
      </c>
      <c r="AA256" t="s">
        <v>25</v>
      </c>
      <c r="AC256" t="s">
        <v>22</v>
      </c>
      <c r="AD256" t="s">
        <v>724</v>
      </c>
      <c r="AE256">
        <v>1.4503903614308724E-4</v>
      </c>
      <c r="AG256" t="s">
        <v>97</v>
      </c>
      <c r="AH256" t="s">
        <v>724</v>
      </c>
      <c r="AI256">
        <v>0</v>
      </c>
    </row>
    <row r="257" spans="9:35" x14ac:dyDescent="0.45">
      <c r="I257" t="s">
        <v>236</v>
      </c>
      <c r="J257" t="s">
        <v>725</v>
      </c>
      <c r="K257">
        <v>9.4360162243638674E-5</v>
      </c>
      <c r="L257" t="s">
        <v>238</v>
      </c>
      <c r="N257" t="s">
        <v>346</v>
      </c>
      <c r="O257" t="s">
        <v>725</v>
      </c>
      <c r="P257">
        <v>1.6548296966611937E-5</v>
      </c>
      <c r="Q257" t="s">
        <v>238</v>
      </c>
      <c r="S257" t="s">
        <v>347</v>
      </c>
      <c r="T257" t="s">
        <v>725</v>
      </c>
      <c r="U257">
        <v>1.8470240397536409E-5</v>
      </c>
      <c r="V257" t="s">
        <v>238</v>
      </c>
      <c r="X257">
        <v>1.1415525114155251E-4</v>
      </c>
      <c r="Y257">
        <v>1.5049432745775637E-4</v>
      </c>
      <c r="Z257" t="s">
        <v>725</v>
      </c>
      <c r="AA257" t="s">
        <v>25</v>
      </c>
      <c r="AC257" t="s">
        <v>22</v>
      </c>
      <c r="AD257" t="s">
        <v>725</v>
      </c>
      <c r="AE257">
        <v>1.4481833343540576E-4</v>
      </c>
      <c r="AG257" t="s">
        <v>97</v>
      </c>
      <c r="AH257" t="s">
        <v>725</v>
      </c>
      <c r="AI257">
        <v>0</v>
      </c>
    </row>
    <row r="258" spans="9:35" x14ac:dyDescent="0.45">
      <c r="I258" t="s">
        <v>236</v>
      </c>
      <c r="J258" t="s">
        <v>726</v>
      </c>
      <c r="K258">
        <v>6.7171778934679911E-5</v>
      </c>
      <c r="L258" t="s">
        <v>238</v>
      </c>
      <c r="N258" t="s">
        <v>346</v>
      </c>
      <c r="O258" t="s">
        <v>726</v>
      </c>
      <c r="P258">
        <v>1.7571403584889017E-5</v>
      </c>
      <c r="Q258" t="s">
        <v>238</v>
      </c>
      <c r="S258" t="s">
        <v>347</v>
      </c>
      <c r="T258" t="s">
        <v>726</v>
      </c>
      <c r="U258">
        <v>2.2033456733129785E-5</v>
      </c>
      <c r="V258" t="s">
        <v>238</v>
      </c>
      <c r="X258">
        <v>1.1415525114155251E-4</v>
      </c>
      <c r="Y258">
        <v>1.7237235744060203E-4</v>
      </c>
      <c r="Z258" t="s">
        <v>726</v>
      </c>
      <c r="AA258" t="s">
        <v>25</v>
      </c>
      <c r="AC258" t="s">
        <v>22</v>
      </c>
      <c r="AD258" t="s">
        <v>726</v>
      </c>
      <c r="AE258">
        <v>1.4481833343540576E-4</v>
      </c>
      <c r="AG258" t="s">
        <v>97</v>
      </c>
      <c r="AH258" t="s">
        <v>726</v>
      </c>
      <c r="AI258">
        <v>0</v>
      </c>
    </row>
    <row r="259" spans="9:35" x14ac:dyDescent="0.45">
      <c r="I259" t="s">
        <v>236</v>
      </c>
      <c r="J259" t="s">
        <v>727</v>
      </c>
      <c r="K259">
        <v>3.1609441477197757E-5</v>
      </c>
      <c r="L259" t="s">
        <v>238</v>
      </c>
      <c r="N259" t="s">
        <v>346</v>
      </c>
      <c r="O259" t="s">
        <v>727</v>
      </c>
      <c r="P259">
        <v>1.9858932694820569E-5</v>
      </c>
      <c r="Q259" t="s">
        <v>238</v>
      </c>
      <c r="S259" t="s">
        <v>347</v>
      </c>
      <c r="T259" t="s">
        <v>727</v>
      </c>
      <c r="U259">
        <v>2.1439408218218136E-5</v>
      </c>
      <c r="V259" t="s">
        <v>238</v>
      </c>
      <c r="X259">
        <v>1.1415525114155251E-4</v>
      </c>
      <c r="Y259">
        <v>2.2209515285616027E-4</v>
      </c>
      <c r="Z259" t="s">
        <v>727</v>
      </c>
      <c r="AA259" t="s">
        <v>25</v>
      </c>
      <c r="AC259" t="s">
        <v>22</v>
      </c>
      <c r="AD259" t="s">
        <v>727</v>
      </c>
      <c r="AE259">
        <v>1.4742090562468868E-4</v>
      </c>
      <c r="AG259" t="s">
        <v>97</v>
      </c>
      <c r="AH259" t="s">
        <v>727</v>
      </c>
      <c r="AI259">
        <v>0</v>
      </c>
    </row>
    <row r="260" spans="9:35" x14ac:dyDescent="0.45">
      <c r="I260" t="s">
        <v>236</v>
      </c>
      <c r="J260" t="s">
        <v>728</v>
      </c>
      <c r="K260">
        <v>0</v>
      </c>
      <c r="L260" t="s">
        <v>238</v>
      </c>
      <c r="N260" t="s">
        <v>346</v>
      </c>
      <c r="O260" t="s">
        <v>728</v>
      </c>
      <c r="P260">
        <v>2.5838540547692133E-5</v>
      </c>
      <c r="Q260" t="s">
        <v>238</v>
      </c>
      <c r="S260" t="s">
        <v>347</v>
      </c>
      <c r="T260" t="s">
        <v>728</v>
      </c>
      <c r="U260">
        <v>2.6077201352741888E-5</v>
      </c>
      <c r="V260" t="s">
        <v>238</v>
      </c>
      <c r="X260">
        <v>1.1415525114155251E-4</v>
      </c>
      <c r="Y260">
        <v>2.2209515285616027E-4</v>
      </c>
      <c r="Z260" t="s">
        <v>728</v>
      </c>
      <c r="AA260" t="s">
        <v>25</v>
      </c>
      <c r="AC260" t="s">
        <v>22</v>
      </c>
      <c r="AD260" t="s">
        <v>728</v>
      </c>
      <c r="AE260">
        <v>1.4802855463804548E-4</v>
      </c>
      <c r="AG260" t="s">
        <v>97</v>
      </c>
      <c r="AH260" t="s">
        <v>728</v>
      </c>
      <c r="AI260">
        <v>0</v>
      </c>
    </row>
    <row r="261" spans="9:35" x14ac:dyDescent="0.45">
      <c r="I261" t="s">
        <v>236</v>
      </c>
      <c r="J261" t="s">
        <v>729</v>
      </c>
      <c r="K261">
        <v>0</v>
      </c>
      <c r="L261" t="s">
        <v>238</v>
      </c>
      <c r="N261" t="s">
        <v>346</v>
      </c>
      <c r="O261" t="s">
        <v>729</v>
      </c>
      <c r="P261">
        <v>3.7388150257191497E-5</v>
      </c>
      <c r="Q261" t="s">
        <v>238</v>
      </c>
      <c r="S261" t="s">
        <v>347</v>
      </c>
      <c r="T261" t="s">
        <v>729</v>
      </c>
      <c r="U261">
        <v>4.0527989269801521E-5</v>
      </c>
      <c r="V261" t="s">
        <v>238</v>
      </c>
      <c r="X261">
        <v>1.1415525114155251E-4</v>
      </c>
      <c r="Y261">
        <v>1.7237235744060203E-4</v>
      </c>
      <c r="Z261" t="s">
        <v>729</v>
      </c>
      <c r="AA261" t="s">
        <v>25</v>
      </c>
      <c r="AC261" t="s">
        <v>22</v>
      </c>
      <c r="AD261" t="s">
        <v>729</v>
      </c>
      <c r="AE261">
        <v>1.4837537317868781E-4</v>
      </c>
      <c r="AG261" t="s">
        <v>97</v>
      </c>
      <c r="AH261" t="s">
        <v>729</v>
      </c>
      <c r="AI261">
        <v>0</v>
      </c>
    </row>
    <row r="262" spans="9:35" x14ac:dyDescent="0.45">
      <c r="I262" t="s">
        <v>236</v>
      </c>
      <c r="J262" t="s">
        <v>730</v>
      </c>
      <c r="K262">
        <v>0</v>
      </c>
      <c r="L262" t="s">
        <v>238</v>
      </c>
      <c r="N262" t="s">
        <v>346</v>
      </c>
      <c r="O262" t="s">
        <v>730</v>
      </c>
      <c r="P262">
        <v>5.1777395449556174E-5</v>
      </c>
      <c r="Q262" t="s">
        <v>238</v>
      </c>
      <c r="S262" t="s">
        <v>347</v>
      </c>
      <c r="T262" t="s">
        <v>730</v>
      </c>
      <c r="U262">
        <v>5.5981469402882468E-5</v>
      </c>
      <c r="V262" t="s">
        <v>238</v>
      </c>
      <c r="X262">
        <v>1.1415525114155251E-4</v>
      </c>
      <c r="Y262">
        <v>1.5579809230208258E-4</v>
      </c>
      <c r="Z262" t="s">
        <v>730</v>
      </c>
      <c r="AA262" t="s">
        <v>25</v>
      </c>
      <c r="AC262" t="s">
        <v>22</v>
      </c>
      <c r="AD262" t="s">
        <v>730</v>
      </c>
      <c r="AE262">
        <v>1.4465495610634283E-4</v>
      </c>
      <c r="AG262" t="s">
        <v>97</v>
      </c>
      <c r="AH262" t="s">
        <v>730</v>
      </c>
      <c r="AI262">
        <v>0</v>
      </c>
    </row>
    <row r="263" spans="9:35" x14ac:dyDescent="0.45">
      <c r="I263" t="s">
        <v>236</v>
      </c>
      <c r="J263" t="s">
        <v>731</v>
      </c>
      <c r="K263">
        <v>0</v>
      </c>
      <c r="L263" t="s">
        <v>238</v>
      </c>
      <c r="N263" t="s">
        <v>346</v>
      </c>
      <c r="O263" t="s">
        <v>731</v>
      </c>
      <c r="P263">
        <v>6.7190781514960533E-5</v>
      </c>
      <c r="Q263" t="s">
        <v>238</v>
      </c>
      <c r="S263" t="s">
        <v>347</v>
      </c>
      <c r="T263" t="s">
        <v>731</v>
      </c>
      <c r="U263">
        <v>7.6912904702839877E-5</v>
      </c>
      <c r="V263" t="s">
        <v>238</v>
      </c>
      <c r="X263">
        <v>1.1415525114155251E-4</v>
      </c>
      <c r="Y263">
        <v>1.093901499142282E-4</v>
      </c>
      <c r="Z263" t="s">
        <v>731</v>
      </c>
      <c r="AA263" t="s">
        <v>25</v>
      </c>
      <c r="AC263" t="s">
        <v>22</v>
      </c>
      <c r="AD263" t="s">
        <v>731</v>
      </c>
      <c r="AE263">
        <v>1.3588703944663312E-4</v>
      </c>
      <c r="AG263" t="s">
        <v>97</v>
      </c>
      <c r="AH263" t="s">
        <v>731</v>
      </c>
      <c r="AI263">
        <v>0</v>
      </c>
    </row>
    <row r="264" spans="9:35" x14ac:dyDescent="0.45">
      <c r="I264" t="s">
        <v>236</v>
      </c>
      <c r="J264" t="s">
        <v>732</v>
      </c>
      <c r="K264">
        <v>0</v>
      </c>
      <c r="L264" t="s">
        <v>238</v>
      </c>
      <c r="N264" t="s">
        <v>346</v>
      </c>
      <c r="O264" t="s">
        <v>732</v>
      </c>
      <c r="P264">
        <v>8.3135797574049593E-5</v>
      </c>
      <c r="Q264" t="s">
        <v>238</v>
      </c>
      <c r="S264" t="s">
        <v>347</v>
      </c>
      <c r="T264" t="s">
        <v>732</v>
      </c>
      <c r="U264">
        <v>1.01446734969E-4</v>
      </c>
      <c r="V264" t="s">
        <v>238</v>
      </c>
      <c r="X264">
        <v>1.1415525114155251E-4</v>
      </c>
      <c r="Y264">
        <v>7.9556472664893237E-5</v>
      </c>
      <c r="Z264" t="s">
        <v>732</v>
      </c>
      <c r="AA264" t="s">
        <v>25</v>
      </c>
      <c r="AC264" t="s">
        <v>22</v>
      </c>
      <c r="AD264" t="s">
        <v>732</v>
      </c>
      <c r="AE264">
        <v>1.2316367166224229E-4</v>
      </c>
      <c r="AG264" t="s">
        <v>97</v>
      </c>
      <c r="AH264" t="s">
        <v>732</v>
      </c>
      <c r="AI264">
        <v>0</v>
      </c>
    </row>
    <row r="265" spans="9:35" x14ac:dyDescent="0.45">
      <c r="I265" t="s">
        <v>236</v>
      </c>
      <c r="J265" t="s">
        <v>733</v>
      </c>
      <c r="K265">
        <v>0</v>
      </c>
      <c r="L265" t="s">
        <v>238</v>
      </c>
      <c r="N265" t="s">
        <v>346</v>
      </c>
      <c r="O265" t="s">
        <v>733</v>
      </c>
      <c r="P265">
        <v>9.4590203501045795E-5</v>
      </c>
      <c r="Q265" t="s">
        <v>238</v>
      </c>
      <c r="S265" t="s">
        <v>347</v>
      </c>
      <c r="T265" t="s">
        <v>733</v>
      </c>
      <c r="U265">
        <v>1.177722809815E-4</v>
      </c>
      <c r="V265" t="s">
        <v>238</v>
      </c>
      <c r="X265">
        <v>1.1415525114155251E-4</v>
      </c>
      <c r="Y265">
        <v>5.6352501470966035E-5</v>
      </c>
      <c r="Z265" t="s">
        <v>733</v>
      </c>
      <c r="AA265" t="s">
        <v>25</v>
      </c>
      <c r="AC265" t="s">
        <v>22</v>
      </c>
      <c r="AD265" t="s">
        <v>733</v>
      </c>
      <c r="AE265">
        <v>1.1354160686111597E-4</v>
      </c>
      <c r="AG265" t="s">
        <v>97</v>
      </c>
      <c r="AH265" t="s">
        <v>733</v>
      </c>
      <c r="AI265">
        <v>0</v>
      </c>
    </row>
    <row r="266" spans="9:35" x14ac:dyDescent="0.45">
      <c r="I266" t="s">
        <v>236</v>
      </c>
      <c r="J266" t="s">
        <v>734</v>
      </c>
      <c r="K266">
        <v>0</v>
      </c>
      <c r="L266" t="s">
        <v>238</v>
      </c>
      <c r="N266" t="s">
        <v>346</v>
      </c>
      <c r="O266" t="s">
        <v>734</v>
      </c>
      <c r="P266">
        <v>1.0709808980430001E-4</v>
      </c>
      <c r="Q266" t="s">
        <v>238</v>
      </c>
      <c r="S266" t="s">
        <v>347</v>
      </c>
      <c r="T266" t="s">
        <v>734</v>
      </c>
      <c r="U266">
        <v>1.4111428076950001E-4</v>
      </c>
      <c r="V266" t="s">
        <v>238</v>
      </c>
      <c r="X266">
        <v>1.1415525114155251E-4</v>
      </c>
      <c r="Y266">
        <v>2.9833677249334962E-5</v>
      </c>
      <c r="Z266" t="s">
        <v>734</v>
      </c>
      <c r="AA266" t="s">
        <v>25</v>
      </c>
      <c r="AC266" t="s">
        <v>22</v>
      </c>
      <c r="AD266" t="s">
        <v>734</v>
      </c>
      <c r="AE266">
        <v>9.1551591623033866E-5</v>
      </c>
      <c r="AG266" t="s">
        <v>97</v>
      </c>
      <c r="AH266" t="s">
        <v>734</v>
      </c>
      <c r="AI266">
        <v>0</v>
      </c>
    </row>
    <row r="267" spans="9:35" x14ac:dyDescent="0.45">
      <c r="I267" t="s">
        <v>236</v>
      </c>
      <c r="J267" t="s">
        <v>735</v>
      </c>
      <c r="K267">
        <v>0</v>
      </c>
      <c r="L267" t="s">
        <v>238</v>
      </c>
      <c r="N267" t="s">
        <v>346</v>
      </c>
      <c r="O267" t="s">
        <v>735</v>
      </c>
      <c r="P267">
        <v>3.2736869650750684E-2</v>
      </c>
      <c r="Q267" t="s">
        <v>238</v>
      </c>
      <c r="S267" t="s">
        <v>347</v>
      </c>
      <c r="T267" t="s">
        <v>735</v>
      </c>
      <c r="U267">
        <v>3.0780194376606354E-2</v>
      </c>
      <c r="V267" t="s">
        <v>238</v>
      </c>
      <c r="X267">
        <v>2.1232876712328767E-2</v>
      </c>
      <c r="Y267">
        <v>4.5420116185598634E-3</v>
      </c>
      <c r="Z267" t="s">
        <v>735</v>
      </c>
      <c r="AA267" t="s">
        <v>25</v>
      </c>
      <c r="AC267" t="s">
        <v>22</v>
      </c>
      <c r="AD267" t="s">
        <v>735</v>
      </c>
      <c r="AE267">
        <v>1.6670392473391051E-2</v>
      </c>
      <c r="AG267" t="s">
        <v>97</v>
      </c>
      <c r="AH267" t="s">
        <v>735</v>
      </c>
      <c r="AI267">
        <v>0.238545611948626</v>
      </c>
    </row>
    <row r="268" spans="9:35" x14ac:dyDescent="0.45">
      <c r="I268" t="s">
        <v>236</v>
      </c>
      <c r="J268" t="s">
        <v>736</v>
      </c>
      <c r="K268">
        <v>0</v>
      </c>
      <c r="L268" t="s">
        <v>238</v>
      </c>
      <c r="N268" t="s">
        <v>346</v>
      </c>
      <c r="O268" t="s">
        <v>736</v>
      </c>
      <c r="P268">
        <v>5.6504380713402287E-3</v>
      </c>
      <c r="Q268" t="s">
        <v>238</v>
      </c>
      <c r="S268" t="s">
        <v>347</v>
      </c>
      <c r="T268" t="s">
        <v>736</v>
      </c>
      <c r="U268">
        <v>5.1882266419378802E-3</v>
      </c>
      <c r="V268" t="s">
        <v>238</v>
      </c>
      <c r="X268">
        <v>3.5388127853881279E-3</v>
      </c>
      <c r="Y268">
        <v>5.240782636799844E-3</v>
      </c>
      <c r="Z268" t="s">
        <v>736</v>
      </c>
      <c r="AA268" t="s">
        <v>25</v>
      </c>
      <c r="AC268" t="s">
        <v>22</v>
      </c>
      <c r="AD268" t="s">
        <v>736</v>
      </c>
      <c r="AE268">
        <v>4.0687610115993757E-3</v>
      </c>
      <c r="AG268" t="s">
        <v>97</v>
      </c>
      <c r="AH268" t="s">
        <v>736</v>
      </c>
      <c r="AI268">
        <v>8.8374494449703134E-2</v>
      </c>
    </row>
    <row r="269" spans="9:35" x14ac:dyDescent="0.45">
      <c r="I269" t="s">
        <v>236</v>
      </c>
      <c r="J269" t="s">
        <v>737</v>
      </c>
      <c r="K269">
        <v>0</v>
      </c>
      <c r="L269" t="s">
        <v>238</v>
      </c>
      <c r="N269" t="s">
        <v>346</v>
      </c>
      <c r="O269" t="s">
        <v>737</v>
      </c>
      <c r="P269">
        <v>5.7246561551984381E-3</v>
      </c>
      <c r="Q269" t="s">
        <v>238</v>
      </c>
      <c r="S269" t="s">
        <v>347</v>
      </c>
      <c r="T269" t="s">
        <v>737</v>
      </c>
      <c r="U269">
        <v>5.2072656259497599E-3</v>
      </c>
      <c r="V269" t="s">
        <v>238</v>
      </c>
      <c r="X269">
        <v>3.5388127853881279E-3</v>
      </c>
      <c r="Y269">
        <v>5.9087255218821738E-3</v>
      </c>
      <c r="Z269" t="s">
        <v>737</v>
      </c>
      <c r="AA269" t="s">
        <v>25</v>
      </c>
      <c r="AC269" t="s">
        <v>22</v>
      </c>
      <c r="AD269" t="s">
        <v>737</v>
      </c>
      <c r="AE269">
        <v>4.2038454000450963E-3</v>
      </c>
      <c r="AG269" t="s">
        <v>97</v>
      </c>
      <c r="AH269" t="s">
        <v>737</v>
      </c>
      <c r="AI269">
        <v>6.5091704487547197E-2</v>
      </c>
    </row>
    <row r="270" spans="9:35" x14ac:dyDescent="0.45">
      <c r="I270" t="s">
        <v>236</v>
      </c>
      <c r="J270" t="s">
        <v>738</v>
      </c>
      <c r="K270">
        <v>1.0272097371431923E-3</v>
      </c>
      <c r="L270" t="s">
        <v>238</v>
      </c>
      <c r="N270" t="s">
        <v>346</v>
      </c>
      <c r="O270" t="s">
        <v>738</v>
      </c>
      <c r="P270">
        <v>5.7849962600277742E-3</v>
      </c>
      <c r="Q270" t="s">
        <v>238</v>
      </c>
      <c r="S270" t="s">
        <v>347</v>
      </c>
      <c r="T270" t="s">
        <v>738</v>
      </c>
      <c r="U270">
        <v>5.2610554246647918E-3</v>
      </c>
      <c r="V270" t="s">
        <v>238</v>
      </c>
      <c r="X270">
        <v>3.5388127853881279E-3</v>
      </c>
      <c r="Y270">
        <v>4.521459529788099E-3</v>
      </c>
      <c r="Z270" t="s">
        <v>738</v>
      </c>
      <c r="AA270" t="s">
        <v>25</v>
      </c>
      <c r="AC270" t="s">
        <v>22</v>
      </c>
      <c r="AD270" t="s">
        <v>738</v>
      </c>
      <c r="AE270">
        <v>4.3968656823916716E-3</v>
      </c>
      <c r="AG270" t="s">
        <v>97</v>
      </c>
      <c r="AH270" t="s">
        <v>738</v>
      </c>
      <c r="AI270">
        <v>6.750385296878858E-2</v>
      </c>
    </row>
    <row r="271" spans="9:35" x14ac:dyDescent="0.45">
      <c r="I271" t="s">
        <v>236</v>
      </c>
      <c r="J271" t="s">
        <v>739</v>
      </c>
      <c r="K271">
        <v>3.1282659105564783E-2</v>
      </c>
      <c r="L271" t="s">
        <v>238</v>
      </c>
      <c r="N271" t="s">
        <v>346</v>
      </c>
      <c r="O271" t="s">
        <v>739</v>
      </c>
      <c r="P271">
        <v>3.8357949136617581E-2</v>
      </c>
      <c r="Q271" t="s">
        <v>238</v>
      </c>
      <c r="S271" t="s">
        <v>347</v>
      </c>
      <c r="T271" t="s">
        <v>739</v>
      </c>
      <c r="U271">
        <v>3.5915033947914815E-2</v>
      </c>
      <c r="V271" t="s">
        <v>238</v>
      </c>
      <c r="X271">
        <v>2.4771689497716895E-2</v>
      </c>
      <c r="Y271">
        <v>3.2246227282897846E-2</v>
      </c>
      <c r="Z271" t="s">
        <v>739</v>
      </c>
      <c r="AA271" t="s">
        <v>25</v>
      </c>
      <c r="AC271" t="s">
        <v>22</v>
      </c>
      <c r="AD271" t="s">
        <v>739</v>
      </c>
      <c r="AE271">
        <v>3.0675490343048433E-2</v>
      </c>
      <c r="AG271" t="s">
        <v>97</v>
      </c>
      <c r="AH271" t="s">
        <v>739</v>
      </c>
      <c r="AI271">
        <v>8.5594267559709225E-2</v>
      </c>
    </row>
    <row r="272" spans="9:35" x14ac:dyDescent="0.45">
      <c r="I272" t="s">
        <v>236</v>
      </c>
      <c r="J272" t="s">
        <v>740</v>
      </c>
      <c r="K272">
        <v>1.0104074563618622E-3</v>
      </c>
      <c r="L272" t="s">
        <v>238</v>
      </c>
      <c r="N272" t="s">
        <v>346</v>
      </c>
      <c r="O272" t="s">
        <v>740</v>
      </c>
      <c r="P272">
        <v>5.4775786312612857E-3</v>
      </c>
      <c r="Q272" t="s">
        <v>238</v>
      </c>
      <c r="S272" t="s">
        <v>347</v>
      </c>
      <c r="T272" t="s">
        <v>740</v>
      </c>
      <c r="U272">
        <v>5.123830979424461E-3</v>
      </c>
      <c r="V272" t="s">
        <v>238</v>
      </c>
      <c r="X272">
        <v>3.5388127853881279E-3</v>
      </c>
      <c r="Y272">
        <v>6.8849497385409693E-3</v>
      </c>
      <c r="Z272" t="s">
        <v>740</v>
      </c>
      <c r="AA272" t="s">
        <v>25</v>
      </c>
      <c r="AC272" t="s">
        <v>22</v>
      </c>
      <c r="AD272" t="s">
        <v>740</v>
      </c>
      <c r="AE272">
        <v>4.467192456880929E-3</v>
      </c>
      <c r="AG272" t="s">
        <v>97</v>
      </c>
      <c r="AH272" t="s">
        <v>740</v>
      </c>
      <c r="AI272">
        <v>7.3382032846391221E-2</v>
      </c>
    </row>
    <row r="273" spans="9:35" x14ac:dyDescent="0.45">
      <c r="I273" t="s">
        <v>236</v>
      </c>
      <c r="J273" t="s">
        <v>741</v>
      </c>
      <c r="K273">
        <v>0</v>
      </c>
      <c r="L273" t="s">
        <v>238</v>
      </c>
      <c r="N273" t="s">
        <v>346</v>
      </c>
      <c r="O273" t="s">
        <v>741</v>
      </c>
      <c r="P273">
        <v>5.5579987889586074E-3</v>
      </c>
      <c r="Q273" t="s">
        <v>238</v>
      </c>
      <c r="S273" t="s">
        <v>347</v>
      </c>
      <c r="T273" t="s">
        <v>741</v>
      </c>
      <c r="U273">
        <v>5.0881884999339905E-3</v>
      </c>
      <c r="V273" t="s">
        <v>238</v>
      </c>
      <c r="X273">
        <v>3.5388127853881279E-3</v>
      </c>
      <c r="Y273">
        <v>6.8849497385409693E-3</v>
      </c>
      <c r="Z273" t="s">
        <v>741</v>
      </c>
      <c r="AA273" t="s">
        <v>25</v>
      </c>
      <c r="AC273" t="s">
        <v>22</v>
      </c>
      <c r="AD273" t="s">
        <v>741</v>
      </c>
      <c r="AE273">
        <v>4.4859837159920953E-3</v>
      </c>
      <c r="AG273" t="s">
        <v>97</v>
      </c>
      <c r="AH273" t="s">
        <v>741</v>
      </c>
      <c r="AI273">
        <v>7.2204719550229779E-2</v>
      </c>
    </row>
    <row r="274" spans="9:35" x14ac:dyDescent="0.45">
      <c r="I274" t="s">
        <v>236</v>
      </c>
      <c r="J274" t="s">
        <v>742</v>
      </c>
      <c r="K274">
        <v>0</v>
      </c>
      <c r="L274" t="s">
        <v>238</v>
      </c>
      <c r="N274" t="s">
        <v>346</v>
      </c>
      <c r="O274" t="s">
        <v>742</v>
      </c>
      <c r="P274">
        <v>3.3173230194001944E-2</v>
      </c>
      <c r="Q274" t="s">
        <v>238</v>
      </c>
      <c r="S274" t="s">
        <v>347</v>
      </c>
      <c r="T274" t="s">
        <v>742</v>
      </c>
      <c r="U274">
        <v>3.0508743271377835E-2</v>
      </c>
      <c r="V274" t="s">
        <v>238</v>
      </c>
      <c r="X274">
        <v>2.1232876712328767E-2</v>
      </c>
      <c r="Y274">
        <v>1.8702400782305319E-2</v>
      </c>
      <c r="Z274" t="s">
        <v>742</v>
      </c>
      <c r="AA274" t="s">
        <v>25</v>
      </c>
      <c r="AC274" t="s">
        <v>22</v>
      </c>
      <c r="AD274" t="s">
        <v>742</v>
      </c>
      <c r="AE274">
        <v>2.313533083755422E-2</v>
      </c>
      <c r="AG274" t="s">
        <v>97</v>
      </c>
      <c r="AH274" t="s">
        <v>742</v>
      </c>
      <c r="AI274">
        <v>0.173387686403907</v>
      </c>
    </row>
    <row r="275" spans="9:35" x14ac:dyDescent="0.45">
      <c r="AC275" t="s">
        <v>19</v>
      </c>
      <c r="AD275" t="s">
        <v>237</v>
      </c>
      <c r="AE275">
        <v>3.9037301019455191E-2</v>
      </c>
    </row>
    <row r="276" spans="9:35" x14ac:dyDescent="0.45">
      <c r="AC276" t="s">
        <v>19</v>
      </c>
      <c r="AD276" t="s">
        <v>239</v>
      </c>
      <c r="AE276">
        <v>6.645075137538428E-3</v>
      </c>
    </row>
    <row r="277" spans="9:35" x14ac:dyDescent="0.45">
      <c r="AC277" t="s">
        <v>19</v>
      </c>
      <c r="AD277" t="s">
        <v>240</v>
      </c>
      <c r="AE277">
        <v>6.6683995017361841E-3</v>
      </c>
    </row>
    <row r="278" spans="9:35" x14ac:dyDescent="0.45">
      <c r="AC278" t="s">
        <v>19</v>
      </c>
      <c r="AD278" t="s">
        <v>241</v>
      </c>
      <c r="AE278">
        <v>6.6875673938691232E-3</v>
      </c>
    </row>
    <row r="279" spans="9:35" x14ac:dyDescent="0.45">
      <c r="AC279" t="s">
        <v>19</v>
      </c>
      <c r="AD279" t="s">
        <v>242</v>
      </c>
      <c r="AE279">
        <v>4.6842618343358934E-2</v>
      </c>
    </row>
    <row r="280" spans="9:35" x14ac:dyDescent="0.45">
      <c r="AC280" t="s">
        <v>19</v>
      </c>
      <c r="AD280" t="s">
        <v>243</v>
      </c>
      <c r="AE280">
        <v>6.7045238904976431E-3</v>
      </c>
    </row>
    <row r="281" spans="9:35" x14ac:dyDescent="0.45">
      <c r="AC281" t="s">
        <v>19</v>
      </c>
      <c r="AD281" t="s">
        <v>244</v>
      </c>
      <c r="AE281">
        <v>6.706977174964498E-3</v>
      </c>
    </row>
    <row r="282" spans="9:35" x14ac:dyDescent="0.45">
      <c r="AC282" t="s">
        <v>19</v>
      </c>
      <c r="AD282" t="s">
        <v>245</v>
      </c>
      <c r="AE282">
        <v>3.9810909174051896E-2</v>
      </c>
    </row>
    <row r="283" spans="9:35" x14ac:dyDescent="0.45">
      <c r="AC283" t="s">
        <v>19</v>
      </c>
      <c r="AD283" t="s">
        <v>511</v>
      </c>
      <c r="AE283">
        <v>1.1148565175809656E-4</v>
      </c>
    </row>
    <row r="284" spans="9:35" x14ac:dyDescent="0.45">
      <c r="AC284" t="s">
        <v>19</v>
      </c>
      <c r="AD284" t="s">
        <v>512</v>
      </c>
      <c r="AE284">
        <v>1.1125003101462104E-4</v>
      </c>
    </row>
    <row r="285" spans="9:35" x14ac:dyDescent="0.45">
      <c r="AC285" t="s">
        <v>19</v>
      </c>
      <c r="AD285" t="s">
        <v>513</v>
      </c>
      <c r="AE285">
        <v>1.1123379793474996E-4</v>
      </c>
    </row>
    <row r="286" spans="9:35" x14ac:dyDescent="0.45">
      <c r="AC286" t="s">
        <v>19</v>
      </c>
      <c r="AD286" t="s">
        <v>514</v>
      </c>
      <c r="AE286">
        <v>1.1123379793474996E-4</v>
      </c>
    </row>
    <row r="287" spans="9:35" x14ac:dyDescent="0.45">
      <c r="AC287" t="s">
        <v>19</v>
      </c>
      <c r="AD287" t="s">
        <v>515</v>
      </c>
      <c r="AE287">
        <v>1.1166469780736784E-4</v>
      </c>
    </row>
    <row r="288" spans="9:35" x14ac:dyDescent="0.45">
      <c r="AC288" t="s">
        <v>19</v>
      </c>
      <c r="AD288" t="s">
        <v>516</v>
      </c>
      <c r="AE288">
        <v>1.1315123004229621E-4</v>
      </c>
    </row>
    <row r="289" spans="29:31" x14ac:dyDescent="0.45">
      <c r="AC289" t="s">
        <v>19</v>
      </c>
      <c r="AD289" t="s">
        <v>517</v>
      </c>
      <c r="AE289">
        <v>1.1455273951235516E-4</v>
      </c>
    </row>
    <row r="290" spans="29:31" x14ac:dyDescent="0.45">
      <c r="AC290" t="s">
        <v>19</v>
      </c>
      <c r="AD290" t="s">
        <v>518</v>
      </c>
      <c r="AE290">
        <v>1.1525992318990785E-4</v>
      </c>
    </row>
    <row r="291" spans="29:31" x14ac:dyDescent="0.45">
      <c r="AC291" t="s">
        <v>19</v>
      </c>
      <c r="AD291" t="s">
        <v>519</v>
      </c>
      <c r="AE291">
        <v>1.1537082244843316E-4</v>
      </c>
    </row>
    <row r="292" spans="29:31" x14ac:dyDescent="0.45">
      <c r="AC292" t="s">
        <v>19</v>
      </c>
      <c r="AD292" t="s">
        <v>520</v>
      </c>
      <c r="AE292">
        <v>1.1535089272661122E-4</v>
      </c>
    </row>
    <row r="293" spans="29:31" x14ac:dyDescent="0.45">
      <c r="AC293" t="s">
        <v>19</v>
      </c>
      <c r="AD293" t="s">
        <v>521</v>
      </c>
      <c r="AE293">
        <v>1.1535121417373738E-4</v>
      </c>
    </row>
    <row r="294" spans="29:31" x14ac:dyDescent="0.45">
      <c r="AC294" t="s">
        <v>19</v>
      </c>
      <c r="AD294" t="s">
        <v>522</v>
      </c>
      <c r="AE294">
        <v>1.1534237437776797E-4</v>
      </c>
    </row>
    <row r="295" spans="29:31" x14ac:dyDescent="0.45">
      <c r="AC295" t="s">
        <v>19</v>
      </c>
      <c r="AD295" t="s">
        <v>523</v>
      </c>
      <c r="AE295">
        <v>1.1535491081568822E-4</v>
      </c>
    </row>
    <row r="296" spans="29:31" x14ac:dyDescent="0.45">
      <c r="AC296" t="s">
        <v>19</v>
      </c>
      <c r="AD296" t="s">
        <v>524</v>
      </c>
      <c r="AE296">
        <v>1.1535491081568822E-4</v>
      </c>
    </row>
    <row r="297" spans="29:31" x14ac:dyDescent="0.45">
      <c r="AC297" t="s">
        <v>19</v>
      </c>
      <c r="AD297" t="s">
        <v>525</v>
      </c>
      <c r="AE297">
        <v>1.1534237437776797E-4</v>
      </c>
    </row>
    <row r="298" spans="29:31" x14ac:dyDescent="0.45">
      <c r="AC298" t="s">
        <v>19</v>
      </c>
      <c r="AD298" t="s">
        <v>526</v>
      </c>
      <c r="AE298">
        <v>1.1534237437776797E-4</v>
      </c>
    </row>
    <row r="299" spans="29:31" x14ac:dyDescent="0.45">
      <c r="AC299" t="s">
        <v>19</v>
      </c>
      <c r="AD299" t="s">
        <v>527</v>
      </c>
      <c r="AE299">
        <v>1.1541228912770783E-4</v>
      </c>
    </row>
    <row r="300" spans="29:31" x14ac:dyDescent="0.45">
      <c r="AC300" t="s">
        <v>19</v>
      </c>
      <c r="AD300" t="s">
        <v>528</v>
      </c>
      <c r="AE300">
        <v>1.1541068189207705E-4</v>
      </c>
    </row>
    <row r="301" spans="29:31" x14ac:dyDescent="0.45">
      <c r="AC301" t="s">
        <v>19</v>
      </c>
      <c r="AD301" t="s">
        <v>529</v>
      </c>
      <c r="AE301">
        <v>1.1541068189207705E-4</v>
      </c>
    </row>
    <row r="302" spans="29:31" x14ac:dyDescent="0.45">
      <c r="AC302" t="s">
        <v>19</v>
      </c>
      <c r="AD302" t="s">
        <v>530</v>
      </c>
      <c r="AE302">
        <v>1.1516573918194288E-4</v>
      </c>
    </row>
    <row r="303" spans="29:31" x14ac:dyDescent="0.45">
      <c r="AC303" t="s">
        <v>19</v>
      </c>
      <c r="AD303" t="s">
        <v>531</v>
      </c>
      <c r="AE303">
        <v>1.1433704849070159E-4</v>
      </c>
    </row>
    <row r="304" spans="29:31" x14ac:dyDescent="0.45">
      <c r="AC304" t="s">
        <v>19</v>
      </c>
      <c r="AD304" t="s">
        <v>532</v>
      </c>
      <c r="AE304">
        <v>1.1375555063947759E-4</v>
      </c>
    </row>
    <row r="305" spans="29:31" x14ac:dyDescent="0.45">
      <c r="AC305" t="s">
        <v>19</v>
      </c>
      <c r="AD305" t="s">
        <v>533</v>
      </c>
      <c r="AE305">
        <v>1.1325923627668608E-4</v>
      </c>
    </row>
    <row r="306" spans="29:31" x14ac:dyDescent="0.45">
      <c r="AC306" t="s">
        <v>19</v>
      </c>
      <c r="AD306" t="s">
        <v>534</v>
      </c>
      <c r="AE306">
        <v>1.117267371027168E-4</v>
      </c>
    </row>
    <row r="307" spans="29:31" x14ac:dyDescent="0.45">
      <c r="AC307" t="s">
        <v>19</v>
      </c>
      <c r="AD307" t="s">
        <v>247</v>
      </c>
      <c r="AE307">
        <v>6.0053978398298354E-2</v>
      </c>
    </row>
    <row r="308" spans="29:31" x14ac:dyDescent="0.45">
      <c r="AC308" t="s">
        <v>19</v>
      </c>
      <c r="AD308" t="s">
        <v>248</v>
      </c>
      <c r="AE308">
        <v>1.0183381572807404E-2</v>
      </c>
    </row>
    <row r="309" spans="29:31" x14ac:dyDescent="0.45">
      <c r="AC309" t="s">
        <v>19</v>
      </c>
      <c r="AD309" t="s">
        <v>249</v>
      </c>
      <c r="AE309">
        <v>1.0233360654153497E-2</v>
      </c>
    </row>
    <row r="310" spans="29:31" x14ac:dyDescent="0.45">
      <c r="AC310" t="s">
        <v>19</v>
      </c>
      <c r="AD310" t="s">
        <v>250</v>
      </c>
      <c r="AE310">
        <v>1.0258556483519759E-2</v>
      </c>
    </row>
    <row r="311" spans="29:31" x14ac:dyDescent="0.45">
      <c r="AC311" t="s">
        <v>19</v>
      </c>
      <c r="AD311" t="s">
        <v>251</v>
      </c>
      <c r="AE311">
        <v>7.1727758893514709E-2</v>
      </c>
    </row>
    <row r="312" spans="29:31" x14ac:dyDescent="0.45">
      <c r="AC312" t="s">
        <v>19</v>
      </c>
      <c r="AD312" t="s">
        <v>252</v>
      </c>
      <c r="AE312">
        <v>1.0246015545339739E-2</v>
      </c>
    </row>
    <row r="313" spans="29:31" x14ac:dyDescent="0.45">
      <c r="AC313" t="s">
        <v>19</v>
      </c>
      <c r="AD313" t="s">
        <v>253</v>
      </c>
      <c r="AE313">
        <v>1.0250582505384664E-2</v>
      </c>
    </row>
    <row r="314" spans="29:31" x14ac:dyDescent="0.45">
      <c r="AC314" t="s">
        <v>19</v>
      </c>
      <c r="AD314" t="s">
        <v>254</v>
      </c>
      <c r="AE314">
        <v>6.0939574392113109E-2</v>
      </c>
    </row>
    <row r="315" spans="29:31" x14ac:dyDescent="0.45">
      <c r="AC315" t="s">
        <v>19</v>
      </c>
      <c r="AD315" t="s">
        <v>535</v>
      </c>
      <c r="AE315">
        <v>1.1236443810452119E-4</v>
      </c>
    </row>
    <row r="316" spans="29:31" x14ac:dyDescent="0.45">
      <c r="AC316" t="s">
        <v>19</v>
      </c>
      <c r="AD316" t="s">
        <v>536</v>
      </c>
      <c r="AE316">
        <v>1.1229371973676592E-4</v>
      </c>
    </row>
    <row r="317" spans="29:31" x14ac:dyDescent="0.45">
      <c r="AC317" t="s">
        <v>19</v>
      </c>
      <c r="AD317" t="s">
        <v>537</v>
      </c>
      <c r="AE317">
        <v>1.1225996778851908E-4</v>
      </c>
    </row>
    <row r="318" spans="29:31" x14ac:dyDescent="0.45">
      <c r="AC318" t="s">
        <v>19</v>
      </c>
      <c r="AD318" t="s">
        <v>538</v>
      </c>
      <c r="AE318">
        <v>1.1227652231551634E-4</v>
      </c>
    </row>
    <row r="319" spans="29:31" x14ac:dyDescent="0.45">
      <c r="AC319" t="s">
        <v>19</v>
      </c>
      <c r="AD319" t="s">
        <v>539</v>
      </c>
      <c r="AE319">
        <v>1.1274792452603044E-4</v>
      </c>
    </row>
    <row r="320" spans="29:31" x14ac:dyDescent="0.45">
      <c r="AC320" t="s">
        <v>19</v>
      </c>
      <c r="AD320" t="s">
        <v>540</v>
      </c>
      <c r="AE320">
        <v>1.1436030331085057E-4</v>
      </c>
    </row>
    <row r="321" spans="29:31" x14ac:dyDescent="0.45">
      <c r="AC321" t="s">
        <v>19</v>
      </c>
      <c r="AD321" t="s">
        <v>541</v>
      </c>
      <c r="AE321">
        <v>1.1565396727008273E-4</v>
      </c>
    </row>
    <row r="322" spans="29:31" x14ac:dyDescent="0.45">
      <c r="AC322" t="s">
        <v>19</v>
      </c>
      <c r="AD322" t="s">
        <v>542</v>
      </c>
      <c r="AE322">
        <v>1.1609434983292236E-4</v>
      </c>
    </row>
    <row r="323" spans="29:31" x14ac:dyDescent="0.45">
      <c r="AC323" t="s">
        <v>19</v>
      </c>
      <c r="AD323" t="s">
        <v>543</v>
      </c>
      <c r="AE323">
        <v>1.1638654527060209E-4</v>
      </c>
    </row>
    <row r="324" spans="29:31" x14ac:dyDescent="0.45">
      <c r="AC324" t="s">
        <v>19</v>
      </c>
      <c r="AD324" t="s">
        <v>544</v>
      </c>
      <c r="AE324">
        <v>1.1625426977818712E-4</v>
      </c>
    </row>
    <row r="325" spans="29:31" x14ac:dyDescent="0.45">
      <c r="AC325" t="s">
        <v>19</v>
      </c>
      <c r="AD325" t="s">
        <v>545</v>
      </c>
      <c r="AE325">
        <v>1.162129638224755E-4</v>
      </c>
    </row>
    <row r="326" spans="29:31" x14ac:dyDescent="0.45">
      <c r="AC326" t="s">
        <v>19</v>
      </c>
      <c r="AD326" t="s">
        <v>546</v>
      </c>
      <c r="AE326">
        <v>1.1617053280182235E-4</v>
      </c>
    </row>
    <row r="327" spans="29:31" x14ac:dyDescent="0.45">
      <c r="AC327" t="s">
        <v>19</v>
      </c>
      <c r="AD327" t="s">
        <v>547</v>
      </c>
      <c r="AE327">
        <v>1.1611669040819051E-4</v>
      </c>
    </row>
    <row r="328" spans="29:31" x14ac:dyDescent="0.45">
      <c r="AC328" t="s">
        <v>19</v>
      </c>
      <c r="AD328" t="s">
        <v>548</v>
      </c>
      <c r="AE328">
        <v>1.1611669040819051E-4</v>
      </c>
    </row>
    <row r="329" spans="29:31" x14ac:dyDescent="0.45">
      <c r="AC329" t="s">
        <v>19</v>
      </c>
      <c r="AD329" t="s">
        <v>549</v>
      </c>
      <c r="AE329">
        <v>1.1611669040819051E-4</v>
      </c>
    </row>
    <row r="330" spans="29:31" x14ac:dyDescent="0.45">
      <c r="AC330" t="s">
        <v>19</v>
      </c>
      <c r="AD330" t="s">
        <v>550</v>
      </c>
      <c r="AE330">
        <v>1.1615429972195125E-4</v>
      </c>
    </row>
    <row r="331" spans="29:31" x14ac:dyDescent="0.45">
      <c r="AC331" t="s">
        <v>19</v>
      </c>
      <c r="AD331" t="s">
        <v>551</v>
      </c>
      <c r="AE331">
        <v>1.1629252198620019E-4</v>
      </c>
    </row>
    <row r="332" spans="29:31" x14ac:dyDescent="0.45">
      <c r="AC332" t="s">
        <v>19</v>
      </c>
      <c r="AD332" t="s">
        <v>552</v>
      </c>
      <c r="AE332">
        <v>1.1634282846144428E-4</v>
      </c>
    </row>
    <row r="333" spans="29:31" x14ac:dyDescent="0.45">
      <c r="AC333" t="s">
        <v>19</v>
      </c>
      <c r="AD333" t="s">
        <v>553</v>
      </c>
      <c r="AE333">
        <v>1.1650757011360143E-4</v>
      </c>
    </row>
    <row r="334" spans="29:31" x14ac:dyDescent="0.45">
      <c r="AC334" t="s">
        <v>19</v>
      </c>
      <c r="AD334" t="s">
        <v>554</v>
      </c>
      <c r="AE334">
        <v>1.1623128630866664E-4</v>
      </c>
    </row>
    <row r="335" spans="29:31" x14ac:dyDescent="0.45">
      <c r="AC335" t="s">
        <v>19</v>
      </c>
      <c r="AD335" t="s">
        <v>555</v>
      </c>
      <c r="AE335">
        <v>1.1544181216681693E-4</v>
      </c>
    </row>
    <row r="336" spans="29:31" x14ac:dyDescent="0.45">
      <c r="AC336" t="s">
        <v>19</v>
      </c>
      <c r="AD336" t="s">
        <v>556</v>
      </c>
      <c r="AE336">
        <v>1.1487944041959947E-4</v>
      </c>
    </row>
    <row r="337" spans="29:31" x14ac:dyDescent="0.45">
      <c r="AC337" t="s">
        <v>19</v>
      </c>
      <c r="AD337" t="s">
        <v>557</v>
      </c>
      <c r="AE337">
        <v>1.1436158909935519E-4</v>
      </c>
    </row>
    <row r="338" spans="29:31" x14ac:dyDescent="0.45">
      <c r="AC338" t="s">
        <v>19</v>
      </c>
      <c r="AD338" t="s">
        <v>558</v>
      </c>
      <c r="AE338">
        <v>1.1256164591642054E-4</v>
      </c>
    </row>
    <row r="339" spans="29:31" x14ac:dyDescent="0.45">
      <c r="AC339" t="s">
        <v>19</v>
      </c>
      <c r="AD339" t="s">
        <v>559</v>
      </c>
      <c r="AE339">
        <v>1.1225016365117119E-4</v>
      </c>
    </row>
    <row r="340" spans="29:31" x14ac:dyDescent="0.45">
      <c r="AC340" t="s">
        <v>19</v>
      </c>
      <c r="AD340" t="s">
        <v>560</v>
      </c>
      <c r="AE340">
        <v>1.121779987713482E-4</v>
      </c>
    </row>
    <row r="341" spans="29:31" x14ac:dyDescent="0.45">
      <c r="AC341" t="s">
        <v>19</v>
      </c>
      <c r="AD341" t="s">
        <v>561</v>
      </c>
      <c r="AE341">
        <v>1.1216690884549567E-4</v>
      </c>
    </row>
    <row r="342" spans="29:31" x14ac:dyDescent="0.45">
      <c r="AC342" t="s">
        <v>19</v>
      </c>
      <c r="AD342" t="s">
        <v>562</v>
      </c>
      <c r="AE342">
        <v>1.1216690884549567E-4</v>
      </c>
    </row>
    <row r="343" spans="29:31" x14ac:dyDescent="0.45">
      <c r="AC343" t="s">
        <v>19</v>
      </c>
      <c r="AD343" t="s">
        <v>563</v>
      </c>
      <c r="AE343">
        <v>1.1220017862305327E-4</v>
      </c>
    </row>
    <row r="344" spans="29:31" x14ac:dyDescent="0.45">
      <c r="AC344" t="s">
        <v>19</v>
      </c>
      <c r="AD344" t="s">
        <v>564</v>
      </c>
      <c r="AE344">
        <v>1.1228487994079651E-4</v>
      </c>
    </row>
    <row r="345" spans="29:31" x14ac:dyDescent="0.45">
      <c r="AC345" t="s">
        <v>19</v>
      </c>
      <c r="AD345" t="s">
        <v>565</v>
      </c>
      <c r="AE345">
        <v>1.1300427860914327E-4</v>
      </c>
    </row>
    <row r="346" spans="29:31" x14ac:dyDescent="0.45">
      <c r="AC346" t="s">
        <v>19</v>
      </c>
      <c r="AD346" t="s">
        <v>566</v>
      </c>
      <c r="AE346">
        <v>1.1391333108192466E-4</v>
      </c>
    </row>
    <row r="347" spans="29:31" x14ac:dyDescent="0.45">
      <c r="AC347" t="s">
        <v>19</v>
      </c>
      <c r="AD347" t="s">
        <v>567</v>
      </c>
      <c r="AE347">
        <v>1.1439051934070962E-4</v>
      </c>
    </row>
    <row r="348" spans="29:31" x14ac:dyDescent="0.45">
      <c r="AC348" t="s">
        <v>19</v>
      </c>
      <c r="AD348" t="s">
        <v>568</v>
      </c>
      <c r="AE348">
        <v>1.1443230746711047E-4</v>
      </c>
    </row>
    <row r="349" spans="29:31" x14ac:dyDescent="0.45">
      <c r="AC349" t="s">
        <v>19</v>
      </c>
      <c r="AD349" t="s">
        <v>569</v>
      </c>
      <c r="AE349">
        <v>1.1437332191946005E-4</v>
      </c>
    </row>
    <row r="350" spans="29:31" x14ac:dyDescent="0.45">
      <c r="AC350" t="s">
        <v>19</v>
      </c>
      <c r="AD350" t="s">
        <v>570</v>
      </c>
      <c r="AE350">
        <v>1.143138542011204E-4</v>
      </c>
    </row>
    <row r="351" spans="29:31" x14ac:dyDescent="0.45">
      <c r="AC351" t="s">
        <v>19</v>
      </c>
      <c r="AD351" t="s">
        <v>571</v>
      </c>
      <c r="AE351">
        <v>1.1419540093513031E-4</v>
      </c>
    </row>
    <row r="352" spans="29:31" x14ac:dyDescent="0.45">
      <c r="AC352" t="s">
        <v>19</v>
      </c>
      <c r="AD352" t="s">
        <v>572</v>
      </c>
      <c r="AE352">
        <v>1.1416679214090204E-4</v>
      </c>
    </row>
    <row r="353" spans="29:31" x14ac:dyDescent="0.45">
      <c r="AC353" t="s">
        <v>19</v>
      </c>
      <c r="AD353" t="s">
        <v>573</v>
      </c>
      <c r="AE353">
        <v>1.1411005672313475E-4</v>
      </c>
    </row>
    <row r="354" spans="29:31" x14ac:dyDescent="0.45">
      <c r="AC354" t="s">
        <v>19</v>
      </c>
      <c r="AD354" t="s">
        <v>574</v>
      </c>
      <c r="AE354">
        <v>1.1415345208516641E-4</v>
      </c>
    </row>
    <row r="355" spans="29:31" x14ac:dyDescent="0.45">
      <c r="AC355" t="s">
        <v>19</v>
      </c>
      <c r="AD355" t="s">
        <v>575</v>
      </c>
      <c r="AE355">
        <v>1.1446541652110497E-4</v>
      </c>
    </row>
    <row r="356" spans="29:31" x14ac:dyDescent="0.45">
      <c r="AC356" t="s">
        <v>19</v>
      </c>
      <c r="AD356" t="s">
        <v>576</v>
      </c>
      <c r="AE356">
        <v>1.1450125787567186E-4</v>
      </c>
    </row>
    <row r="357" spans="29:31" x14ac:dyDescent="0.45">
      <c r="AC357" t="s">
        <v>19</v>
      </c>
      <c r="AD357" t="s">
        <v>577</v>
      </c>
      <c r="AE357">
        <v>1.1468142898988472E-4</v>
      </c>
    </row>
    <row r="358" spans="29:31" x14ac:dyDescent="0.45">
      <c r="AC358" t="s">
        <v>19</v>
      </c>
      <c r="AD358" t="s">
        <v>578</v>
      </c>
      <c r="AE358">
        <v>1.1447313125213283E-4</v>
      </c>
    </row>
    <row r="359" spans="29:31" x14ac:dyDescent="0.45">
      <c r="AC359" t="s">
        <v>19</v>
      </c>
      <c r="AD359" t="s">
        <v>579</v>
      </c>
      <c r="AE359">
        <v>1.1433105162236997E-4</v>
      </c>
    </row>
    <row r="360" spans="29:31" x14ac:dyDescent="0.45">
      <c r="AC360" t="s">
        <v>19</v>
      </c>
      <c r="AD360" t="s">
        <v>580</v>
      </c>
      <c r="AE360">
        <v>1.1407598332776178E-4</v>
      </c>
    </row>
    <row r="361" spans="29:31" x14ac:dyDescent="0.45">
      <c r="AC361" t="s">
        <v>19</v>
      </c>
      <c r="AD361" t="s">
        <v>581</v>
      </c>
      <c r="AE361">
        <v>1.1383120134119068E-4</v>
      </c>
    </row>
    <row r="362" spans="29:31" x14ac:dyDescent="0.45">
      <c r="AC362" t="s">
        <v>19</v>
      </c>
      <c r="AD362" t="s">
        <v>582</v>
      </c>
      <c r="AE362">
        <v>1.1189994700721954E-4</v>
      </c>
    </row>
    <row r="363" spans="29:31" x14ac:dyDescent="0.45">
      <c r="AC363" t="s">
        <v>19</v>
      </c>
      <c r="AD363" t="s">
        <v>583</v>
      </c>
      <c r="AE363">
        <v>1.1158589316496091E-4</v>
      </c>
    </row>
    <row r="364" spans="29:31" x14ac:dyDescent="0.45">
      <c r="AC364" t="s">
        <v>19</v>
      </c>
      <c r="AD364" t="s">
        <v>584</v>
      </c>
      <c r="AE364">
        <v>1.1144252774669341E-4</v>
      </c>
    </row>
    <row r="365" spans="29:31" x14ac:dyDescent="0.45">
      <c r="AC365" t="s">
        <v>19</v>
      </c>
      <c r="AD365" t="s">
        <v>585</v>
      </c>
      <c r="AE365">
        <v>1.1141584763522211E-4</v>
      </c>
    </row>
    <row r="366" spans="29:31" x14ac:dyDescent="0.45">
      <c r="AC366" t="s">
        <v>19</v>
      </c>
      <c r="AD366" t="s">
        <v>586</v>
      </c>
      <c r="AE366">
        <v>1.1162494899078938E-4</v>
      </c>
    </row>
    <row r="367" spans="29:31" x14ac:dyDescent="0.45">
      <c r="AC367" t="s">
        <v>19</v>
      </c>
      <c r="AD367" t="s">
        <v>587</v>
      </c>
      <c r="AE367">
        <v>1.1180608444638072E-4</v>
      </c>
    </row>
    <row r="368" spans="29:31" x14ac:dyDescent="0.45">
      <c r="AC368" t="s">
        <v>19</v>
      </c>
      <c r="AD368" t="s">
        <v>588</v>
      </c>
      <c r="AE368">
        <v>1.1208493982832479E-4</v>
      </c>
    </row>
    <row r="369" spans="29:31" x14ac:dyDescent="0.45">
      <c r="AC369" t="s">
        <v>19</v>
      </c>
      <c r="AD369" t="s">
        <v>589</v>
      </c>
      <c r="AE369">
        <v>1.1282442894205659E-4</v>
      </c>
    </row>
    <row r="370" spans="29:31" x14ac:dyDescent="0.45">
      <c r="AC370" t="s">
        <v>19</v>
      </c>
      <c r="AD370" t="s">
        <v>590</v>
      </c>
      <c r="AE370">
        <v>1.1375308968953372E-4</v>
      </c>
    </row>
    <row r="371" spans="29:31" x14ac:dyDescent="0.45">
      <c r="AC371" t="s">
        <v>19</v>
      </c>
      <c r="AD371" t="s">
        <v>591</v>
      </c>
      <c r="AE371">
        <v>1.1407260813293709E-4</v>
      </c>
    </row>
    <row r="372" spans="29:31" x14ac:dyDescent="0.45">
      <c r="AC372" t="s">
        <v>19</v>
      </c>
      <c r="AD372" t="s">
        <v>592</v>
      </c>
      <c r="AE372">
        <v>1.1436480357061679E-4</v>
      </c>
    </row>
    <row r="373" spans="29:31" x14ac:dyDescent="0.45">
      <c r="AC373" t="s">
        <v>19</v>
      </c>
      <c r="AD373" t="s">
        <v>593</v>
      </c>
      <c r="AE373">
        <v>1.1434214154822248E-4</v>
      </c>
    </row>
    <row r="374" spans="29:31" x14ac:dyDescent="0.45">
      <c r="AC374" t="s">
        <v>19</v>
      </c>
      <c r="AD374" t="s">
        <v>594</v>
      </c>
      <c r="AE374">
        <v>1.1431385420112037E-4</v>
      </c>
    </row>
    <row r="375" spans="29:31" x14ac:dyDescent="0.45">
      <c r="AC375" t="s">
        <v>19</v>
      </c>
      <c r="AD375" t="s">
        <v>595</v>
      </c>
      <c r="AE375">
        <v>1.1426692292070097E-4</v>
      </c>
    </row>
    <row r="376" spans="29:31" x14ac:dyDescent="0.45">
      <c r="AC376" t="s">
        <v>19</v>
      </c>
      <c r="AD376" t="s">
        <v>596</v>
      </c>
      <c r="AE376">
        <v>1.1422867071268789E-4</v>
      </c>
    </row>
    <row r="377" spans="29:31" x14ac:dyDescent="0.45">
      <c r="AC377" t="s">
        <v>19</v>
      </c>
      <c r="AD377" t="s">
        <v>597</v>
      </c>
      <c r="AE377">
        <v>1.1416679214090204E-4</v>
      </c>
    </row>
    <row r="378" spans="29:31" x14ac:dyDescent="0.45">
      <c r="AC378" t="s">
        <v>19</v>
      </c>
      <c r="AD378" t="s">
        <v>598</v>
      </c>
      <c r="AE378">
        <v>1.1423172446038643E-4</v>
      </c>
    </row>
    <row r="379" spans="29:31" x14ac:dyDescent="0.45">
      <c r="AC379" t="s">
        <v>19</v>
      </c>
      <c r="AD379" t="s">
        <v>599</v>
      </c>
      <c r="AE379">
        <v>1.1454818915609126E-4</v>
      </c>
    </row>
    <row r="380" spans="29:31" x14ac:dyDescent="0.45">
      <c r="AC380" t="s">
        <v>19</v>
      </c>
      <c r="AD380" t="s">
        <v>600</v>
      </c>
      <c r="AE380">
        <v>1.1463594422153302E-4</v>
      </c>
    </row>
    <row r="381" spans="29:31" x14ac:dyDescent="0.45">
      <c r="AC381" t="s">
        <v>19</v>
      </c>
      <c r="AD381" t="s">
        <v>601</v>
      </c>
      <c r="AE381">
        <v>1.1468142898988469E-4</v>
      </c>
    </row>
    <row r="382" spans="29:31" x14ac:dyDescent="0.45">
      <c r="AC382" t="s">
        <v>19</v>
      </c>
      <c r="AD382" t="s">
        <v>602</v>
      </c>
      <c r="AE382">
        <v>1.1447313125213283E-4</v>
      </c>
    </row>
    <row r="383" spans="29:31" x14ac:dyDescent="0.45">
      <c r="AC383" t="s">
        <v>19</v>
      </c>
      <c r="AD383" t="s">
        <v>603</v>
      </c>
      <c r="AE383">
        <v>1.1430983611204338E-4</v>
      </c>
    </row>
    <row r="384" spans="29:31" x14ac:dyDescent="0.45">
      <c r="AC384" t="s">
        <v>19</v>
      </c>
      <c r="AD384" t="s">
        <v>604</v>
      </c>
      <c r="AE384">
        <v>1.1407598332776175E-4</v>
      </c>
    </row>
    <row r="385" spans="29:31" x14ac:dyDescent="0.45">
      <c r="AC385" t="s">
        <v>19</v>
      </c>
      <c r="AD385" t="s">
        <v>605</v>
      </c>
      <c r="AE385">
        <v>1.1381191451362105E-4</v>
      </c>
    </row>
    <row r="386" spans="29:31" x14ac:dyDescent="0.45">
      <c r="AC386" t="s">
        <v>19</v>
      </c>
      <c r="AD386" t="s">
        <v>606</v>
      </c>
      <c r="AE386">
        <v>1.1196745090371321E-4</v>
      </c>
    </row>
    <row r="387" spans="29:31" x14ac:dyDescent="0.45">
      <c r="AC387" t="s">
        <v>19</v>
      </c>
      <c r="AD387" t="s">
        <v>328</v>
      </c>
      <c r="AE387">
        <v>8.0269031516189498E-2</v>
      </c>
    </row>
    <row r="388" spans="29:31" x14ac:dyDescent="0.45">
      <c r="AC388" t="s">
        <v>19</v>
      </c>
      <c r="AD388" t="s">
        <v>329</v>
      </c>
      <c r="AE388">
        <v>1.3567908817881611E-2</v>
      </c>
    </row>
    <row r="389" spans="29:31" x14ac:dyDescent="0.45">
      <c r="AC389" t="s">
        <v>19</v>
      </c>
      <c r="AD389" t="s">
        <v>330</v>
      </c>
      <c r="AE389">
        <v>1.3639114660203703E-2</v>
      </c>
    </row>
    <row r="390" spans="29:31" x14ac:dyDescent="0.45">
      <c r="AC390" t="s">
        <v>19</v>
      </c>
      <c r="AD390" t="s">
        <v>331</v>
      </c>
      <c r="AE390">
        <v>1.3685411403996069E-2</v>
      </c>
    </row>
    <row r="391" spans="29:31" x14ac:dyDescent="0.45">
      <c r="AC391" t="s">
        <v>19</v>
      </c>
      <c r="AD391" t="s">
        <v>332</v>
      </c>
      <c r="AE391">
        <v>9.5840149803615438E-2</v>
      </c>
    </row>
    <row r="392" spans="29:31" x14ac:dyDescent="0.45">
      <c r="AC392" t="s">
        <v>19</v>
      </c>
      <c r="AD392" t="s">
        <v>333</v>
      </c>
      <c r="AE392">
        <v>1.3683037516969374E-2</v>
      </c>
    </row>
    <row r="393" spans="29:31" x14ac:dyDescent="0.45">
      <c r="AC393" t="s">
        <v>19</v>
      </c>
      <c r="AD393" t="s">
        <v>334</v>
      </c>
      <c r="AE393">
        <v>1.3681968062380638E-2</v>
      </c>
    </row>
    <row r="394" spans="29:31" x14ac:dyDescent="0.45">
      <c r="AC394" t="s">
        <v>19</v>
      </c>
      <c r="AD394" t="s">
        <v>335</v>
      </c>
      <c r="AE394">
        <v>8.144537177463293E-2</v>
      </c>
    </row>
    <row r="395" spans="29:31" x14ac:dyDescent="0.45">
      <c r="AC395" t="s">
        <v>19</v>
      </c>
      <c r="AD395" t="s">
        <v>607</v>
      </c>
      <c r="AE395">
        <v>1.1178565952748399E-4</v>
      </c>
    </row>
    <row r="396" spans="29:31" x14ac:dyDescent="0.45">
      <c r="AC396" t="s">
        <v>19</v>
      </c>
      <c r="AD396" t="s">
        <v>608</v>
      </c>
      <c r="AE396">
        <v>1.1154811010125153E-4</v>
      </c>
    </row>
    <row r="397" spans="29:31" x14ac:dyDescent="0.45">
      <c r="AC397" t="s">
        <v>19</v>
      </c>
      <c r="AD397" t="s">
        <v>609</v>
      </c>
      <c r="AE397">
        <v>1.1154811010125153E-4</v>
      </c>
    </row>
    <row r="398" spans="29:31" x14ac:dyDescent="0.45">
      <c r="AC398" t="s">
        <v>19</v>
      </c>
      <c r="AD398" t="s">
        <v>610</v>
      </c>
      <c r="AE398">
        <v>1.1155373542595934E-4</v>
      </c>
    </row>
    <row r="399" spans="29:31" x14ac:dyDescent="0.45">
      <c r="AC399" t="s">
        <v>19</v>
      </c>
      <c r="AD399" t="s">
        <v>611</v>
      </c>
      <c r="AE399">
        <v>1.1156803982307347E-4</v>
      </c>
    </row>
    <row r="400" spans="29:31" x14ac:dyDescent="0.45">
      <c r="AC400" t="s">
        <v>19</v>
      </c>
      <c r="AD400" t="s">
        <v>612</v>
      </c>
      <c r="AE400">
        <v>1.1168793960113126E-4</v>
      </c>
    </row>
    <row r="401" spans="29:31" x14ac:dyDescent="0.45">
      <c r="AC401" t="s">
        <v>19</v>
      </c>
      <c r="AD401" t="s">
        <v>613</v>
      </c>
      <c r="AE401">
        <v>1.1225657956730886E-4</v>
      </c>
    </row>
    <row r="402" spans="29:31" x14ac:dyDescent="0.45">
      <c r="AC402" t="s">
        <v>19</v>
      </c>
      <c r="AD402" t="s">
        <v>614</v>
      </c>
      <c r="AE402">
        <v>1.1273537506172464E-4</v>
      </c>
    </row>
    <row r="403" spans="29:31" x14ac:dyDescent="0.45">
      <c r="AC403" t="s">
        <v>19</v>
      </c>
      <c r="AD403" t="s">
        <v>615</v>
      </c>
      <c r="AE403">
        <v>1.1336010755141719E-4</v>
      </c>
    </row>
    <row r="404" spans="29:31" x14ac:dyDescent="0.45">
      <c r="AC404" t="s">
        <v>19</v>
      </c>
      <c r="AD404" t="s">
        <v>616</v>
      </c>
      <c r="AE404">
        <v>1.1364024872186591E-4</v>
      </c>
    </row>
    <row r="405" spans="29:31" x14ac:dyDescent="0.45">
      <c r="AC405" t="s">
        <v>19</v>
      </c>
      <c r="AD405" t="s">
        <v>617</v>
      </c>
      <c r="AE405">
        <v>1.1365262443622308E-4</v>
      </c>
    </row>
    <row r="406" spans="29:31" x14ac:dyDescent="0.45">
      <c r="AC406" t="s">
        <v>19</v>
      </c>
      <c r="AD406" t="s">
        <v>618</v>
      </c>
      <c r="AE406">
        <v>1.1366516087414336E-4</v>
      </c>
    </row>
    <row r="407" spans="29:31" x14ac:dyDescent="0.45">
      <c r="AC407" t="s">
        <v>19</v>
      </c>
      <c r="AD407" t="s">
        <v>619</v>
      </c>
      <c r="AE407">
        <v>1.1369184098561465E-4</v>
      </c>
    </row>
    <row r="408" spans="29:31" x14ac:dyDescent="0.45">
      <c r="AC408" t="s">
        <v>19</v>
      </c>
      <c r="AD408" t="s">
        <v>620</v>
      </c>
      <c r="AE408">
        <v>1.1358978152305874E-4</v>
      </c>
    </row>
    <row r="409" spans="29:31" x14ac:dyDescent="0.45">
      <c r="AC409" t="s">
        <v>19</v>
      </c>
      <c r="AD409" t="s">
        <v>621</v>
      </c>
      <c r="AE409">
        <v>1.1357226265468301E-4</v>
      </c>
    </row>
    <row r="410" spans="29:31" x14ac:dyDescent="0.45">
      <c r="AC410" t="s">
        <v>19</v>
      </c>
      <c r="AD410" t="s">
        <v>622</v>
      </c>
      <c r="AE410">
        <v>1.1361421150464693E-4</v>
      </c>
    </row>
    <row r="411" spans="29:31" x14ac:dyDescent="0.45">
      <c r="AC411" t="s">
        <v>19</v>
      </c>
      <c r="AD411" t="s">
        <v>623</v>
      </c>
      <c r="AE411">
        <v>1.1365937482587247E-4</v>
      </c>
    </row>
    <row r="412" spans="29:31" x14ac:dyDescent="0.45">
      <c r="AC412" t="s">
        <v>19</v>
      </c>
      <c r="AD412" t="s">
        <v>624</v>
      </c>
      <c r="AE412">
        <v>1.1362739083681951E-4</v>
      </c>
    </row>
    <row r="413" spans="29:31" x14ac:dyDescent="0.45">
      <c r="AC413" t="s">
        <v>19</v>
      </c>
      <c r="AD413" t="s">
        <v>625</v>
      </c>
      <c r="AE413">
        <v>1.1365117792415538E-4</v>
      </c>
    </row>
    <row r="414" spans="29:31" x14ac:dyDescent="0.45">
      <c r="AC414" t="s">
        <v>19</v>
      </c>
      <c r="AD414" t="s">
        <v>626</v>
      </c>
      <c r="AE414">
        <v>1.1362401564199482E-4</v>
      </c>
    </row>
    <row r="415" spans="29:31" x14ac:dyDescent="0.45">
      <c r="AC415" t="s">
        <v>19</v>
      </c>
      <c r="AD415" t="s">
        <v>627</v>
      </c>
      <c r="AE415">
        <v>1.1349720475072458E-4</v>
      </c>
    </row>
    <row r="416" spans="29:31" x14ac:dyDescent="0.45">
      <c r="AC416" t="s">
        <v>19</v>
      </c>
      <c r="AD416" t="s">
        <v>628</v>
      </c>
      <c r="AE416">
        <v>1.1338180523243302E-4</v>
      </c>
    </row>
    <row r="417" spans="29:31" x14ac:dyDescent="0.45">
      <c r="AC417" t="s">
        <v>19</v>
      </c>
      <c r="AD417" t="s">
        <v>629</v>
      </c>
      <c r="AE417">
        <v>1.1407098787092072E-4</v>
      </c>
    </row>
    <row r="418" spans="29:31" x14ac:dyDescent="0.45">
      <c r="AC418" t="s">
        <v>19</v>
      </c>
      <c r="AD418" t="s">
        <v>630</v>
      </c>
      <c r="AE418">
        <v>1.1303142786491828E-4</v>
      </c>
    </row>
    <row r="419" spans="29:31" x14ac:dyDescent="0.45">
      <c r="AC419" t="s">
        <v>19</v>
      </c>
      <c r="AD419" t="s">
        <v>631</v>
      </c>
      <c r="AE419">
        <v>1.1268217556234511E-4</v>
      </c>
    </row>
    <row r="420" spans="29:31" x14ac:dyDescent="0.45">
      <c r="AC420" t="s">
        <v>19</v>
      </c>
      <c r="AD420" t="s">
        <v>632</v>
      </c>
      <c r="AE420">
        <v>1.1248898583952277E-4</v>
      </c>
    </row>
    <row r="421" spans="29:31" x14ac:dyDescent="0.45">
      <c r="AC421" t="s">
        <v>19</v>
      </c>
      <c r="AD421" t="s">
        <v>633</v>
      </c>
      <c r="AE421">
        <v>1.1238676565340379E-4</v>
      </c>
    </row>
    <row r="422" spans="29:31" x14ac:dyDescent="0.45">
      <c r="AC422" t="s">
        <v>19</v>
      </c>
      <c r="AD422" t="s">
        <v>634</v>
      </c>
      <c r="AE422">
        <v>1.1238306901145294E-4</v>
      </c>
    </row>
    <row r="423" spans="29:31" x14ac:dyDescent="0.45">
      <c r="AC423" t="s">
        <v>19</v>
      </c>
      <c r="AD423" t="s">
        <v>635</v>
      </c>
      <c r="AE423">
        <v>1.1228968862130337E-4</v>
      </c>
    </row>
    <row r="424" spans="29:31" x14ac:dyDescent="0.45">
      <c r="AC424" t="s">
        <v>19</v>
      </c>
      <c r="AD424" t="s">
        <v>636</v>
      </c>
      <c r="AE424">
        <v>1.1235156719308923E-4</v>
      </c>
    </row>
    <row r="425" spans="29:31" x14ac:dyDescent="0.45">
      <c r="AC425" t="s">
        <v>19</v>
      </c>
      <c r="AD425" t="s">
        <v>637</v>
      </c>
      <c r="AE425">
        <v>1.1259586700897108E-4</v>
      </c>
    </row>
    <row r="426" spans="29:31" x14ac:dyDescent="0.45">
      <c r="AC426" t="s">
        <v>19</v>
      </c>
      <c r="AD426" t="s">
        <v>638</v>
      </c>
      <c r="AE426">
        <v>1.128175048024586E-4</v>
      </c>
    </row>
    <row r="427" spans="29:31" x14ac:dyDescent="0.45">
      <c r="AC427" t="s">
        <v>19</v>
      </c>
      <c r="AD427" t="s">
        <v>639</v>
      </c>
      <c r="AE427">
        <v>1.1351456289553723E-4</v>
      </c>
    </row>
    <row r="428" spans="29:31" x14ac:dyDescent="0.45">
      <c r="AC428" t="s">
        <v>19</v>
      </c>
      <c r="AD428" t="s">
        <v>640</v>
      </c>
      <c r="AE428">
        <v>1.1366162495575558E-4</v>
      </c>
    </row>
    <row r="429" spans="29:31" x14ac:dyDescent="0.45">
      <c r="AC429" t="s">
        <v>19</v>
      </c>
      <c r="AD429" t="s">
        <v>641</v>
      </c>
      <c r="AE429">
        <v>1.1365262443622308E-4</v>
      </c>
    </row>
    <row r="430" spans="29:31" x14ac:dyDescent="0.45">
      <c r="AC430" t="s">
        <v>19</v>
      </c>
      <c r="AD430" t="s">
        <v>642</v>
      </c>
      <c r="AE430">
        <v>1.1366516087414336E-4</v>
      </c>
    </row>
    <row r="431" spans="29:31" x14ac:dyDescent="0.45">
      <c r="AC431" t="s">
        <v>19</v>
      </c>
      <c r="AD431" t="s">
        <v>643</v>
      </c>
      <c r="AE431">
        <v>1.1366451797989101E-4</v>
      </c>
    </row>
    <row r="432" spans="29:31" x14ac:dyDescent="0.45">
      <c r="AC432" t="s">
        <v>19</v>
      </c>
      <c r="AD432" t="s">
        <v>644</v>
      </c>
      <c r="AE432">
        <v>1.1360103217247436E-4</v>
      </c>
    </row>
    <row r="433" spans="29:31" x14ac:dyDescent="0.45">
      <c r="AC433" t="s">
        <v>19</v>
      </c>
      <c r="AD433" t="s">
        <v>645</v>
      </c>
      <c r="AE433">
        <v>1.1357708436157541E-4</v>
      </c>
    </row>
    <row r="434" spans="29:31" x14ac:dyDescent="0.45">
      <c r="AC434" t="s">
        <v>19</v>
      </c>
      <c r="AD434" t="s">
        <v>646</v>
      </c>
      <c r="AE434">
        <v>1.1354992207941488E-4</v>
      </c>
    </row>
    <row r="435" spans="29:31" x14ac:dyDescent="0.45">
      <c r="AC435" t="s">
        <v>19</v>
      </c>
      <c r="AD435" t="s">
        <v>647</v>
      </c>
      <c r="AE435">
        <v>1.1360488953798829E-4</v>
      </c>
    </row>
    <row r="436" spans="29:31" x14ac:dyDescent="0.45">
      <c r="AC436" t="s">
        <v>19</v>
      </c>
      <c r="AD436" t="s">
        <v>648</v>
      </c>
      <c r="AE436">
        <v>1.1360488953798829E-4</v>
      </c>
    </row>
    <row r="437" spans="29:31" x14ac:dyDescent="0.45">
      <c r="AC437" t="s">
        <v>19</v>
      </c>
      <c r="AD437" t="s">
        <v>649</v>
      </c>
      <c r="AE437">
        <v>1.1362401564199482E-4</v>
      </c>
    </row>
    <row r="438" spans="29:31" x14ac:dyDescent="0.45">
      <c r="AC438" t="s">
        <v>19</v>
      </c>
      <c r="AD438" t="s">
        <v>650</v>
      </c>
      <c r="AE438">
        <v>1.1347052463925327E-4</v>
      </c>
    </row>
    <row r="439" spans="29:31" x14ac:dyDescent="0.45">
      <c r="AC439" t="s">
        <v>19</v>
      </c>
      <c r="AD439" t="s">
        <v>651</v>
      </c>
      <c r="AE439">
        <v>1.1349334738521065E-4</v>
      </c>
    </row>
    <row r="440" spans="29:31" x14ac:dyDescent="0.45">
      <c r="AC440" t="s">
        <v>19</v>
      </c>
      <c r="AD440" t="s">
        <v>652</v>
      </c>
      <c r="AE440">
        <v>1.1338180523243302E-4</v>
      </c>
    </row>
    <row r="441" spans="29:31" x14ac:dyDescent="0.45">
      <c r="AC441" t="s">
        <v>19</v>
      </c>
      <c r="AD441" t="s">
        <v>653</v>
      </c>
      <c r="AE441">
        <v>1.1408416720309332E-4</v>
      </c>
    </row>
    <row r="442" spans="29:31" x14ac:dyDescent="0.45">
      <c r="AC442" t="s">
        <v>19</v>
      </c>
      <c r="AD442" t="s">
        <v>654</v>
      </c>
      <c r="AE442">
        <v>1.1348579337774588E-4</v>
      </c>
    </row>
    <row r="443" spans="29:31" x14ac:dyDescent="0.45">
      <c r="AC443" t="s">
        <v>19</v>
      </c>
      <c r="AD443" t="s">
        <v>655</v>
      </c>
      <c r="AE443">
        <v>1.1232845994698282E-4</v>
      </c>
    </row>
    <row r="444" spans="29:31" x14ac:dyDescent="0.45">
      <c r="AC444" t="s">
        <v>19</v>
      </c>
      <c r="AD444" t="s">
        <v>656</v>
      </c>
      <c r="AE444">
        <v>1.122264004844269E-4</v>
      </c>
    </row>
    <row r="445" spans="29:31" x14ac:dyDescent="0.45">
      <c r="AC445" t="s">
        <v>19</v>
      </c>
      <c r="AD445" t="s">
        <v>657</v>
      </c>
      <c r="AE445">
        <v>1.122264004844269E-4</v>
      </c>
    </row>
    <row r="446" spans="29:31" x14ac:dyDescent="0.45">
      <c r="AC446" t="s">
        <v>19</v>
      </c>
      <c r="AD446" t="s">
        <v>658</v>
      </c>
      <c r="AE446">
        <v>1.1226834933439083E-4</v>
      </c>
    </row>
    <row r="447" spans="29:31" x14ac:dyDescent="0.45">
      <c r="AC447" t="s">
        <v>19</v>
      </c>
      <c r="AD447" t="s">
        <v>659</v>
      </c>
      <c r="AE447">
        <v>1.1281738102587264E-4</v>
      </c>
    </row>
    <row r="448" spans="29:31" x14ac:dyDescent="0.45">
      <c r="AC448" t="s">
        <v>19</v>
      </c>
      <c r="AD448" t="s">
        <v>660</v>
      </c>
      <c r="AE448">
        <v>1.139255699933103E-4</v>
      </c>
    </row>
    <row r="449" spans="29:31" x14ac:dyDescent="0.45">
      <c r="AC449" t="s">
        <v>19</v>
      </c>
      <c r="AD449" t="s">
        <v>661</v>
      </c>
      <c r="AE449">
        <v>1.1482272892242374E-4</v>
      </c>
    </row>
    <row r="450" spans="29:31" x14ac:dyDescent="0.45">
      <c r="AC450" t="s">
        <v>19</v>
      </c>
      <c r="AD450" t="s">
        <v>662</v>
      </c>
      <c r="AE450">
        <v>1.1550419682988359E-4</v>
      </c>
    </row>
    <row r="451" spans="29:31" x14ac:dyDescent="0.45">
      <c r="AC451" t="s">
        <v>19</v>
      </c>
      <c r="AD451" t="s">
        <v>663</v>
      </c>
      <c r="AE451">
        <v>1.1578980260147704E-4</v>
      </c>
    </row>
    <row r="452" spans="29:31" x14ac:dyDescent="0.45">
      <c r="AC452" t="s">
        <v>19</v>
      </c>
      <c r="AD452" t="s">
        <v>664</v>
      </c>
      <c r="AE452">
        <v>1.1579349924342787E-4</v>
      </c>
    </row>
    <row r="453" spans="29:31" x14ac:dyDescent="0.45">
      <c r="AC453" t="s">
        <v>19</v>
      </c>
      <c r="AD453" t="s">
        <v>665</v>
      </c>
      <c r="AE453">
        <v>1.157317813952051E-4</v>
      </c>
    </row>
    <row r="454" spans="29:31" x14ac:dyDescent="0.45">
      <c r="AC454" t="s">
        <v>19</v>
      </c>
      <c r="AD454" t="s">
        <v>666</v>
      </c>
      <c r="AE454">
        <v>1.1568517156191185E-4</v>
      </c>
    </row>
    <row r="455" spans="29:31" x14ac:dyDescent="0.45">
      <c r="AC455" t="s">
        <v>19</v>
      </c>
      <c r="AD455" t="s">
        <v>667</v>
      </c>
      <c r="AE455">
        <v>1.1570686924292768E-4</v>
      </c>
    </row>
    <row r="456" spans="29:31" x14ac:dyDescent="0.45">
      <c r="AC456" t="s">
        <v>19</v>
      </c>
      <c r="AD456" t="s">
        <v>668</v>
      </c>
      <c r="AE456">
        <v>1.1566749196997302E-4</v>
      </c>
    </row>
    <row r="457" spans="29:31" x14ac:dyDescent="0.45">
      <c r="AC457" t="s">
        <v>19</v>
      </c>
      <c r="AD457" t="s">
        <v>669</v>
      </c>
      <c r="AE457">
        <v>1.1561541753553507E-4</v>
      </c>
    </row>
    <row r="458" spans="29:31" x14ac:dyDescent="0.45">
      <c r="AC458" t="s">
        <v>19</v>
      </c>
      <c r="AD458" t="s">
        <v>670</v>
      </c>
      <c r="AE458">
        <v>1.1565833072687747E-4</v>
      </c>
    </row>
    <row r="459" spans="29:31" x14ac:dyDescent="0.45">
      <c r="AC459" t="s">
        <v>19</v>
      </c>
      <c r="AD459" t="s">
        <v>671</v>
      </c>
      <c r="AE459">
        <v>1.1562200720162135E-4</v>
      </c>
    </row>
    <row r="460" spans="29:31" x14ac:dyDescent="0.45">
      <c r="AC460" t="s">
        <v>19</v>
      </c>
      <c r="AD460" t="s">
        <v>672</v>
      </c>
      <c r="AE460">
        <v>1.1561718549472895E-4</v>
      </c>
    </row>
    <row r="461" spans="29:31" x14ac:dyDescent="0.45">
      <c r="AC461" t="s">
        <v>19</v>
      </c>
      <c r="AD461" t="s">
        <v>673</v>
      </c>
      <c r="AE461">
        <v>1.1560384543899329E-4</v>
      </c>
    </row>
    <row r="462" spans="29:31" x14ac:dyDescent="0.45">
      <c r="AC462" t="s">
        <v>19</v>
      </c>
      <c r="AD462" t="s">
        <v>674</v>
      </c>
      <c r="AE462">
        <v>1.154217456420235E-4</v>
      </c>
    </row>
    <row r="463" spans="29:31" x14ac:dyDescent="0.45">
      <c r="AC463" t="s">
        <v>19</v>
      </c>
      <c r="AD463" t="s">
        <v>675</v>
      </c>
      <c r="AE463">
        <v>1.1459353712147144E-4</v>
      </c>
    </row>
    <row r="464" spans="29:31" x14ac:dyDescent="0.45">
      <c r="AC464" t="s">
        <v>19</v>
      </c>
      <c r="AD464" t="s">
        <v>676</v>
      </c>
      <c r="AE464">
        <v>1.1407986461386725E-4</v>
      </c>
    </row>
    <row r="465" spans="29:31" x14ac:dyDescent="0.45">
      <c r="AC465" t="s">
        <v>19</v>
      </c>
      <c r="AD465" t="s">
        <v>677</v>
      </c>
      <c r="AE465">
        <v>1.1345690008336859E-4</v>
      </c>
    </row>
    <row r="466" spans="29:31" x14ac:dyDescent="0.45">
      <c r="AC466" t="s">
        <v>19</v>
      </c>
      <c r="AD466" t="s">
        <v>678</v>
      </c>
      <c r="AE466">
        <v>1.1274601976386506E-4</v>
      </c>
    </row>
    <row r="467" spans="29:31" x14ac:dyDescent="0.45">
      <c r="AC467" t="s">
        <v>19</v>
      </c>
      <c r="AD467" t="s">
        <v>337</v>
      </c>
      <c r="AE467">
        <v>2.0244723728878155E-2</v>
      </c>
    </row>
    <row r="468" spans="29:31" x14ac:dyDescent="0.45">
      <c r="AC468" t="s">
        <v>19</v>
      </c>
      <c r="AD468" t="s">
        <v>338</v>
      </c>
      <c r="AE468">
        <v>3.43000980290011E-3</v>
      </c>
    </row>
    <row r="469" spans="29:31" x14ac:dyDescent="0.45">
      <c r="AC469" t="s">
        <v>19</v>
      </c>
      <c r="AD469" t="s">
        <v>339</v>
      </c>
      <c r="AE469">
        <v>3.4482030673465315E-3</v>
      </c>
    </row>
    <row r="470" spans="29:31" x14ac:dyDescent="0.45">
      <c r="AC470" t="s">
        <v>19</v>
      </c>
      <c r="AD470" t="s">
        <v>340</v>
      </c>
      <c r="AE470">
        <v>3.4542825968436014E-3</v>
      </c>
    </row>
    <row r="471" spans="29:31" x14ac:dyDescent="0.45">
      <c r="AC471" t="s">
        <v>19</v>
      </c>
      <c r="AD471" t="s">
        <v>341</v>
      </c>
      <c r="AE471">
        <v>2.4155110385331195E-2</v>
      </c>
    </row>
    <row r="472" spans="29:31" x14ac:dyDescent="0.45">
      <c r="AC472" t="s">
        <v>19</v>
      </c>
      <c r="AD472" t="s">
        <v>342</v>
      </c>
      <c r="AE472">
        <v>3.4497151546279896E-3</v>
      </c>
    </row>
    <row r="473" spans="29:31" x14ac:dyDescent="0.45">
      <c r="AC473" t="s">
        <v>19</v>
      </c>
      <c r="AD473" t="s">
        <v>343</v>
      </c>
      <c r="AE473">
        <v>3.452056575494941E-3</v>
      </c>
    </row>
    <row r="474" spans="29:31" x14ac:dyDescent="0.45">
      <c r="AC474" t="s">
        <v>19</v>
      </c>
      <c r="AD474" t="s">
        <v>344</v>
      </c>
      <c r="AE474">
        <v>2.0539179261301912E-2</v>
      </c>
    </row>
    <row r="475" spans="29:31" x14ac:dyDescent="0.45">
      <c r="AC475" t="s">
        <v>19</v>
      </c>
      <c r="AD475" t="s">
        <v>679</v>
      </c>
      <c r="AE475">
        <v>1.1193968798204351E-4</v>
      </c>
    </row>
    <row r="476" spans="29:31" x14ac:dyDescent="0.45">
      <c r="AC476" t="s">
        <v>19</v>
      </c>
      <c r="AD476" t="s">
        <v>680</v>
      </c>
      <c r="AE476">
        <v>1.1173058662647624E-4</v>
      </c>
    </row>
    <row r="477" spans="29:31" x14ac:dyDescent="0.45">
      <c r="AC477" t="s">
        <v>19</v>
      </c>
      <c r="AD477" t="s">
        <v>681</v>
      </c>
      <c r="AE477">
        <v>1.1173058662647624E-4</v>
      </c>
    </row>
    <row r="478" spans="29:31" x14ac:dyDescent="0.45">
      <c r="AC478" t="s">
        <v>19</v>
      </c>
      <c r="AD478" t="s">
        <v>682</v>
      </c>
      <c r="AE478">
        <v>1.117357297804948E-4</v>
      </c>
    </row>
    <row r="479" spans="29:31" x14ac:dyDescent="0.45">
      <c r="AC479" t="s">
        <v>19</v>
      </c>
      <c r="AD479" t="s">
        <v>683</v>
      </c>
      <c r="AE479">
        <v>1.1176466002184924E-4</v>
      </c>
    </row>
    <row r="480" spans="29:31" x14ac:dyDescent="0.45">
      <c r="AC480" t="s">
        <v>19</v>
      </c>
      <c r="AD480" t="s">
        <v>684</v>
      </c>
      <c r="AE480">
        <v>1.1184180733212771E-4</v>
      </c>
    </row>
    <row r="481" spans="29:31" x14ac:dyDescent="0.45">
      <c r="AC481" t="s">
        <v>19</v>
      </c>
      <c r="AD481" t="s">
        <v>685</v>
      </c>
      <c r="AE481">
        <v>1.1249386282754389E-4</v>
      </c>
    </row>
    <row r="482" spans="29:31" x14ac:dyDescent="0.45">
      <c r="AC482" t="s">
        <v>19</v>
      </c>
      <c r="AD482" t="s">
        <v>686</v>
      </c>
      <c r="AE482">
        <v>1.1320120722865966E-4</v>
      </c>
    </row>
    <row r="483" spans="29:31" x14ac:dyDescent="0.45">
      <c r="AC483" t="s">
        <v>19</v>
      </c>
      <c r="AD483" t="s">
        <v>687</v>
      </c>
      <c r="AE483">
        <v>1.1356910346455014E-4</v>
      </c>
    </row>
    <row r="484" spans="29:31" x14ac:dyDescent="0.45">
      <c r="AC484" t="s">
        <v>19</v>
      </c>
      <c r="AD484" t="s">
        <v>688</v>
      </c>
      <c r="AE484">
        <v>1.1372195157303936E-4</v>
      </c>
    </row>
    <row r="485" spans="29:31" x14ac:dyDescent="0.45">
      <c r="AC485" t="s">
        <v>19</v>
      </c>
      <c r="AD485" t="s">
        <v>689</v>
      </c>
      <c r="AE485">
        <v>1.1365605491217651E-4</v>
      </c>
    </row>
    <row r="486" spans="29:31" x14ac:dyDescent="0.45">
      <c r="AC486" t="s">
        <v>19</v>
      </c>
      <c r="AD486" t="s">
        <v>690</v>
      </c>
      <c r="AE486">
        <v>1.1365123320528409E-4</v>
      </c>
    </row>
    <row r="487" spans="29:31" x14ac:dyDescent="0.45">
      <c r="AC487" t="s">
        <v>19</v>
      </c>
      <c r="AD487" t="s">
        <v>691</v>
      </c>
      <c r="AE487">
        <v>1.1363419650759761E-4</v>
      </c>
    </row>
    <row r="488" spans="29:31" x14ac:dyDescent="0.45">
      <c r="AC488" t="s">
        <v>19</v>
      </c>
      <c r="AD488" t="s">
        <v>692</v>
      </c>
      <c r="AE488">
        <v>1.1357697891914107E-4</v>
      </c>
    </row>
    <row r="489" spans="29:31" x14ac:dyDescent="0.45">
      <c r="AC489" t="s">
        <v>19</v>
      </c>
      <c r="AD489" t="s">
        <v>693</v>
      </c>
      <c r="AE489">
        <v>1.1353888743469106E-4</v>
      </c>
    </row>
    <row r="490" spans="29:31" x14ac:dyDescent="0.45">
      <c r="AC490" t="s">
        <v>19</v>
      </c>
      <c r="AD490" t="s">
        <v>694</v>
      </c>
      <c r="AE490">
        <v>1.1355479906743602E-4</v>
      </c>
    </row>
    <row r="491" spans="29:31" x14ac:dyDescent="0.45">
      <c r="AC491" t="s">
        <v>19</v>
      </c>
      <c r="AD491" t="s">
        <v>695</v>
      </c>
      <c r="AE491">
        <v>1.1362937480070518E-4</v>
      </c>
    </row>
    <row r="492" spans="29:31" x14ac:dyDescent="0.45">
      <c r="AC492" t="s">
        <v>19</v>
      </c>
      <c r="AD492" t="s">
        <v>696</v>
      </c>
      <c r="AE492">
        <v>1.1364383992138241E-4</v>
      </c>
    </row>
    <row r="493" spans="29:31" x14ac:dyDescent="0.45">
      <c r="AC493" t="s">
        <v>19</v>
      </c>
      <c r="AD493" t="s">
        <v>697</v>
      </c>
      <c r="AE493">
        <v>1.1364641149839169E-4</v>
      </c>
    </row>
    <row r="494" spans="29:31" x14ac:dyDescent="0.45">
      <c r="AC494" t="s">
        <v>19</v>
      </c>
      <c r="AD494" t="s">
        <v>698</v>
      </c>
      <c r="AE494">
        <v>1.1365396550585648E-4</v>
      </c>
    </row>
    <row r="495" spans="29:31" x14ac:dyDescent="0.45">
      <c r="AC495" t="s">
        <v>19</v>
      </c>
      <c r="AD495" t="s">
        <v>699</v>
      </c>
      <c r="AE495">
        <v>1.1355978149789148E-4</v>
      </c>
    </row>
    <row r="496" spans="29:31" x14ac:dyDescent="0.45">
      <c r="AC496" t="s">
        <v>19</v>
      </c>
      <c r="AD496" t="s">
        <v>700</v>
      </c>
      <c r="AE496">
        <v>1.1326356797113475E-4</v>
      </c>
    </row>
    <row r="497" spans="29:31" x14ac:dyDescent="0.45">
      <c r="AC497" t="s">
        <v>19</v>
      </c>
      <c r="AD497" t="s">
        <v>701</v>
      </c>
      <c r="AE497">
        <v>1.1329635557800313E-4</v>
      </c>
    </row>
    <row r="498" spans="29:31" x14ac:dyDescent="0.45">
      <c r="AC498" t="s">
        <v>19</v>
      </c>
      <c r="AD498" t="s">
        <v>702</v>
      </c>
      <c r="AE498">
        <v>1.1272659054688395E-4</v>
      </c>
    </row>
    <row r="499" spans="29:31" x14ac:dyDescent="0.45">
      <c r="AC499" t="s">
        <v>19</v>
      </c>
      <c r="AD499" t="s">
        <v>703</v>
      </c>
      <c r="AE499">
        <v>1.9542118279096778E-2</v>
      </c>
    </row>
    <row r="500" spans="29:31" x14ac:dyDescent="0.45">
      <c r="AC500" t="s">
        <v>19</v>
      </c>
      <c r="AD500" t="s">
        <v>704</v>
      </c>
      <c r="AE500">
        <v>3.3153131048088082E-3</v>
      </c>
    </row>
    <row r="501" spans="29:31" x14ac:dyDescent="0.45">
      <c r="AC501" t="s">
        <v>19</v>
      </c>
      <c r="AD501" t="s">
        <v>705</v>
      </c>
      <c r="AE501">
        <v>3.3263929050768651E-3</v>
      </c>
    </row>
    <row r="502" spans="29:31" x14ac:dyDescent="0.45">
      <c r="AC502" t="s">
        <v>19</v>
      </c>
      <c r="AD502" t="s">
        <v>706</v>
      </c>
      <c r="AE502">
        <v>3.3376511084999409E-3</v>
      </c>
    </row>
    <row r="503" spans="29:31" x14ac:dyDescent="0.45">
      <c r="AC503" t="s">
        <v>19</v>
      </c>
      <c r="AD503" t="s">
        <v>707</v>
      </c>
      <c r="AE503">
        <v>2.3367330423695768E-2</v>
      </c>
    </row>
    <row r="504" spans="29:31" x14ac:dyDescent="0.45">
      <c r="AC504" t="s">
        <v>19</v>
      </c>
      <c r="AD504" t="s">
        <v>708</v>
      </c>
      <c r="AE504">
        <v>3.3429546646344599E-3</v>
      </c>
    </row>
    <row r="505" spans="29:31" x14ac:dyDescent="0.45">
      <c r="AC505" t="s">
        <v>19</v>
      </c>
      <c r="AD505" t="s">
        <v>709</v>
      </c>
      <c r="AE505">
        <v>3.344712176796741E-3</v>
      </c>
    </row>
    <row r="506" spans="29:31" x14ac:dyDescent="0.45">
      <c r="AC506" t="s">
        <v>19</v>
      </c>
      <c r="AD506" t="s">
        <v>710</v>
      </c>
      <c r="AE506">
        <v>1.9883291490324605E-2</v>
      </c>
    </row>
    <row r="507" spans="29:31" x14ac:dyDescent="0.45">
      <c r="AC507" t="s">
        <v>19</v>
      </c>
      <c r="AD507" t="s">
        <v>711</v>
      </c>
      <c r="AE507">
        <v>1.1229225595987674E-4</v>
      </c>
    </row>
    <row r="508" spans="29:31" x14ac:dyDescent="0.45">
      <c r="AC508" t="s">
        <v>19</v>
      </c>
      <c r="AD508" t="s">
        <v>712</v>
      </c>
      <c r="AE508">
        <v>1.1206676080087527E-4</v>
      </c>
    </row>
    <row r="509" spans="29:31" x14ac:dyDescent="0.45">
      <c r="AC509" t="s">
        <v>19</v>
      </c>
      <c r="AD509" t="s">
        <v>713</v>
      </c>
      <c r="AE509">
        <v>1.1204265226641325E-4</v>
      </c>
    </row>
    <row r="510" spans="29:31" x14ac:dyDescent="0.45">
      <c r="AC510" t="s">
        <v>19</v>
      </c>
      <c r="AD510" t="s">
        <v>714</v>
      </c>
      <c r="AE510">
        <v>1.1204265226641325E-4</v>
      </c>
    </row>
    <row r="511" spans="29:31" x14ac:dyDescent="0.45">
      <c r="AC511" t="s">
        <v>19</v>
      </c>
      <c r="AD511" t="s">
        <v>715</v>
      </c>
      <c r="AE511">
        <v>1.1236843892877673E-4</v>
      </c>
    </row>
    <row r="512" spans="29:31" x14ac:dyDescent="0.45">
      <c r="AC512" t="s">
        <v>19</v>
      </c>
      <c r="AD512" t="s">
        <v>716</v>
      </c>
      <c r="AE512">
        <v>1.1392826110846963E-4</v>
      </c>
    </row>
    <row r="513" spans="29:31" x14ac:dyDescent="0.45">
      <c r="AC513" t="s">
        <v>19</v>
      </c>
      <c r="AD513" t="s">
        <v>717</v>
      </c>
      <c r="AE513">
        <v>1.1511247232124421E-4</v>
      </c>
    </row>
    <row r="514" spans="29:31" x14ac:dyDescent="0.45">
      <c r="AC514" t="s">
        <v>19</v>
      </c>
      <c r="AD514" t="s">
        <v>718</v>
      </c>
      <c r="AE514">
        <v>1.1551299544043996E-4</v>
      </c>
    </row>
    <row r="515" spans="29:31" x14ac:dyDescent="0.45">
      <c r="AC515" t="s">
        <v>19</v>
      </c>
      <c r="AD515" t="s">
        <v>719</v>
      </c>
      <c r="AE515">
        <v>1.1577802859595915E-4</v>
      </c>
    </row>
    <row r="516" spans="29:31" x14ac:dyDescent="0.45">
      <c r="AC516" t="s">
        <v>19</v>
      </c>
      <c r="AD516" t="s">
        <v>720</v>
      </c>
      <c r="AE516">
        <v>1.1578783273330703E-4</v>
      </c>
    </row>
    <row r="517" spans="29:31" x14ac:dyDescent="0.45">
      <c r="AC517" t="s">
        <v>19</v>
      </c>
      <c r="AD517" t="s">
        <v>721</v>
      </c>
      <c r="AE517">
        <v>1.1576018828045725E-4</v>
      </c>
    </row>
    <row r="518" spans="29:31" x14ac:dyDescent="0.45">
      <c r="AC518" t="s">
        <v>19</v>
      </c>
      <c r="AD518" t="s">
        <v>722</v>
      </c>
      <c r="AE518">
        <v>1.1570200635062223E-4</v>
      </c>
    </row>
    <row r="519" spans="29:31" x14ac:dyDescent="0.45">
      <c r="AC519" t="s">
        <v>19</v>
      </c>
      <c r="AD519" t="s">
        <v>723</v>
      </c>
      <c r="AE519">
        <v>1.1564961046905809E-4</v>
      </c>
    </row>
    <row r="520" spans="29:31" x14ac:dyDescent="0.45">
      <c r="AC520" t="s">
        <v>19</v>
      </c>
      <c r="AD520" t="s">
        <v>724</v>
      </c>
      <c r="AE520">
        <v>1.1564961046905809E-4</v>
      </c>
    </row>
    <row r="521" spans="29:31" x14ac:dyDescent="0.45">
      <c r="AC521" t="s">
        <v>19</v>
      </c>
      <c r="AD521" t="s">
        <v>725</v>
      </c>
      <c r="AE521">
        <v>1.1563723475470093E-4</v>
      </c>
    </row>
    <row r="522" spans="29:31" x14ac:dyDescent="0.45">
      <c r="AC522" t="s">
        <v>19</v>
      </c>
      <c r="AD522" t="s">
        <v>726</v>
      </c>
      <c r="AE522">
        <v>1.1563723475470093E-4</v>
      </c>
    </row>
    <row r="523" spans="29:31" x14ac:dyDescent="0.45">
      <c r="AC523" t="s">
        <v>19</v>
      </c>
      <c r="AD523" t="s">
        <v>727</v>
      </c>
      <c r="AE523">
        <v>1.1578317174997771E-4</v>
      </c>
    </row>
    <row r="524" spans="29:31" x14ac:dyDescent="0.45">
      <c r="AC524" t="s">
        <v>19</v>
      </c>
      <c r="AD524" t="s">
        <v>728</v>
      </c>
      <c r="AE524">
        <v>1.1581724514535071E-4</v>
      </c>
    </row>
    <row r="525" spans="29:31" x14ac:dyDescent="0.45">
      <c r="AC525" t="s">
        <v>19</v>
      </c>
      <c r="AD525" t="s">
        <v>729</v>
      </c>
      <c r="AE525">
        <v>1.1583669269648342E-4</v>
      </c>
    </row>
    <row r="526" spans="29:31" x14ac:dyDescent="0.45">
      <c r="AC526" t="s">
        <v>19</v>
      </c>
      <c r="AD526" t="s">
        <v>730</v>
      </c>
      <c r="AE526">
        <v>1.1562807351160536E-4</v>
      </c>
    </row>
    <row r="527" spans="29:31" x14ac:dyDescent="0.45">
      <c r="AC527" t="s">
        <v>19</v>
      </c>
      <c r="AD527" t="s">
        <v>731</v>
      </c>
      <c r="AE527">
        <v>1.1513642013214316E-4</v>
      </c>
    </row>
    <row r="528" spans="29:31" x14ac:dyDescent="0.45">
      <c r="AC528" t="s">
        <v>19</v>
      </c>
      <c r="AD528" t="s">
        <v>732</v>
      </c>
      <c r="AE528">
        <v>1.1442296823563035E-4</v>
      </c>
    </row>
    <row r="529" spans="29:31" x14ac:dyDescent="0.45">
      <c r="AC529" t="s">
        <v>19</v>
      </c>
      <c r="AD529" t="s">
        <v>733</v>
      </c>
      <c r="AE529">
        <v>1.1388341923437026E-4</v>
      </c>
    </row>
    <row r="530" spans="29:31" x14ac:dyDescent="0.45">
      <c r="AC530" t="s">
        <v>19</v>
      </c>
      <c r="AD530" t="s">
        <v>734</v>
      </c>
      <c r="AE530">
        <v>1.1265034805841931E-4</v>
      </c>
    </row>
    <row r="531" spans="29:31" x14ac:dyDescent="0.45">
      <c r="AC531" t="s">
        <v>19</v>
      </c>
      <c r="AD531" t="s">
        <v>735</v>
      </c>
      <c r="AE531">
        <v>2.0886124944902419E-2</v>
      </c>
    </row>
    <row r="532" spans="29:31" x14ac:dyDescent="0.45">
      <c r="AC532" t="s">
        <v>19</v>
      </c>
      <c r="AD532" t="s">
        <v>736</v>
      </c>
      <c r="AE532">
        <v>3.5533767775026348E-3</v>
      </c>
    </row>
    <row r="533" spans="29:31" x14ac:dyDescent="0.45">
      <c r="AC533" t="s">
        <v>19</v>
      </c>
      <c r="AD533" t="s">
        <v>737</v>
      </c>
      <c r="AE533">
        <v>3.5609515183070393E-3</v>
      </c>
    </row>
    <row r="534" spans="29:31" x14ac:dyDescent="0.45">
      <c r="AC534" t="s">
        <v>19</v>
      </c>
      <c r="AD534" t="s">
        <v>738</v>
      </c>
      <c r="AE534">
        <v>3.571774964491983E-3</v>
      </c>
    </row>
    <row r="535" spans="29:31" x14ac:dyDescent="0.45">
      <c r="AC535" t="s">
        <v>19</v>
      </c>
      <c r="AD535" t="s">
        <v>739</v>
      </c>
      <c r="AE535">
        <v>2.4996673258739058E-2</v>
      </c>
    </row>
    <row r="536" spans="29:31" x14ac:dyDescent="0.45">
      <c r="AC536" t="s">
        <v>19</v>
      </c>
      <c r="AD536" t="s">
        <v>740</v>
      </c>
      <c r="AE536">
        <v>3.5757184778357179E-3</v>
      </c>
    </row>
    <row r="537" spans="29:31" x14ac:dyDescent="0.45">
      <c r="AC537" t="s">
        <v>19</v>
      </c>
      <c r="AD537" t="s">
        <v>741</v>
      </c>
      <c r="AE537">
        <v>3.5767721815152713E-3</v>
      </c>
    </row>
    <row r="538" spans="29:31" x14ac:dyDescent="0.45">
      <c r="AC538" t="s">
        <v>19</v>
      </c>
      <c r="AD538" t="s">
        <v>742</v>
      </c>
      <c r="AE538">
        <v>2.1248640798795224E-2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12C43-CE5E-4ED6-9A9D-38CD191A349A}">
  <dimension ref="A9:AM778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39" x14ac:dyDescent="0.45">
      <c r="A10" t="s">
        <v>104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235</v>
      </c>
      <c r="L10" t="s">
        <v>30</v>
      </c>
      <c r="N10" t="s">
        <v>13</v>
      </c>
      <c r="O10" t="s">
        <v>134</v>
      </c>
      <c r="P10" t="s">
        <v>235</v>
      </c>
      <c r="Q10" t="s">
        <v>30</v>
      </c>
      <c r="S10" t="s">
        <v>13</v>
      </c>
      <c r="T10" t="s">
        <v>134</v>
      </c>
      <c r="U10" t="s">
        <v>235</v>
      </c>
      <c r="V10" t="s">
        <v>30</v>
      </c>
      <c r="X10" t="s">
        <v>348</v>
      </c>
      <c r="Y10" t="s">
        <v>235</v>
      </c>
      <c r="Z10" t="s">
        <v>134</v>
      </c>
      <c r="AA10" t="s">
        <v>13</v>
      </c>
      <c r="AC10" t="s">
        <v>13</v>
      </c>
      <c r="AD10" t="s">
        <v>134</v>
      </c>
      <c r="AE10" t="s">
        <v>235</v>
      </c>
      <c r="AG10" t="s">
        <v>13</v>
      </c>
      <c r="AH10" t="s">
        <v>134</v>
      </c>
      <c r="AI10" t="s">
        <v>354</v>
      </c>
      <c r="AK10" t="s">
        <v>134</v>
      </c>
      <c r="AL10" t="s">
        <v>355</v>
      </c>
      <c r="AM10" t="s">
        <v>356</v>
      </c>
    </row>
    <row r="11" spans="1:39" x14ac:dyDescent="0.45">
      <c r="A11" t="str">
        <f>IFERROR(IF(Veda!D5=A10,"ok","x"),"")</f>
        <v>ok</v>
      </c>
      <c r="C11" t="s">
        <v>145</v>
      </c>
      <c r="D11" t="s">
        <v>146</v>
      </c>
      <c r="E11" t="s">
        <v>745</v>
      </c>
      <c r="F11" t="s">
        <v>359</v>
      </c>
      <c r="G11" t="s">
        <v>149</v>
      </c>
      <c r="I11" t="s">
        <v>236</v>
      </c>
      <c r="J11" t="s">
        <v>237</v>
      </c>
      <c r="K11">
        <v>0</v>
      </c>
      <c r="L11" t="s">
        <v>238</v>
      </c>
      <c r="N11" t="s">
        <v>346</v>
      </c>
      <c r="O11" t="s">
        <v>237</v>
      </c>
      <c r="P11">
        <v>4.4155047742032917E-2</v>
      </c>
      <c r="Q11" t="s">
        <v>238</v>
      </c>
      <c r="S11" t="s">
        <v>347</v>
      </c>
      <c r="T11" t="s">
        <v>237</v>
      </c>
      <c r="U11">
        <v>4.2330575516464429E-2</v>
      </c>
      <c r="V11" t="s">
        <v>238</v>
      </c>
      <c r="X11">
        <v>4.041095890410959E-2</v>
      </c>
      <c r="Y11">
        <v>8.6444737256461904E-3</v>
      </c>
      <c r="Z11" t="s">
        <v>237</v>
      </c>
      <c r="AA11" t="s">
        <v>25</v>
      </c>
      <c r="AC11" t="s">
        <v>22</v>
      </c>
      <c r="AD11" t="s">
        <v>237</v>
      </c>
      <c r="AE11">
        <v>3.6138622036271613E-2</v>
      </c>
      <c r="AG11" t="s">
        <v>97</v>
      </c>
      <c r="AH11" t="s">
        <v>237</v>
      </c>
      <c r="AI11">
        <v>0.20993758754647396</v>
      </c>
      <c r="AK11" t="s">
        <v>155</v>
      </c>
      <c r="AL11">
        <v>9.0812180062272388E-2</v>
      </c>
      <c r="AM11" t="s">
        <v>357</v>
      </c>
    </row>
    <row r="12" spans="1:39" x14ac:dyDescent="0.45">
      <c r="C12" t="s">
        <v>150</v>
      </c>
      <c r="D12" t="s">
        <v>149</v>
      </c>
      <c r="E12" t="s">
        <v>746</v>
      </c>
      <c r="F12" t="s">
        <v>152</v>
      </c>
      <c r="G12" t="s">
        <v>149</v>
      </c>
      <c r="I12" t="s">
        <v>236</v>
      </c>
      <c r="J12" t="s">
        <v>239</v>
      </c>
      <c r="K12">
        <v>0</v>
      </c>
      <c r="L12" t="s">
        <v>238</v>
      </c>
      <c r="N12" t="s">
        <v>346</v>
      </c>
      <c r="O12" t="s">
        <v>239</v>
      </c>
      <c r="P12">
        <v>7.4771968628568157E-3</v>
      </c>
      <c r="Q12" t="s">
        <v>238</v>
      </c>
      <c r="S12" t="s">
        <v>347</v>
      </c>
      <c r="T12" t="s">
        <v>239</v>
      </c>
      <c r="U12">
        <v>7.0255051417868024E-3</v>
      </c>
      <c r="V12" t="s">
        <v>238</v>
      </c>
      <c r="X12">
        <v>6.735159817351598E-3</v>
      </c>
      <c r="Y12">
        <v>9.9743927603609898E-3</v>
      </c>
      <c r="Z12" t="s">
        <v>239</v>
      </c>
      <c r="AA12" t="s">
        <v>25</v>
      </c>
      <c r="AC12" t="s">
        <v>22</v>
      </c>
      <c r="AD12" t="s">
        <v>239</v>
      </c>
      <c r="AE12">
        <v>8.5508495229955229E-3</v>
      </c>
      <c r="AG12" t="s">
        <v>97</v>
      </c>
      <c r="AH12" t="s">
        <v>239</v>
      </c>
      <c r="AI12">
        <v>8.4513738967735286E-2</v>
      </c>
      <c r="AK12" t="s">
        <v>150</v>
      </c>
      <c r="AL12">
        <v>0.32525199218956147</v>
      </c>
      <c r="AM12" t="s">
        <v>357</v>
      </c>
    </row>
    <row r="13" spans="1:39" x14ac:dyDescent="0.45">
      <c r="C13" t="s">
        <v>152</v>
      </c>
      <c r="D13" t="s">
        <v>153</v>
      </c>
      <c r="E13" t="s">
        <v>747</v>
      </c>
      <c r="F13" t="s">
        <v>363</v>
      </c>
      <c r="G13" t="s">
        <v>149</v>
      </c>
      <c r="I13" t="s">
        <v>236</v>
      </c>
      <c r="J13" t="s">
        <v>240</v>
      </c>
      <c r="K13">
        <v>2.1283100409942801E-4</v>
      </c>
      <c r="L13" t="s">
        <v>238</v>
      </c>
      <c r="N13" t="s">
        <v>346</v>
      </c>
      <c r="O13" t="s">
        <v>240</v>
      </c>
      <c r="P13">
        <v>7.486052410617448E-3</v>
      </c>
      <c r="Q13" t="s">
        <v>238</v>
      </c>
      <c r="S13" t="s">
        <v>347</v>
      </c>
      <c r="T13" t="s">
        <v>240</v>
      </c>
      <c r="U13">
        <v>7.0289935279836818E-3</v>
      </c>
      <c r="V13" t="s">
        <v>238</v>
      </c>
      <c r="X13">
        <v>6.735159817351598E-3</v>
      </c>
      <c r="Y13">
        <v>1.124563889648543E-2</v>
      </c>
      <c r="Z13" t="s">
        <v>240</v>
      </c>
      <c r="AA13" t="s">
        <v>25</v>
      </c>
      <c r="AC13" t="s">
        <v>22</v>
      </c>
      <c r="AD13" t="s">
        <v>240</v>
      </c>
      <c r="AE13">
        <v>8.9794169198168568E-3</v>
      </c>
      <c r="AG13" t="s">
        <v>97</v>
      </c>
      <c r="AH13" t="s">
        <v>240</v>
      </c>
      <c r="AI13">
        <v>8.4639654187265601E-2</v>
      </c>
      <c r="AK13" t="s">
        <v>363</v>
      </c>
      <c r="AL13">
        <v>7.4790226397171353E-2</v>
      </c>
      <c r="AM13" t="s">
        <v>357</v>
      </c>
    </row>
    <row r="14" spans="1:39" x14ac:dyDescent="0.45">
      <c r="C14" t="s">
        <v>155</v>
      </c>
      <c r="E14" t="s">
        <v>748</v>
      </c>
      <c r="G14" t="s">
        <v>149</v>
      </c>
      <c r="I14" t="s">
        <v>236</v>
      </c>
      <c r="J14" t="s">
        <v>241</v>
      </c>
      <c r="K14">
        <v>2.5148696506666463E-3</v>
      </c>
      <c r="L14" t="s">
        <v>238</v>
      </c>
      <c r="N14" t="s">
        <v>346</v>
      </c>
      <c r="O14" t="s">
        <v>241</v>
      </c>
      <c r="P14">
        <v>7.4313732460396372E-3</v>
      </c>
      <c r="Q14" t="s">
        <v>238</v>
      </c>
      <c r="S14" t="s">
        <v>347</v>
      </c>
      <c r="T14" t="s">
        <v>241</v>
      </c>
      <c r="U14">
        <v>7.0672308248558137E-3</v>
      </c>
      <c r="V14" t="s">
        <v>238</v>
      </c>
      <c r="X14">
        <v>6.735159817351598E-3</v>
      </c>
      <c r="Y14">
        <v>8.6053584599192871E-3</v>
      </c>
      <c r="Z14" t="s">
        <v>241</v>
      </c>
      <c r="AA14" t="s">
        <v>25</v>
      </c>
      <c r="AC14" t="s">
        <v>22</v>
      </c>
      <c r="AD14" t="s">
        <v>241</v>
      </c>
      <c r="AE14">
        <v>9.323225878081709E-3</v>
      </c>
      <c r="AG14" t="s">
        <v>97</v>
      </c>
      <c r="AH14" t="s">
        <v>241</v>
      </c>
      <c r="AI14">
        <v>8.0333357720038912E-2</v>
      </c>
      <c r="AK14" t="s">
        <v>145</v>
      </c>
      <c r="AL14">
        <v>0.18244762256583458</v>
      </c>
      <c r="AM14" t="s">
        <v>357</v>
      </c>
    </row>
    <row r="15" spans="1:39" x14ac:dyDescent="0.45">
      <c r="C15" t="s">
        <v>363</v>
      </c>
      <c r="E15" t="s">
        <v>749</v>
      </c>
      <c r="G15" t="s">
        <v>149</v>
      </c>
      <c r="I15" t="s">
        <v>236</v>
      </c>
      <c r="J15" t="s">
        <v>242</v>
      </c>
      <c r="K15">
        <v>6.2558672439296206E-2</v>
      </c>
      <c r="L15" t="s">
        <v>238</v>
      </c>
      <c r="N15" t="s">
        <v>346</v>
      </c>
      <c r="O15" t="s">
        <v>242</v>
      </c>
      <c r="P15">
        <v>5.0253045596220534E-2</v>
      </c>
      <c r="Q15" t="s">
        <v>238</v>
      </c>
      <c r="S15" t="s">
        <v>347</v>
      </c>
      <c r="T15" t="s">
        <v>242</v>
      </c>
      <c r="U15">
        <v>4.9448650671140848E-2</v>
      </c>
      <c r="V15" t="s">
        <v>238</v>
      </c>
      <c r="X15">
        <v>4.714611872146119E-2</v>
      </c>
      <c r="Y15">
        <v>6.137185192551526E-2</v>
      </c>
      <c r="Z15" t="s">
        <v>242</v>
      </c>
      <c r="AA15" t="s">
        <v>25</v>
      </c>
      <c r="AC15" t="s">
        <v>22</v>
      </c>
      <c r="AD15" t="s">
        <v>242</v>
      </c>
      <c r="AE15">
        <v>6.5788489902556563E-2</v>
      </c>
      <c r="AG15" t="s">
        <v>97</v>
      </c>
      <c r="AH15" t="s">
        <v>242</v>
      </c>
      <c r="AI15">
        <v>8.572772625404057E-2</v>
      </c>
      <c r="AK15" t="s">
        <v>366</v>
      </c>
      <c r="AL15">
        <v>8.4099424771755762E-2</v>
      </c>
      <c r="AM15" t="s">
        <v>357</v>
      </c>
    </row>
    <row r="16" spans="1:39" x14ac:dyDescent="0.45">
      <c r="C16" t="s">
        <v>366</v>
      </c>
      <c r="E16" t="s">
        <v>750</v>
      </c>
      <c r="G16" t="s">
        <v>149</v>
      </c>
      <c r="I16" t="s">
        <v>236</v>
      </c>
      <c r="J16" t="s">
        <v>243</v>
      </c>
      <c r="K16">
        <v>4.884449944847249E-3</v>
      </c>
      <c r="L16" t="s">
        <v>238</v>
      </c>
      <c r="N16" t="s">
        <v>346</v>
      </c>
      <c r="O16" t="s">
        <v>243</v>
      </c>
      <c r="P16">
        <v>7.1465471045658894E-3</v>
      </c>
      <c r="Q16" t="s">
        <v>238</v>
      </c>
      <c r="S16" t="s">
        <v>347</v>
      </c>
      <c r="T16" t="s">
        <v>243</v>
      </c>
      <c r="U16">
        <v>7.1736352625391417E-3</v>
      </c>
      <c r="V16" t="s">
        <v>238</v>
      </c>
      <c r="X16">
        <v>6.735159817351598E-3</v>
      </c>
      <c r="Y16">
        <v>1.3103614018513452E-2</v>
      </c>
      <c r="Z16" t="s">
        <v>243</v>
      </c>
      <c r="AA16" t="s">
        <v>25</v>
      </c>
      <c r="AC16" t="s">
        <v>22</v>
      </c>
      <c r="AD16" t="s">
        <v>243</v>
      </c>
      <c r="AE16">
        <v>9.6263596139477565E-3</v>
      </c>
      <c r="AG16" t="s">
        <v>97</v>
      </c>
      <c r="AH16" t="s">
        <v>243</v>
      </c>
      <c r="AI16">
        <v>7.9506794508142686E-2</v>
      </c>
      <c r="AK16" t="s">
        <v>152</v>
      </c>
      <c r="AL16">
        <v>0.44259855401340437</v>
      </c>
      <c r="AM16" t="s">
        <v>357</v>
      </c>
    </row>
    <row r="17" spans="5:35" x14ac:dyDescent="0.45">
      <c r="E17" t="s">
        <v>751</v>
      </c>
      <c r="G17" t="s">
        <v>149</v>
      </c>
      <c r="I17" t="s">
        <v>236</v>
      </c>
      <c r="J17" t="s">
        <v>244</v>
      </c>
      <c r="K17">
        <v>1.8062387930995159E-3</v>
      </c>
      <c r="L17" t="s">
        <v>238</v>
      </c>
      <c r="N17" t="s">
        <v>346</v>
      </c>
      <c r="O17" t="s">
        <v>244</v>
      </c>
      <c r="P17">
        <v>7.2770367486697917E-3</v>
      </c>
      <c r="Q17" t="s">
        <v>238</v>
      </c>
      <c r="S17" t="s">
        <v>347</v>
      </c>
      <c r="T17" t="s">
        <v>244</v>
      </c>
      <c r="U17">
        <v>7.2869486355689019E-3</v>
      </c>
      <c r="V17" t="s">
        <v>238</v>
      </c>
      <c r="X17">
        <v>6.735159817351598E-3</v>
      </c>
      <c r="Y17">
        <v>1.3103614018513452E-2</v>
      </c>
      <c r="Z17" t="s">
        <v>244</v>
      </c>
      <c r="AA17" t="s">
        <v>25</v>
      </c>
      <c r="AC17" t="s">
        <v>22</v>
      </c>
      <c r="AD17" t="s">
        <v>244</v>
      </c>
      <c r="AE17">
        <v>9.6700816802201377E-3</v>
      </c>
      <c r="AG17" t="s">
        <v>97</v>
      </c>
      <c r="AH17" t="s">
        <v>244</v>
      </c>
      <c r="AI17">
        <v>8.0562479560222666E-2</v>
      </c>
    </row>
    <row r="18" spans="5:35" x14ac:dyDescent="0.45">
      <c r="E18" t="s">
        <v>752</v>
      </c>
      <c r="G18" t="s">
        <v>149</v>
      </c>
      <c r="I18" t="s">
        <v>236</v>
      </c>
      <c r="J18" t="s">
        <v>245</v>
      </c>
      <c r="K18">
        <v>1.260548737735539E-4</v>
      </c>
      <c r="L18" t="s">
        <v>238</v>
      </c>
      <c r="N18" t="s">
        <v>346</v>
      </c>
      <c r="O18" t="s">
        <v>245</v>
      </c>
      <c r="P18">
        <v>4.4361212419593996E-2</v>
      </c>
      <c r="Q18" t="s">
        <v>238</v>
      </c>
      <c r="S18" t="s">
        <v>347</v>
      </c>
      <c r="T18" t="s">
        <v>245</v>
      </c>
      <c r="U18">
        <v>4.3299572710980228E-2</v>
      </c>
      <c r="V18" t="s">
        <v>238</v>
      </c>
      <c r="X18">
        <v>4.041095890410959E-2</v>
      </c>
      <c r="Y18">
        <v>3.5594891811484314E-2</v>
      </c>
      <c r="Z18" t="s">
        <v>245</v>
      </c>
      <c r="AA18" t="s">
        <v>25</v>
      </c>
      <c r="AC18" t="s">
        <v>22</v>
      </c>
      <c r="AD18" t="s">
        <v>245</v>
      </c>
      <c r="AE18">
        <v>5.0177962677305961E-2</v>
      </c>
      <c r="AG18" t="s">
        <v>97</v>
      </c>
      <c r="AH18" t="s">
        <v>245</v>
      </c>
      <c r="AI18">
        <v>0.18372287613182636</v>
      </c>
    </row>
    <row r="19" spans="5:35" x14ac:dyDescent="0.45">
      <c r="E19" t="s">
        <v>753</v>
      </c>
      <c r="G19" t="s">
        <v>149</v>
      </c>
      <c r="I19" t="s">
        <v>236</v>
      </c>
      <c r="J19" t="s">
        <v>247</v>
      </c>
      <c r="K19">
        <v>1.7390279363962665E-3</v>
      </c>
      <c r="L19" t="s">
        <v>238</v>
      </c>
      <c r="N19" t="s">
        <v>346</v>
      </c>
      <c r="O19" t="s">
        <v>247</v>
      </c>
      <c r="P19">
        <v>6.1882470401995467E-2</v>
      </c>
      <c r="Q19" t="s">
        <v>238</v>
      </c>
      <c r="S19" t="s">
        <v>347</v>
      </c>
      <c r="T19" t="s">
        <v>247</v>
      </c>
      <c r="U19">
        <v>6.1851239608994447E-2</v>
      </c>
      <c r="V19" t="s">
        <v>238</v>
      </c>
      <c r="X19">
        <v>6.3013698630136991E-2</v>
      </c>
      <c r="Y19">
        <v>1.3479518351855079E-2</v>
      </c>
      <c r="Z19" t="s">
        <v>247</v>
      </c>
      <c r="AA19" t="s">
        <v>25</v>
      </c>
      <c r="AC19" t="s">
        <v>22</v>
      </c>
      <c r="AD19" t="s">
        <v>247</v>
      </c>
      <c r="AE19">
        <v>4.8274931981588512E-2</v>
      </c>
      <c r="AG19" t="s">
        <v>97</v>
      </c>
      <c r="AH19" t="s">
        <v>247</v>
      </c>
      <c r="AI19">
        <v>0.33558918595336507</v>
      </c>
    </row>
    <row r="20" spans="5:35" x14ac:dyDescent="0.45">
      <c r="E20" t="s">
        <v>754</v>
      </c>
      <c r="G20" t="s">
        <v>149</v>
      </c>
      <c r="I20" t="s">
        <v>236</v>
      </c>
      <c r="J20" t="s">
        <v>248</v>
      </c>
      <c r="K20">
        <v>7.1998476246754352E-3</v>
      </c>
      <c r="L20" t="s">
        <v>238</v>
      </c>
      <c r="N20" t="s">
        <v>346</v>
      </c>
      <c r="O20" t="s">
        <v>248</v>
      </c>
      <c r="P20">
        <v>9.9325685708677777E-3</v>
      </c>
      <c r="Q20" t="s">
        <v>238</v>
      </c>
      <c r="S20" t="s">
        <v>347</v>
      </c>
      <c r="T20" t="s">
        <v>248</v>
      </c>
      <c r="U20">
        <v>9.8742653804717809E-3</v>
      </c>
      <c r="V20" t="s">
        <v>238</v>
      </c>
      <c r="X20">
        <v>1.0502283105022832E-2</v>
      </c>
      <c r="Y20">
        <v>1.5553290405986625E-2</v>
      </c>
      <c r="Z20" t="s">
        <v>248</v>
      </c>
      <c r="AA20" t="s">
        <v>25</v>
      </c>
      <c r="AC20" t="s">
        <v>22</v>
      </c>
      <c r="AD20" t="s">
        <v>248</v>
      </c>
      <c r="AE20">
        <v>1.1243068077832314E-2</v>
      </c>
      <c r="AG20" t="s">
        <v>97</v>
      </c>
      <c r="AH20" t="s">
        <v>248</v>
      </c>
      <c r="AI20">
        <v>0.2203796569994978</v>
      </c>
    </row>
    <row r="21" spans="5:35" x14ac:dyDescent="0.45">
      <c r="E21" t="s">
        <v>755</v>
      </c>
      <c r="G21" t="s">
        <v>149</v>
      </c>
      <c r="I21" t="s">
        <v>236</v>
      </c>
      <c r="J21" t="s">
        <v>249</v>
      </c>
      <c r="K21">
        <v>1.477207075028604E-2</v>
      </c>
      <c r="L21" t="s">
        <v>238</v>
      </c>
      <c r="N21" t="s">
        <v>346</v>
      </c>
      <c r="O21" t="s">
        <v>249</v>
      </c>
      <c r="P21">
        <v>9.5234391797531948E-3</v>
      </c>
      <c r="Q21" t="s">
        <v>238</v>
      </c>
      <c r="S21" t="s">
        <v>347</v>
      </c>
      <c r="T21" t="s">
        <v>249</v>
      </c>
      <c r="U21">
        <v>9.7755876684235046E-3</v>
      </c>
      <c r="V21" t="s">
        <v>238</v>
      </c>
      <c r="X21">
        <v>1.0502283105022832E-2</v>
      </c>
      <c r="Y21">
        <v>1.7535572516553546E-2</v>
      </c>
      <c r="Z21" t="s">
        <v>249</v>
      </c>
      <c r="AA21" t="s">
        <v>25</v>
      </c>
      <c r="AC21" t="s">
        <v>22</v>
      </c>
      <c r="AD21" t="s">
        <v>249</v>
      </c>
      <c r="AE21">
        <v>1.2174998159227554E-2</v>
      </c>
      <c r="AG21" t="s">
        <v>97</v>
      </c>
      <c r="AH21" t="s">
        <v>249</v>
      </c>
      <c r="AI21">
        <v>0.2000336310543982</v>
      </c>
    </row>
    <row r="22" spans="5:35" x14ac:dyDescent="0.45">
      <c r="E22" t="s">
        <v>756</v>
      </c>
      <c r="G22" t="s">
        <v>149</v>
      </c>
      <c r="I22" t="s">
        <v>236</v>
      </c>
      <c r="J22" t="s">
        <v>250</v>
      </c>
      <c r="K22">
        <v>2.2157748006930236E-2</v>
      </c>
      <c r="L22" t="s">
        <v>238</v>
      </c>
      <c r="N22" t="s">
        <v>346</v>
      </c>
      <c r="O22" t="s">
        <v>250</v>
      </c>
      <c r="P22">
        <v>9.3649021249454182E-3</v>
      </c>
      <c r="Q22" t="s">
        <v>238</v>
      </c>
      <c r="S22" t="s">
        <v>347</v>
      </c>
      <c r="T22" t="s">
        <v>250</v>
      </c>
      <c r="U22">
        <v>9.7490723075456375E-3</v>
      </c>
      <c r="V22" t="s">
        <v>238</v>
      </c>
      <c r="X22">
        <v>1.0502283105022832E-2</v>
      </c>
      <c r="Y22">
        <v>1.3418525056145329E-2</v>
      </c>
      <c r="Z22" t="s">
        <v>250</v>
      </c>
      <c r="AA22" t="s">
        <v>25</v>
      </c>
      <c r="AC22" t="s">
        <v>22</v>
      </c>
      <c r="AD22" t="s">
        <v>250</v>
      </c>
      <c r="AE22">
        <v>1.2643747780191573E-2</v>
      </c>
      <c r="AG22" t="s">
        <v>97</v>
      </c>
      <c r="AH22" t="s">
        <v>250</v>
      </c>
      <c r="AI22">
        <v>0.19389874730862244</v>
      </c>
    </row>
    <row r="23" spans="5:35" x14ac:dyDescent="0.45">
      <c r="E23" t="s">
        <v>757</v>
      </c>
      <c r="G23" t="s">
        <v>149</v>
      </c>
      <c r="I23" t="s">
        <v>236</v>
      </c>
      <c r="J23" t="s">
        <v>251</v>
      </c>
      <c r="K23">
        <v>0.21001705883791241</v>
      </c>
      <c r="L23" t="s">
        <v>238</v>
      </c>
      <c r="N23" t="s">
        <v>346</v>
      </c>
      <c r="O23" t="s">
        <v>251</v>
      </c>
      <c r="P23">
        <v>6.7740982612904788E-2</v>
      </c>
      <c r="Q23" t="s">
        <v>238</v>
      </c>
      <c r="S23" t="s">
        <v>347</v>
      </c>
      <c r="T23" t="s">
        <v>251</v>
      </c>
      <c r="U23">
        <v>6.6930711870692924E-2</v>
      </c>
      <c r="V23" t="s">
        <v>238</v>
      </c>
      <c r="X23">
        <v>7.3515981735159816E-2</v>
      </c>
      <c r="Y23">
        <v>9.5698480968600078E-2</v>
      </c>
      <c r="Z23" t="s">
        <v>251</v>
      </c>
      <c r="AA23" t="s">
        <v>25</v>
      </c>
      <c r="AC23" t="s">
        <v>22</v>
      </c>
      <c r="AD23" t="s">
        <v>251</v>
      </c>
      <c r="AE23">
        <v>8.7021022755670807E-2</v>
      </c>
      <c r="AG23" t="s">
        <v>97</v>
      </c>
      <c r="AH23" t="s">
        <v>251</v>
      </c>
      <c r="AI23">
        <v>0.20247822779295777</v>
      </c>
    </row>
    <row r="24" spans="5:35" x14ac:dyDescent="0.45">
      <c r="E24" t="s">
        <v>758</v>
      </c>
      <c r="G24" t="s">
        <v>149</v>
      </c>
      <c r="I24" t="s">
        <v>236</v>
      </c>
      <c r="J24" t="s">
        <v>252</v>
      </c>
      <c r="K24">
        <v>2.1783319555425947E-2</v>
      </c>
      <c r="L24" t="s">
        <v>238</v>
      </c>
      <c r="N24" t="s">
        <v>346</v>
      </c>
      <c r="O24" t="s">
        <v>252</v>
      </c>
      <c r="P24">
        <v>9.9304589342821027E-3</v>
      </c>
      <c r="Q24" t="s">
        <v>238</v>
      </c>
      <c r="S24" t="s">
        <v>347</v>
      </c>
      <c r="T24" t="s">
        <v>252</v>
      </c>
      <c r="U24">
        <v>1.0058574075924922E-2</v>
      </c>
      <c r="V24" t="s">
        <v>238</v>
      </c>
      <c r="X24">
        <v>1.0502283105022832E-2</v>
      </c>
      <c r="Y24">
        <v>2.0432754062766744E-2</v>
      </c>
      <c r="Z24" t="s">
        <v>252</v>
      </c>
      <c r="AA24" t="s">
        <v>25</v>
      </c>
      <c r="AC24" t="s">
        <v>22</v>
      </c>
      <c r="AD24" t="s">
        <v>252</v>
      </c>
      <c r="AE24">
        <v>1.2428238751812934E-2</v>
      </c>
      <c r="AG24" t="s">
        <v>97</v>
      </c>
      <c r="AH24" t="s">
        <v>252</v>
      </c>
      <c r="AI24">
        <v>0.21380075008061561</v>
      </c>
    </row>
    <row r="25" spans="5:35" x14ac:dyDescent="0.45">
      <c r="E25" t="s">
        <v>759</v>
      </c>
      <c r="G25" t="s">
        <v>149</v>
      </c>
      <c r="I25" t="s">
        <v>236</v>
      </c>
      <c r="J25" t="s">
        <v>253</v>
      </c>
      <c r="K25">
        <v>1.5835241922002977E-2</v>
      </c>
      <c r="L25" t="s">
        <v>238</v>
      </c>
      <c r="N25" t="s">
        <v>346</v>
      </c>
      <c r="O25" t="s">
        <v>253</v>
      </c>
      <c r="P25">
        <v>9.7268951856563698E-3</v>
      </c>
      <c r="Q25" t="s">
        <v>238</v>
      </c>
      <c r="S25" t="s">
        <v>347</v>
      </c>
      <c r="T25" t="s">
        <v>253</v>
      </c>
      <c r="U25">
        <v>1.0171744478523636E-2</v>
      </c>
      <c r="V25" t="s">
        <v>238</v>
      </c>
      <c r="X25">
        <v>1.0502283105022832E-2</v>
      </c>
      <c r="Y25">
        <v>2.0432754062766744E-2</v>
      </c>
      <c r="Z25" t="s">
        <v>253</v>
      </c>
      <c r="AA25" t="s">
        <v>25</v>
      </c>
      <c r="AC25" t="s">
        <v>22</v>
      </c>
      <c r="AD25" t="s">
        <v>253</v>
      </c>
      <c r="AE25">
        <v>1.2512785086468527E-2</v>
      </c>
      <c r="AG25" t="s">
        <v>97</v>
      </c>
      <c r="AH25" t="s">
        <v>253</v>
      </c>
      <c r="AI25">
        <v>0.211381012992089</v>
      </c>
    </row>
    <row r="26" spans="5:35" x14ac:dyDescent="0.45">
      <c r="E26" t="s">
        <v>760</v>
      </c>
      <c r="G26" t="s">
        <v>149</v>
      </c>
      <c r="I26" t="s">
        <v>236</v>
      </c>
      <c r="J26" t="s">
        <v>254</v>
      </c>
      <c r="K26">
        <v>1.2017929393879136E-2</v>
      </c>
      <c r="L26" t="s">
        <v>238</v>
      </c>
      <c r="N26" t="s">
        <v>346</v>
      </c>
      <c r="O26" t="s">
        <v>254</v>
      </c>
      <c r="P26">
        <v>6.3091175190179774E-2</v>
      </c>
      <c r="Q26" t="s">
        <v>238</v>
      </c>
      <c r="S26" t="s">
        <v>347</v>
      </c>
      <c r="T26" t="s">
        <v>254</v>
      </c>
      <c r="U26">
        <v>6.2884010044582453E-2</v>
      </c>
      <c r="V26" t="s">
        <v>238</v>
      </c>
      <c r="X26">
        <v>6.3013698630136991E-2</v>
      </c>
      <c r="Y26">
        <v>5.5503899095873853E-2</v>
      </c>
      <c r="Z26" t="s">
        <v>254</v>
      </c>
      <c r="AA26" t="s">
        <v>25</v>
      </c>
      <c r="AC26" t="s">
        <v>22</v>
      </c>
      <c r="AD26" t="s">
        <v>254</v>
      </c>
      <c r="AE26">
        <v>6.4729605793992881E-2</v>
      </c>
      <c r="AG26" t="s">
        <v>97</v>
      </c>
      <c r="AH26" t="s">
        <v>254</v>
      </c>
      <c r="AI26">
        <v>0.32204143107577599</v>
      </c>
    </row>
    <row r="27" spans="5:35" x14ac:dyDescent="0.45">
      <c r="E27" t="s">
        <v>761</v>
      </c>
      <c r="G27" t="s">
        <v>149</v>
      </c>
      <c r="I27" t="s">
        <v>236</v>
      </c>
      <c r="J27" t="s">
        <v>328</v>
      </c>
      <c r="K27">
        <v>6.5839550911715814E-3</v>
      </c>
      <c r="L27" t="s">
        <v>238</v>
      </c>
      <c r="N27" t="s">
        <v>346</v>
      </c>
      <c r="O27" t="s">
        <v>328</v>
      </c>
      <c r="P27">
        <v>5.8647423054914175E-2</v>
      </c>
      <c r="Q27" t="s">
        <v>238</v>
      </c>
      <c r="S27" t="s">
        <v>347</v>
      </c>
      <c r="T27" t="s">
        <v>328</v>
      </c>
      <c r="U27">
        <v>5.9825314787099175E-2</v>
      </c>
      <c r="V27" t="s">
        <v>238</v>
      </c>
      <c r="X27">
        <v>7.8767123287671229E-2</v>
      </c>
      <c r="Y27">
        <v>1.6849397939818846E-2</v>
      </c>
      <c r="Z27" t="s">
        <v>328</v>
      </c>
      <c r="AA27" t="s">
        <v>25</v>
      </c>
      <c r="AC27" t="s">
        <v>22</v>
      </c>
      <c r="AD27" t="s">
        <v>328</v>
      </c>
      <c r="AE27">
        <v>4.7217916047465697E-2</v>
      </c>
      <c r="AG27" t="s">
        <v>97</v>
      </c>
      <c r="AH27" t="s">
        <v>328</v>
      </c>
      <c r="AI27">
        <v>0.20863528426775235</v>
      </c>
    </row>
    <row r="28" spans="5:35" x14ac:dyDescent="0.45">
      <c r="E28" t="s">
        <v>762</v>
      </c>
      <c r="G28" t="s">
        <v>149</v>
      </c>
      <c r="I28" t="s">
        <v>236</v>
      </c>
      <c r="J28" t="s">
        <v>329</v>
      </c>
      <c r="K28">
        <v>1.7465699309379783E-2</v>
      </c>
      <c r="L28" t="s">
        <v>238</v>
      </c>
      <c r="N28" t="s">
        <v>346</v>
      </c>
      <c r="O28" t="s">
        <v>329</v>
      </c>
      <c r="P28">
        <v>9.2746525282570973E-3</v>
      </c>
      <c r="Q28" t="s">
        <v>238</v>
      </c>
      <c r="S28" t="s">
        <v>347</v>
      </c>
      <c r="T28" t="s">
        <v>329</v>
      </c>
      <c r="U28">
        <v>1.0004309338196574E-2</v>
      </c>
      <c r="V28" t="s">
        <v>238</v>
      </c>
      <c r="X28">
        <v>1.3127853881278538E-2</v>
      </c>
      <c r="Y28">
        <v>1.9441613007483281E-2</v>
      </c>
      <c r="Z28" t="s">
        <v>329</v>
      </c>
      <c r="AA28" t="s">
        <v>25</v>
      </c>
      <c r="AC28" t="s">
        <v>22</v>
      </c>
      <c r="AD28" t="s">
        <v>329</v>
      </c>
      <c r="AE28">
        <v>1.1096223552910837E-2</v>
      </c>
      <c r="AG28" t="s">
        <v>97</v>
      </c>
      <c r="AH28" t="s">
        <v>329</v>
      </c>
      <c r="AI28">
        <v>0.11533476271712573</v>
      </c>
    </row>
    <row r="29" spans="5:35" x14ac:dyDescent="0.45">
      <c r="E29" t="s">
        <v>763</v>
      </c>
      <c r="G29" t="s">
        <v>149</v>
      </c>
      <c r="I29" t="s">
        <v>236</v>
      </c>
      <c r="J29" t="s">
        <v>330</v>
      </c>
      <c r="K29">
        <v>2.7730321459676875E-2</v>
      </c>
      <c r="L29" t="s">
        <v>238</v>
      </c>
      <c r="N29" t="s">
        <v>346</v>
      </c>
      <c r="O29" t="s">
        <v>330</v>
      </c>
      <c r="P29">
        <v>9.1082751623057998E-3</v>
      </c>
      <c r="Q29" t="s">
        <v>238</v>
      </c>
      <c r="S29" t="s">
        <v>347</v>
      </c>
      <c r="T29" t="s">
        <v>330</v>
      </c>
      <c r="U29">
        <v>1.0124904488675033E-2</v>
      </c>
      <c r="V29" t="s">
        <v>238</v>
      </c>
      <c r="X29">
        <v>1.3127853881278538E-2</v>
      </c>
      <c r="Y29">
        <v>2.191946564569193E-2</v>
      </c>
      <c r="Z29" t="s">
        <v>330</v>
      </c>
      <c r="AA29" t="s">
        <v>25</v>
      </c>
      <c r="AC29" t="s">
        <v>22</v>
      </c>
      <c r="AD29" t="s">
        <v>330</v>
      </c>
      <c r="AE29">
        <v>1.2314505365581542E-2</v>
      </c>
      <c r="AG29" t="s">
        <v>97</v>
      </c>
      <c r="AH29" t="s">
        <v>330</v>
      </c>
      <c r="AI29">
        <v>0.10899315534162812</v>
      </c>
    </row>
    <row r="30" spans="5:35" x14ac:dyDescent="0.45">
      <c r="E30" t="s">
        <v>764</v>
      </c>
      <c r="G30" t="s">
        <v>149</v>
      </c>
      <c r="I30" t="s">
        <v>236</v>
      </c>
      <c r="J30" t="s">
        <v>331</v>
      </c>
      <c r="K30">
        <v>3.5755740113079769E-2</v>
      </c>
      <c r="L30" t="s">
        <v>238</v>
      </c>
      <c r="N30" t="s">
        <v>346</v>
      </c>
      <c r="O30" t="s">
        <v>331</v>
      </c>
      <c r="P30">
        <v>9.0691876159975076E-3</v>
      </c>
      <c r="Q30" t="s">
        <v>238</v>
      </c>
      <c r="S30" t="s">
        <v>347</v>
      </c>
      <c r="T30" t="s">
        <v>331</v>
      </c>
      <c r="U30">
        <v>1.0243776328951773E-2</v>
      </c>
      <c r="V30" t="s">
        <v>238</v>
      </c>
      <c r="X30">
        <v>1.3127853881278538E-2</v>
      </c>
      <c r="Y30">
        <v>1.6773156320181656E-2</v>
      </c>
      <c r="Z30" t="s">
        <v>331</v>
      </c>
      <c r="AA30" t="s">
        <v>25</v>
      </c>
      <c r="AC30" t="s">
        <v>22</v>
      </c>
      <c r="AD30" t="s">
        <v>331</v>
      </c>
      <c r="AE30">
        <v>1.31243381230571E-2</v>
      </c>
      <c r="AG30" t="s">
        <v>97</v>
      </c>
      <c r="AH30" t="s">
        <v>331</v>
      </c>
      <c r="AI30">
        <v>8.807315758746137E-2</v>
      </c>
    </row>
    <row r="31" spans="5:35" x14ac:dyDescent="0.45">
      <c r="E31" t="s">
        <v>765</v>
      </c>
      <c r="G31" t="s">
        <v>149</v>
      </c>
      <c r="I31" t="s">
        <v>236</v>
      </c>
      <c r="J31" t="s">
        <v>332</v>
      </c>
      <c r="K31">
        <v>0.30414694729890152</v>
      </c>
      <c r="L31" t="s">
        <v>238</v>
      </c>
      <c r="N31" t="s">
        <v>346</v>
      </c>
      <c r="O31" t="s">
        <v>332</v>
      </c>
      <c r="P31">
        <v>6.7219166034918856E-2</v>
      </c>
      <c r="Q31" t="s">
        <v>238</v>
      </c>
      <c r="S31" t="s">
        <v>347</v>
      </c>
      <c r="T31" t="s">
        <v>332</v>
      </c>
      <c r="U31">
        <v>7.1311094898777155E-2</v>
      </c>
      <c r="V31" t="s">
        <v>238</v>
      </c>
      <c r="X31">
        <v>9.1894977168949774E-2</v>
      </c>
      <c r="Y31">
        <v>0.11962310121075009</v>
      </c>
      <c r="Z31" t="s">
        <v>332</v>
      </c>
      <c r="AA31" t="s">
        <v>25</v>
      </c>
      <c r="AC31" t="s">
        <v>22</v>
      </c>
      <c r="AD31" t="s">
        <v>332</v>
      </c>
      <c r="AE31">
        <v>9.2700538663209112E-2</v>
      </c>
      <c r="AG31" t="s">
        <v>97</v>
      </c>
      <c r="AH31" t="s">
        <v>332</v>
      </c>
      <c r="AI31">
        <v>0.10165310055900467</v>
      </c>
    </row>
    <row r="32" spans="5:35" x14ac:dyDescent="0.45">
      <c r="E32" t="s">
        <v>766</v>
      </c>
      <c r="G32" t="s">
        <v>149</v>
      </c>
      <c r="I32" t="s">
        <v>236</v>
      </c>
      <c r="J32" t="s">
        <v>333</v>
      </c>
      <c r="K32">
        <v>3.4779195374240075E-2</v>
      </c>
      <c r="L32" t="s">
        <v>238</v>
      </c>
      <c r="N32" t="s">
        <v>346</v>
      </c>
      <c r="O32" t="s">
        <v>333</v>
      </c>
      <c r="P32">
        <v>9.9639753698389927E-3</v>
      </c>
      <c r="Q32" t="s">
        <v>238</v>
      </c>
      <c r="S32" t="s">
        <v>347</v>
      </c>
      <c r="T32" t="s">
        <v>333</v>
      </c>
      <c r="U32">
        <v>1.055906230962274E-2</v>
      </c>
      <c r="V32" t="s">
        <v>238</v>
      </c>
      <c r="X32">
        <v>1.3127853881278538E-2</v>
      </c>
      <c r="Y32">
        <v>2.5540942578458431E-2</v>
      </c>
      <c r="Z32" t="s">
        <v>333</v>
      </c>
      <c r="AA32" t="s">
        <v>25</v>
      </c>
      <c r="AC32" t="s">
        <v>22</v>
      </c>
      <c r="AD32" t="s">
        <v>333</v>
      </c>
      <c r="AE32">
        <v>1.3097885327093562E-2</v>
      </c>
      <c r="AG32" t="s">
        <v>97</v>
      </c>
      <c r="AH32" t="s">
        <v>333</v>
      </c>
      <c r="AI32">
        <v>7.9001327668192012E-2</v>
      </c>
    </row>
    <row r="33" spans="5:35" x14ac:dyDescent="0.45">
      <c r="E33" t="s">
        <v>767</v>
      </c>
      <c r="G33" t="s">
        <v>149</v>
      </c>
      <c r="I33" t="s">
        <v>236</v>
      </c>
      <c r="J33" t="s">
        <v>334</v>
      </c>
      <c r="K33">
        <v>2.7909811821564125E-2</v>
      </c>
      <c r="L33" t="s">
        <v>238</v>
      </c>
      <c r="N33" t="s">
        <v>346</v>
      </c>
      <c r="O33" t="s">
        <v>334</v>
      </c>
      <c r="P33">
        <v>9.7289188600785999E-3</v>
      </c>
      <c r="Q33" t="s">
        <v>238</v>
      </c>
      <c r="S33" t="s">
        <v>347</v>
      </c>
      <c r="T33" t="s">
        <v>334</v>
      </c>
      <c r="U33">
        <v>1.0532235559247857E-2</v>
      </c>
      <c r="V33" t="s">
        <v>238</v>
      </c>
      <c r="X33">
        <v>1.3127853881278538E-2</v>
      </c>
      <c r="Y33">
        <v>2.5540942578458431E-2</v>
      </c>
      <c r="Z33" t="s">
        <v>334</v>
      </c>
      <c r="AA33" t="s">
        <v>25</v>
      </c>
      <c r="AC33" t="s">
        <v>22</v>
      </c>
      <c r="AD33" t="s">
        <v>334</v>
      </c>
      <c r="AE33">
        <v>1.3075574289735215E-2</v>
      </c>
      <c r="AG33" t="s">
        <v>97</v>
      </c>
      <c r="AH33" t="s">
        <v>334</v>
      </c>
      <c r="AI33">
        <v>8.0028439903278015E-2</v>
      </c>
    </row>
    <row r="34" spans="5:35" x14ac:dyDescent="0.45">
      <c r="E34" t="s">
        <v>768</v>
      </c>
      <c r="G34" t="s">
        <v>149</v>
      </c>
      <c r="I34" t="s">
        <v>236</v>
      </c>
      <c r="J34" t="s">
        <v>335</v>
      </c>
      <c r="K34">
        <v>3.0732725057425855E-2</v>
      </c>
      <c r="L34" t="s">
        <v>238</v>
      </c>
      <c r="N34" t="s">
        <v>346</v>
      </c>
      <c r="O34" t="s">
        <v>335</v>
      </c>
      <c r="P34">
        <v>6.15936867253555E-2</v>
      </c>
      <c r="Q34" t="s">
        <v>238</v>
      </c>
      <c r="S34" t="s">
        <v>347</v>
      </c>
      <c r="T34" t="s">
        <v>335</v>
      </c>
      <c r="U34">
        <v>6.2402844100550359E-2</v>
      </c>
      <c r="V34" t="s">
        <v>238</v>
      </c>
      <c r="X34">
        <v>7.8767123287671229E-2</v>
      </c>
      <c r="Y34">
        <v>6.9379873869842304E-2</v>
      </c>
      <c r="Z34" t="s">
        <v>335</v>
      </c>
      <c r="AA34" t="s">
        <v>25</v>
      </c>
      <c r="AC34" t="s">
        <v>22</v>
      </c>
      <c r="AD34" t="s">
        <v>335</v>
      </c>
      <c r="AE34">
        <v>6.748254630734829E-2</v>
      </c>
      <c r="AG34" t="s">
        <v>97</v>
      </c>
      <c r="AH34" t="s">
        <v>335</v>
      </c>
      <c r="AI34">
        <v>0.1640008507408135</v>
      </c>
    </row>
    <row r="35" spans="5:35" x14ac:dyDescent="0.45">
      <c r="E35" t="s">
        <v>769</v>
      </c>
      <c r="G35" t="s">
        <v>149</v>
      </c>
      <c r="I35" t="s">
        <v>236</v>
      </c>
      <c r="J35" t="s">
        <v>1081</v>
      </c>
      <c r="K35">
        <v>0</v>
      </c>
      <c r="L35" t="s">
        <v>238</v>
      </c>
      <c r="N35" t="s">
        <v>346</v>
      </c>
      <c r="O35" t="s">
        <v>1081</v>
      </c>
      <c r="P35">
        <v>4.3102656649503152E-5</v>
      </c>
      <c r="Q35" t="s">
        <v>238</v>
      </c>
      <c r="S35" t="s">
        <v>347</v>
      </c>
      <c r="T35" t="s">
        <v>1081</v>
      </c>
      <c r="U35">
        <v>1.9570596368761561E-5</v>
      </c>
      <c r="V35" t="s">
        <v>238</v>
      </c>
      <c r="X35">
        <v>1.1415525114155251E-4</v>
      </c>
      <c r="Y35">
        <v>2.1546544680075254E-5</v>
      </c>
      <c r="Z35" t="s">
        <v>1081</v>
      </c>
      <c r="AA35" t="s">
        <v>25</v>
      </c>
      <c r="AC35" t="s">
        <v>22</v>
      </c>
      <c r="AD35" t="s">
        <v>1081</v>
      </c>
      <c r="AE35">
        <v>6.7112234346146767E-5</v>
      </c>
      <c r="AG35" t="s">
        <v>97</v>
      </c>
      <c r="AH35" t="s">
        <v>1081</v>
      </c>
      <c r="AI35">
        <v>0</v>
      </c>
    </row>
    <row r="36" spans="5:35" x14ac:dyDescent="0.45">
      <c r="E36" t="s">
        <v>770</v>
      </c>
      <c r="G36" t="s">
        <v>149</v>
      </c>
      <c r="I36" t="s">
        <v>236</v>
      </c>
      <c r="J36" t="s">
        <v>1082</v>
      </c>
      <c r="K36">
        <v>0</v>
      </c>
      <c r="L36" t="s">
        <v>238</v>
      </c>
      <c r="N36" t="s">
        <v>346</v>
      </c>
      <c r="O36" t="s">
        <v>1082</v>
      </c>
      <c r="P36">
        <v>4.1025410362468006E-5</v>
      </c>
      <c r="Q36" t="s">
        <v>238</v>
      </c>
      <c r="S36" t="s">
        <v>347</v>
      </c>
      <c r="T36" t="s">
        <v>1082</v>
      </c>
      <c r="U36">
        <v>1.5716782170554562E-5</v>
      </c>
      <c r="V36" t="s">
        <v>238</v>
      </c>
      <c r="X36">
        <v>1.1415525114155251E-4</v>
      </c>
      <c r="Y36">
        <v>1.4916838624667481E-5</v>
      </c>
      <c r="Z36" t="s">
        <v>1082</v>
      </c>
      <c r="AA36" t="s">
        <v>25</v>
      </c>
      <c r="AC36" t="s">
        <v>22</v>
      </c>
      <c r="AD36" t="s">
        <v>1082</v>
      </c>
      <c r="AE36">
        <v>6.528642103714544E-5</v>
      </c>
      <c r="AG36" t="s">
        <v>97</v>
      </c>
      <c r="AH36" t="s">
        <v>1082</v>
      </c>
      <c r="AI36">
        <v>0</v>
      </c>
    </row>
    <row r="37" spans="5:35" x14ac:dyDescent="0.45">
      <c r="E37" t="s">
        <v>771</v>
      </c>
      <c r="G37" t="s">
        <v>149</v>
      </c>
      <c r="I37" t="s">
        <v>236</v>
      </c>
      <c r="J37" t="s">
        <v>1083</v>
      </c>
      <c r="K37">
        <v>0</v>
      </c>
      <c r="L37" t="s">
        <v>238</v>
      </c>
      <c r="N37" t="s">
        <v>346</v>
      </c>
      <c r="O37" t="s">
        <v>1083</v>
      </c>
      <c r="P37">
        <v>4.5814204821308601E-5</v>
      </c>
      <c r="Q37" t="s">
        <v>238</v>
      </c>
      <c r="S37" t="s">
        <v>347</v>
      </c>
      <c r="T37" t="s">
        <v>1083</v>
      </c>
      <c r="U37">
        <v>1.3690873151388571E-5</v>
      </c>
      <c r="V37" t="s">
        <v>238</v>
      </c>
      <c r="X37">
        <v>1.1415525114155251E-4</v>
      </c>
      <c r="Y37">
        <v>1.6574265138519424E-5</v>
      </c>
      <c r="Z37" t="s">
        <v>1083</v>
      </c>
      <c r="AA37" t="s">
        <v>25</v>
      </c>
      <c r="AC37" t="s">
        <v>22</v>
      </c>
      <c r="AD37" t="s">
        <v>1083</v>
      </c>
      <c r="AE37">
        <v>6.528642103714544E-5</v>
      </c>
      <c r="AG37" t="s">
        <v>97</v>
      </c>
      <c r="AH37" t="s">
        <v>1083</v>
      </c>
      <c r="AI37">
        <v>0</v>
      </c>
    </row>
    <row r="38" spans="5:35" x14ac:dyDescent="0.45">
      <c r="E38" t="s">
        <v>772</v>
      </c>
      <c r="G38" t="s">
        <v>149</v>
      </c>
      <c r="I38" t="s">
        <v>236</v>
      </c>
      <c r="J38" t="s">
        <v>1084</v>
      </c>
      <c r="K38">
        <v>0</v>
      </c>
      <c r="L38" t="s">
        <v>238</v>
      </c>
      <c r="N38" t="s">
        <v>346</v>
      </c>
      <c r="O38" t="s">
        <v>1084</v>
      </c>
      <c r="P38">
        <v>4.9136428905943238E-5</v>
      </c>
      <c r="Q38" t="s">
        <v>238</v>
      </c>
      <c r="S38" t="s">
        <v>347</v>
      </c>
      <c r="T38" t="s">
        <v>1084</v>
      </c>
      <c r="U38">
        <v>1.3515769662722204E-5</v>
      </c>
      <c r="V38" t="s">
        <v>238</v>
      </c>
      <c r="X38">
        <v>1.1415525114155251E-4</v>
      </c>
      <c r="Y38">
        <v>1.4585353321897093E-5</v>
      </c>
      <c r="Z38" t="s">
        <v>1084</v>
      </c>
      <c r="AA38" t="s">
        <v>25</v>
      </c>
      <c r="AC38" t="s">
        <v>22</v>
      </c>
      <c r="AD38" t="s">
        <v>1084</v>
      </c>
      <c r="AE38">
        <v>6.6043116034910526E-5</v>
      </c>
      <c r="AG38" t="s">
        <v>97</v>
      </c>
      <c r="AH38" t="s">
        <v>1084</v>
      </c>
      <c r="AI38">
        <v>0</v>
      </c>
    </row>
    <row r="39" spans="5:35" x14ac:dyDescent="0.45">
      <c r="E39" t="s">
        <v>773</v>
      </c>
      <c r="G39" t="s">
        <v>149</v>
      </c>
      <c r="I39" t="s">
        <v>236</v>
      </c>
      <c r="J39" t="s">
        <v>1085</v>
      </c>
      <c r="K39">
        <v>0</v>
      </c>
      <c r="L39" t="s">
        <v>238</v>
      </c>
      <c r="N39" t="s">
        <v>346</v>
      </c>
      <c r="O39" t="s">
        <v>1085</v>
      </c>
      <c r="P39">
        <v>4.7628702206713165E-5</v>
      </c>
      <c r="Q39" t="s">
        <v>238</v>
      </c>
      <c r="S39" t="s">
        <v>347</v>
      </c>
      <c r="T39" t="s">
        <v>1085</v>
      </c>
      <c r="U39">
        <v>1.0375313209625692E-5</v>
      </c>
      <c r="V39" t="s">
        <v>238</v>
      </c>
      <c r="X39">
        <v>1.1415525114155251E-4</v>
      </c>
      <c r="Y39">
        <v>2.1215059377304864E-5</v>
      </c>
      <c r="Z39" t="s">
        <v>1085</v>
      </c>
      <c r="AA39" t="s">
        <v>25</v>
      </c>
      <c r="AC39" t="s">
        <v>22</v>
      </c>
      <c r="AD39" t="s">
        <v>1085</v>
      </c>
      <c r="AE39">
        <v>7.543301305263171E-5</v>
      </c>
      <c r="AG39" t="s">
        <v>97</v>
      </c>
      <c r="AH39" t="s">
        <v>1085</v>
      </c>
      <c r="AI39">
        <v>0</v>
      </c>
    </row>
    <row r="40" spans="5:35" x14ac:dyDescent="0.45">
      <c r="E40" t="s">
        <v>774</v>
      </c>
      <c r="G40" t="s">
        <v>149</v>
      </c>
      <c r="I40" t="s">
        <v>236</v>
      </c>
      <c r="J40" t="s">
        <v>1086</v>
      </c>
      <c r="K40">
        <v>0</v>
      </c>
      <c r="L40" t="s">
        <v>238</v>
      </c>
      <c r="N40" t="s">
        <v>346</v>
      </c>
      <c r="O40" t="s">
        <v>1086</v>
      </c>
      <c r="P40">
        <v>4.9554351731138742E-5</v>
      </c>
      <c r="Q40" t="s">
        <v>238</v>
      </c>
      <c r="S40" t="s">
        <v>347</v>
      </c>
      <c r="T40" t="s">
        <v>1086</v>
      </c>
      <c r="U40">
        <v>9.0214536720372445E-6</v>
      </c>
      <c r="V40" t="s">
        <v>238</v>
      </c>
      <c r="X40">
        <v>1.1415525114155251E-4</v>
      </c>
      <c r="Y40">
        <v>5.7678442682047593E-5</v>
      </c>
      <c r="Z40" t="s">
        <v>1086</v>
      </c>
      <c r="AA40" t="s">
        <v>25</v>
      </c>
      <c r="AC40" t="s">
        <v>22</v>
      </c>
      <c r="AD40" t="s">
        <v>1086</v>
      </c>
      <c r="AE40">
        <v>9.5284791668241234E-5</v>
      </c>
      <c r="AG40" t="s">
        <v>97</v>
      </c>
      <c r="AH40" t="s">
        <v>1086</v>
      </c>
      <c r="AI40">
        <v>0</v>
      </c>
    </row>
    <row r="41" spans="5:35" x14ac:dyDescent="0.45">
      <c r="E41" t="s">
        <v>775</v>
      </c>
      <c r="G41" t="s">
        <v>149</v>
      </c>
      <c r="I41" t="s">
        <v>236</v>
      </c>
      <c r="J41" t="s">
        <v>1087</v>
      </c>
      <c r="K41">
        <v>3.5697739641525416E-5</v>
      </c>
      <c r="L41" t="s">
        <v>238</v>
      </c>
      <c r="N41" t="s">
        <v>346</v>
      </c>
      <c r="O41" t="s">
        <v>1087</v>
      </c>
      <c r="P41">
        <v>5.1373801460841362E-5</v>
      </c>
      <c r="Q41" t="s">
        <v>238</v>
      </c>
      <c r="S41" t="s">
        <v>347</v>
      </c>
      <c r="T41" t="s">
        <v>1087</v>
      </c>
      <c r="U41">
        <v>8.5075532581042657E-6</v>
      </c>
      <c r="V41" t="s">
        <v>238</v>
      </c>
      <c r="X41">
        <v>1.1415525114155251E-4</v>
      </c>
      <c r="Y41">
        <v>1.6905750441289813E-4</v>
      </c>
      <c r="Z41" t="s">
        <v>1087</v>
      </c>
      <c r="AA41" t="s">
        <v>25</v>
      </c>
      <c r="AC41" t="s">
        <v>22</v>
      </c>
      <c r="AD41" t="s">
        <v>1087</v>
      </c>
      <c r="AE41">
        <v>1.1120691557954806E-4</v>
      </c>
      <c r="AG41" t="s">
        <v>97</v>
      </c>
      <c r="AH41" t="s">
        <v>1087</v>
      </c>
      <c r="AI41">
        <v>0</v>
      </c>
    </row>
    <row r="42" spans="5:35" x14ac:dyDescent="0.45">
      <c r="E42" t="s">
        <v>776</v>
      </c>
      <c r="G42" t="s">
        <v>149</v>
      </c>
      <c r="I42" t="s">
        <v>236</v>
      </c>
      <c r="J42" t="s">
        <v>1088</v>
      </c>
      <c r="K42">
        <v>7.5352824930491612E-5</v>
      </c>
      <c r="L42" t="s">
        <v>238</v>
      </c>
      <c r="N42" t="s">
        <v>346</v>
      </c>
      <c r="O42" t="s">
        <v>1088</v>
      </c>
      <c r="P42">
        <v>5.3538858284826255E-5</v>
      </c>
      <c r="Q42" t="s">
        <v>238</v>
      </c>
      <c r="S42" t="s">
        <v>347</v>
      </c>
      <c r="T42" t="s">
        <v>1088</v>
      </c>
      <c r="U42">
        <v>1.0434635921837287E-5</v>
      </c>
      <c r="V42" t="s">
        <v>238</v>
      </c>
      <c r="X42">
        <v>1.1415525114155251E-4</v>
      </c>
      <c r="Y42">
        <v>1.9060404909297337E-4</v>
      </c>
      <c r="Z42" t="s">
        <v>1088</v>
      </c>
      <c r="AA42" t="s">
        <v>25</v>
      </c>
      <c r="AC42" t="s">
        <v>22</v>
      </c>
      <c r="AD42" t="s">
        <v>1088</v>
      </c>
      <c r="AE42">
        <v>1.2328537285448001E-4</v>
      </c>
      <c r="AG42" t="s">
        <v>97</v>
      </c>
      <c r="AH42" t="s">
        <v>1088</v>
      </c>
      <c r="AI42">
        <v>0</v>
      </c>
    </row>
    <row r="43" spans="5:35" x14ac:dyDescent="0.45">
      <c r="E43" t="s">
        <v>777</v>
      </c>
      <c r="G43" t="s">
        <v>149</v>
      </c>
      <c r="I43" t="s">
        <v>236</v>
      </c>
      <c r="J43" t="s">
        <v>1089</v>
      </c>
      <c r="K43">
        <v>1.2406936713549999E-4</v>
      </c>
      <c r="L43" t="s">
        <v>238</v>
      </c>
      <c r="N43" t="s">
        <v>346</v>
      </c>
      <c r="O43" t="s">
        <v>1089</v>
      </c>
      <c r="P43">
        <v>5.5947938266681043E-5</v>
      </c>
      <c r="Q43" t="s">
        <v>238</v>
      </c>
      <c r="S43" t="s">
        <v>347</v>
      </c>
      <c r="T43" t="s">
        <v>1089</v>
      </c>
      <c r="U43">
        <v>1.236748995495396E-5</v>
      </c>
      <c r="V43" t="s">
        <v>238</v>
      </c>
      <c r="X43">
        <v>1.1415525114155251E-4</v>
      </c>
      <c r="Y43">
        <v>1.4585353321897094E-4</v>
      </c>
      <c r="Z43" t="s">
        <v>1089</v>
      </c>
      <c r="AA43" t="s">
        <v>25</v>
      </c>
      <c r="AC43" t="s">
        <v>22</v>
      </c>
      <c r="AD43" t="s">
        <v>1089</v>
      </c>
      <c r="AE43">
        <v>1.2677362214341976E-4</v>
      </c>
      <c r="AG43" t="s">
        <v>97</v>
      </c>
      <c r="AH43" t="s">
        <v>1089</v>
      </c>
      <c r="AI43">
        <v>0</v>
      </c>
    </row>
    <row r="44" spans="5:35" x14ac:dyDescent="0.45">
      <c r="E44" t="s">
        <v>778</v>
      </c>
      <c r="G44" t="s">
        <v>149</v>
      </c>
      <c r="I44" t="s">
        <v>236</v>
      </c>
      <c r="J44" t="s">
        <v>1090</v>
      </c>
      <c r="K44">
        <v>1.8847784338979999E-4</v>
      </c>
      <c r="L44" t="s">
        <v>238</v>
      </c>
      <c r="N44" t="s">
        <v>346</v>
      </c>
      <c r="O44" t="s">
        <v>1090</v>
      </c>
      <c r="P44">
        <v>5.8339882078729088E-5</v>
      </c>
      <c r="Q44" t="s">
        <v>238</v>
      </c>
      <c r="S44" t="s">
        <v>347</v>
      </c>
      <c r="T44" t="s">
        <v>1090</v>
      </c>
      <c r="U44">
        <v>1.3454948557631864E-5</v>
      </c>
      <c r="V44" t="s">
        <v>238</v>
      </c>
      <c r="X44">
        <v>1.1415525114155251E-4</v>
      </c>
      <c r="Y44">
        <v>1.4452759200788939E-4</v>
      </c>
      <c r="Z44" t="s">
        <v>1090</v>
      </c>
      <c r="AA44" t="s">
        <v>25</v>
      </c>
      <c r="AC44" t="s">
        <v>22</v>
      </c>
      <c r="AD44" t="s">
        <v>1090</v>
      </c>
      <c r="AE44">
        <v>1.2728381801312499E-4</v>
      </c>
      <c r="AG44" t="s">
        <v>97</v>
      </c>
      <c r="AH44" t="s">
        <v>1090</v>
      </c>
      <c r="AI44">
        <v>0</v>
      </c>
    </row>
    <row r="45" spans="5:35" x14ac:dyDescent="0.45">
      <c r="E45" t="s">
        <v>779</v>
      </c>
      <c r="G45" t="s">
        <v>149</v>
      </c>
      <c r="I45" t="s">
        <v>236</v>
      </c>
      <c r="J45" t="s">
        <v>1091</v>
      </c>
      <c r="K45">
        <v>2.0792058800339999E-4</v>
      </c>
      <c r="L45" t="s">
        <v>238</v>
      </c>
      <c r="N45" t="s">
        <v>346</v>
      </c>
      <c r="O45" t="s">
        <v>1091</v>
      </c>
      <c r="P45">
        <v>7.0655337164217844E-5</v>
      </c>
      <c r="Q45" t="s">
        <v>238</v>
      </c>
      <c r="S45" t="s">
        <v>347</v>
      </c>
      <c r="T45" t="s">
        <v>1091</v>
      </c>
      <c r="U45">
        <v>1.571632817059885E-5</v>
      </c>
      <c r="V45" t="s">
        <v>238</v>
      </c>
      <c r="X45">
        <v>1.1415525114155251E-4</v>
      </c>
      <c r="Y45">
        <v>1.408812536774151E-4</v>
      </c>
      <c r="Z45" t="s">
        <v>1091</v>
      </c>
      <c r="AA45" t="s">
        <v>25</v>
      </c>
      <c r="AC45" t="s">
        <v>22</v>
      </c>
      <c r="AD45" t="s">
        <v>1091</v>
      </c>
      <c r="AE45">
        <v>1.2618603701257944E-4</v>
      </c>
      <c r="AG45" t="s">
        <v>97</v>
      </c>
      <c r="AH45" t="s">
        <v>1091</v>
      </c>
      <c r="AI45">
        <v>0</v>
      </c>
    </row>
    <row r="46" spans="5:35" x14ac:dyDescent="0.45">
      <c r="E46" t="s">
        <v>780</v>
      </c>
      <c r="G46" t="s">
        <v>149</v>
      </c>
      <c r="I46" t="s">
        <v>236</v>
      </c>
      <c r="J46" t="s">
        <v>1092</v>
      </c>
      <c r="K46">
        <v>2.4949413479180002E-4</v>
      </c>
      <c r="L46" t="s">
        <v>238</v>
      </c>
      <c r="N46" t="s">
        <v>346</v>
      </c>
      <c r="O46" t="s">
        <v>1092</v>
      </c>
      <c r="P46">
        <v>6.0083942291740872E-5</v>
      </c>
      <c r="Q46" t="s">
        <v>238</v>
      </c>
      <c r="S46" t="s">
        <v>347</v>
      </c>
      <c r="T46" t="s">
        <v>1092</v>
      </c>
      <c r="U46">
        <v>1.7565608201033568E-5</v>
      </c>
      <c r="V46" t="s">
        <v>238</v>
      </c>
      <c r="X46">
        <v>1.1415525114155251E-4</v>
      </c>
      <c r="Y46">
        <v>1.4054976837464471E-4</v>
      </c>
      <c r="Z46" t="s">
        <v>1092</v>
      </c>
      <c r="AA46" t="s">
        <v>25</v>
      </c>
      <c r="AC46" t="s">
        <v>22</v>
      </c>
      <c r="AD46" t="s">
        <v>1092</v>
      </c>
      <c r="AE46">
        <v>1.2621469970188875E-4</v>
      </c>
      <c r="AG46" t="s">
        <v>97</v>
      </c>
      <c r="AH46" t="s">
        <v>1092</v>
      </c>
      <c r="AI46">
        <v>0</v>
      </c>
    </row>
    <row r="47" spans="5:35" x14ac:dyDescent="0.45">
      <c r="E47" t="s">
        <v>781</v>
      </c>
      <c r="G47" t="s">
        <v>149</v>
      </c>
      <c r="I47" t="s">
        <v>236</v>
      </c>
      <c r="J47" t="s">
        <v>1093</v>
      </c>
      <c r="K47">
        <v>2.6137919975779999E-4</v>
      </c>
      <c r="L47" t="s">
        <v>238</v>
      </c>
      <c r="N47" t="s">
        <v>346</v>
      </c>
      <c r="O47" t="s">
        <v>1093</v>
      </c>
      <c r="P47">
        <v>6.1450969855980997E-5</v>
      </c>
      <c r="Q47" t="s">
        <v>238</v>
      </c>
      <c r="S47" t="s">
        <v>347</v>
      </c>
      <c r="T47" t="s">
        <v>1093</v>
      </c>
      <c r="U47">
        <v>1.7620449240005443E-5</v>
      </c>
      <c r="V47" t="s">
        <v>238</v>
      </c>
      <c r="X47">
        <v>1.1415525114155251E-4</v>
      </c>
      <c r="Y47">
        <v>1.4253868019126702E-4</v>
      </c>
      <c r="Z47" t="s">
        <v>1093</v>
      </c>
      <c r="AA47" t="s">
        <v>25</v>
      </c>
      <c r="AC47" t="s">
        <v>22</v>
      </c>
      <c r="AD47" t="s">
        <v>1093</v>
      </c>
      <c r="AE47">
        <v>1.2569303875645978E-4</v>
      </c>
      <c r="AG47" t="s">
        <v>97</v>
      </c>
      <c r="AH47" t="s">
        <v>1093</v>
      </c>
      <c r="AI47">
        <v>0</v>
      </c>
    </row>
    <row r="48" spans="5:35" x14ac:dyDescent="0.45">
      <c r="E48" t="s">
        <v>782</v>
      </c>
      <c r="G48" t="s">
        <v>149</v>
      </c>
      <c r="I48" t="s">
        <v>236</v>
      </c>
      <c r="J48" t="s">
        <v>1094</v>
      </c>
      <c r="K48">
        <v>2.7003272725119998E-4</v>
      </c>
      <c r="L48" t="s">
        <v>238</v>
      </c>
      <c r="N48" t="s">
        <v>346</v>
      </c>
      <c r="O48" t="s">
        <v>1094</v>
      </c>
      <c r="P48">
        <v>5.9506007911280737E-5</v>
      </c>
      <c r="Q48" t="s">
        <v>238</v>
      </c>
      <c r="S48" t="s">
        <v>347</v>
      </c>
      <c r="T48" t="s">
        <v>1094</v>
      </c>
      <c r="U48">
        <v>1.9304785970906624E-5</v>
      </c>
      <c r="V48" t="s">
        <v>238</v>
      </c>
      <c r="X48">
        <v>1.1415525114155251E-4</v>
      </c>
      <c r="Y48">
        <v>1.4883690094390442E-4</v>
      </c>
      <c r="Z48" t="s">
        <v>1094</v>
      </c>
      <c r="AA48" t="s">
        <v>25</v>
      </c>
      <c r="AC48" t="s">
        <v>22</v>
      </c>
      <c r="AD48" t="s">
        <v>1094</v>
      </c>
      <c r="AE48">
        <v>1.2431436340068326E-4</v>
      </c>
      <c r="AG48" t="s">
        <v>97</v>
      </c>
      <c r="AH48" t="s">
        <v>1094</v>
      </c>
      <c r="AI48">
        <v>0</v>
      </c>
    </row>
    <row r="49" spans="5:35" x14ac:dyDescent="0.45">
      <c r="E49" t="s">
        <v>783</v>
      </c>
      <c r="G49" t="s">
        <v>149</v>
      </c>
      <c r="I49" t="s">
        <v>236</v>
      </c>
      <c r="J49" t="s">
        <v>1095</v>
      </c>
      <c r="K49">
        <v>2.8746683475899999E-4</v>
      </c>
      <c r="L49" t="s">
        <v>238</v>
      </c>
      <c r="N49" t="s">
        <v>346</v>
      </c>
      <c r="O49" t="s">
        <v>1095</v>
      </c>
      <c r="P49">
        <v>6.2431228859020696E-5</v>
      </c>
      <c r="Q49" t="s">
        <v>238</v>
      </c>
      <c r="S49" t="s">
        <v>347</v>
      </c>
      <c r="T49" t="s">
        <v>1095</v>
      </c>
      <c r="U49">
        <v>2.0293155212285401E-5</v>
      </c>
      <c r="V49" t="s">
        <v>238</v>
      </c>
      <c r="X49">
        <v>1.1415525114155251E-4</v>
      </c>
      <c r="Y49">
        <v>1.5049432745775637E-4</v>
      </c>
      <c r="Z49" t="s">
        <v>1095</v>
      </c>
      <c r="AA49" t="s">
        <v>25</v>
      </c>
      <c r="AC49" t="s">
        <v>22</v>
      </c>
      <c r="AD49" t="s">
        <v>1095</v>
      </c>
      <c r="AE49">
        <v>1.2311053044969337E-4</v>
      </c>
      <c r="AG49" t="s">
        <v>97</v>
      </c>
      <c r="AH49" t="s">
        <v>1095</v>
      </c>
      <c r="AI49">
        <v>0</v>
      </c>
    </row>
    <row r="50" spans="5:35" x14ac:dyDescent="0.45">
      <c r="E50" t="s">
        <v>784</v>
      </c>
      <c r="G50" t="s">
        <v>149</v>
      </c>
      <c r="I50" t="s">
        <v>236</v>
      </c>
      <c r="J50" t="s">
        <v>1096</v>
      </c>
      <c r="K50">
        <v>2.6491664551950002E-4</v>
      </c>
      <c r="L50" t="s">
        <v>238</v>
      </c>
      <c r="N50" t="s">
        <v>346</v>
      </c>
      <c r="O50" t="s">
        <v>1096</v>
      </c>
      <c r="P50">
        <v>6.5019109874134065E-5</v>
      </c>
      <c r="Q50" t="s">
        <v>238</v>
      </c>
      <c r="S50" t="s">
        <v>347</v>
      </c>
      <c r="T50" t="s">
        <v>1096</v>
      </c>
      <c r="U50">
        <v>2.3961043076727569E-5</v>
      </c>
      <c r="V50" t="s">
        <v>238</v>
      </c>
      <c r="X50">
        <v>1.1415525114155251E-4</v>
      </c>
      <c r="Y50">
        <v>1.7237235744060203E-4</v>
      </c>
      <c r="Z50" t="s">
        <v>1096</v>
      </c>
      <c r="AA50" t="s">
        <v>25</v>
      </c>
      <c r="AC50" t="s">
        <v>22</v>
      </c>
      <c r="AD50" t="s">
        <v>1096</v>
      </c>
      <c r="AE50">
        <v>1.2483889061504317E-4</v>
      </c>
      <c r="AG50" t="s">
        <v>97</v>
      </c>
      <c r="AH50" t="s">
        <v>1096</v>
      </c>
      <c r="AI50">
        <v>0</v>
      </c>
    </row>
    <row r="51" spans="5:35" x14ac:dyDescent="0.45">
      <c r="E51" t="s">
        <v>785</v>
      </c>
      <c r="G51" t="s">
        <v>149</v>
      </c>
      <c r="I51" t="s">
        <v>236</v>
      </c>
      <c r="J51" t="s">
        <v>1097</v>
      </c>
      <c r="K51">
        <v>2.2288380151239999E-4</v>
      </c>
      <c r="L51" t="s">
        <v>238</v>
      </c>
      <c r="N51" t="s">
        <v>346</v>
      </c>
      <c r="O51" t="s">
        <v>1097</v>
      </c>
      <c r="P51">
        <v>6.43993984354305E-5</v>
      </c>
      <c r="Q51" t="s">
        <v>238</v>
      </c>
      <c r="S51" t="s">
        <v>347</v>
      </c>
      <c r="T51" t="s">
        <v>1097</v>
      </c>
      <c r="U51">
        <v>3.2361909546144114E-5</v>
      </c>
      <c r="V51" t="s">
        <v>238</v>
      </c>
      <c r="X51">
        <v>1.1415525114155251E-4</v>
      </c>
      <c r="Y51">
        <v>2.2209515285616027E-4</v>
      </c>
      <c r="Z51" t="s">
        <v>1097</v>
      </c>
      <c r="AA51" t="s">
        <v>25</v>
      </c>
      <c r="AC51" t="s">
        <v>22</v>
      </c>
      <c r="AD51" t="s">
        <v>1097</v>
      </c>
      <c r="AE51">
        <v>1.2437168877930184E-4</v>
      </c>
      <c r="AG51" t="s">
        <v>97</v>
      </c>
      <c r="AH51" t="s">
        <v>1097</v>
      </c>
      <c r="AI51">
        <v>0</v>
      </c>
    </row>
    <row r="52" spans="5:35" x14ac:dyDescent="0.45">
      <c r="E52" t="s">
        <v>786</v>
      </c>
      <c r="G52" t="s">
        <v>149</v>
      </c>
      <c r="I52" t="s">
        <v>236</v>
      </c>
      <c r="J52" t="s">
        <v>1098</v>
      </c>
      <c r="K52">
        <v>1.7019529731180001E-4</v>
      </c>
      <c r="L52" t="s">
        <v>238</v>
      </c>
      <c r="N52" t="s">
        <v>346</v>
      </c>
      <c r="O52" t="s">
        <v>1098</v>
      </c>
      <c r="P52">
        <v>6.1559759595077482E-5</v>
      </c>
      <c r="Q52" t="s">
        <v>238</v>
      </c>
      <c r="S52" t="s">
        <v>347</v>
      </c>
      <c r="T52" t="s">
        <v>1098</v>
      </c>
      <c r="U52">
        <v>3.8431999324752687E-5</v>
      </c>
      <c r="V52" t="s">
        <v>238</v>
      </c>
      <c r="X52">
        <v>1.1415525114155251E-4</v>
      </c>
      <c r="Y52">
        <v>2.2209515285616027E-4</v>
      </c>
      <c r="Z52" t="s">
        <v>1098</v>
      </c>
      <c r="AA52" t="s">
        <v>25</v>
      </c>
      <c r="AC52" t="s">
        <v>22</v>
      </c>
      <c r="AD52" t="s">
        <v>1098</v>
      </c>
      <c r="AE52">
        <v>1.2453793237729568E-4</v>
      </c>
      <c r="AG52" t="s">
        <v>97</v>
      </c>
      <c r="AH52" t="s">
        <v>1098</v>
      </c>
      <c r="AI52">
        <v>0</v>
      </c>
    </row>
    <row r="53" spans="5:35" x14ac:dyDescent="0.45">
      <c r="E53" t="s">
        <v>787</v>
      </c>
      <c r="G53" t="s">
        <v>149</v>
      </c>
      <c r="I53" t="s">
        <v>236</v>
      </c>
      <c r="J53" t="s">
        <v>1099</v>
      </c>
      <c r="K53">
        <v>8.87117077473845E-5</v>
      </c>
      <c r="L53" t="s">
        <v>238</v>
      </c>
      <c r="N53" t="s">
        <v>346</v>
      </c>
      <c r="O53" t="s">
        <v>1099</v>
      </c>
      <c r="P53">
        <v>6.3677348253438098E-5</v>
      </c>
      <c r="Q53" t="s">
        <v>238</v>
      </c>
      <c r="S53" t="s">
        <v>347</v>
      </c>
      <c r="T53" t="s">
        <v>1099</v>
      </c>
      <c r="U53">
        <v>4.9716198310041778E-5</v>
      </c>
      <c r="V53" t="s">
        <v>238</v>
      </c>
      <c r="X53">
        <v>1.1415525114155251E-4</v>
      </c>
      <c r="Y53">
        <v>1.7237235744060203E-4</v>
      </c>
      <c r="Z53" t="s">
        <v>1099</v>
      </c>
      <c r="AA53" t="s">
        <v>25</v>
      </c>
      <c r="AC53" t="s">
        <v>22</v>
      </c>
      <c r="AD53" t="s">
        <v>1099</v>
      </c>
      <c r="AE53">
        <v>1.2420831145023889E-4</v>
      </c>
      <c r="AG53" t="s">
        <v>97</v>
      </c>
      <c r="AH53" t="s">
        <v>1099</v>
      </c>
      <c r="AI53">
        <v>0</v>
      </c>
    </row>
    <row r="54" spans="5:35" x14ac:dyDescent="0.45">
      <c r="E54" t="s">
        <v>788</v>
      </c>
      <c r="G54" t="s">
        <v>149</v>
      </c>
      <c r="I54" t="s">
        <v>236</v>
      </c>
      <c r="J54" t="s">
        <v>1100</v>
      </c>
      <c r="K54">
        <v>0</v>
      </c>
      <c r="L54" t="s">
        <v>238</v>
      </c>
      <c r="N54" t="s">
        <v>346</v>
      </c>
      <c r="O54" t="s">
        <v>1100</v>
      </c>
      <c r="P54">
        <v>5.7946424602042359E-5</v>
      </c>
      <c r="Q54" t="s">
        <v>238</v>
      </c>
      <c r="S54" t="s">
        <v>347</v>
      </c>
      <c r="T54" t="s">
        <v>1100</v>
      </c>
      <c r="U54">
        <v>6.2067730911856756E-5</v>
      </c>
      <c r="V54" t="s">
        <v>238</v>
      </c>
      <c r="X54">
        <v>1.1415525114155251E-4</v>
      </c>
      <c r="Y54">
        <v>1.5579809230208258E-4</v>
      </c>
      <c r="Z54" t="s">
        <v>1100</v>
      </c>
      <c r="AA54" t="s">
        <v>25</v>
      </c>
      <c r="AC54" t="s">
        <v>22</v>
      </c>
      <c r="AD54" t="s">
        <v>1100</v>
      </c>
      <c r="AE54">
        <v>1.2103248547477035E-4</v>
      </c>
      <c r="AG54" t="s">
        <v>97</v>
      </c>
      <c r="AH54" t="s">
        <v>1100</v>
      </c>
      <c r="AI54">
        <v>0</v>
      </c>
    </row>
    <row r="55" spans="5:35" x14ac:dyDescent="0.45">
      <c r="E55" t="s">
        <v>789</v>
      </c>
      <c r="G55" t="s">
        <v>149</v>
      </c>
      <c r="I55" t="s">
        <v>236</v>
      </c>
      <c r="J55" t="s">
        <v>1101</v>
      </c>
      <c r="K55">
        <v>0</v>
      </c>
      <c r="L55" t="s">
        <v>238</v>
      </c>
      <c r="N55" t="s">
        <v>346</v>
      </c>
      <c r="O55" t="s">
        <v>1101</v>
      </c>
      <c r="P55">
        <v>4.6746731575998663E-5</v>
      </c>
      <c r="Q55" t="s">
        <v>238</v>
      </c>
      <c r="S55" t="s">
        <v>347</v>
      </c>
      <c r="T55" t="s">
        <v>1101</v>
      </c>
      <c r="U55">
        <v>7.6617089557849609E-5</v>
      </c>
      <c r="V55" t="s">
        <v>238</v>
      </c>
      <c r="X55">
        <v>1.1415525114155251E-4</v>
      </c>
      <c r="Y55">
        <v>1.093901499142282E-4</v>
      </c>
      <c r="Z55" t="s">
        <v>1101</v>
      </c>
      <c r="AA55" t="s">
        <v>25</v>
      </c>
      <c r="AC55" t="s">
        <v>22</v>
      </c>
      <c r="AD55" t="s">
        <v>1101</v>
      </c>
      <c r="AE55">
        <v>1.0874765683681157E-4</v>
      </c>
      <c r="AG55" t="s">
        <v>97</v>
      </c>
      <c r="AH55" t="s">
        <v>1101</v>
      </c>
      <c r="AI55">
        <v>0</v>
      </c>
    </row>
    <row r="56" spans="5:35" x14ac:dyDescent="0.45">
      <c r="E56" t="s">
        <v>790</v>
      </c>
      <c r="G56" t="s">
        <v>149</v>
      </c>
      <c r="I56" t="s">
        <v>236</v>
      </c>
      <c r="J56" t="s">
        <v>1102</v>
      </c>
      <c r="K56">
        <v>0</v>
      </c>
      <c r="L56" t="s">
        <v>238</v>
      </c>
      <c r="N56" t="s">
        <v>346</v>
      </c>
      <c r="O56" t="s">
        <v>1102</v>
      </c>
      <c r="P56">
        <v>3.8585989511379584E-5</v>
      </c>
      <c r="Q56" t="s">
        <v>238</v>
      </c>
      <c r="S56" t="s">
        <v>347</v>
      </c>
      <c r="T56" t="s">
        <v>1102</v>
      </c>
      <c r="U56">
        <v>9.1416149517889816E-5</v>
      </c>
      <c r="V56" t="s">
        <v>238</v>
      </c>
      <c r="X56">
        <v>1.1415525114155251E-4</v>
      </c>
      <c r="Y56">
        <v>7.9556472664893237E-5</v>
      </c>
      <c r="Z56" t="s">
        <v>1102</v>
      </c>
      <c r="AA56" t="s">
        <v>25</v>
      </c>
      <c r="AC56" t="s">
        <v>22</v>
      </c>
      <c r="AD56" t="s">
        <v>1102</v>
      </c>
      <c r="AE56">
        <v>9.9374957432675948E-5</v>
      </c>
      <c r="AG56" t="s">
        <v>97</v>
      </c>
      <c r="AH56" t="s">
        <v>1102</v>
      </c>
      <c r="AI56">
        <v>0</v>
      </c>
    </row>
    <row r="57" spans="5:35" x14ac:dyDescent="0.45">
      <c r="E57" t="s">
        <v>791</v>
      </c>
      <c r="G57" t="s">
        <v>149</v>
      </c>
      <c r="I57" t="s">
        <v>236</v>
      </c>
      <c r="J57" t="s">
        <v>1103</v>
      </c>
      <c r="K57">
        <v>0</v>
      </c>
      <c r="L57" t="s">
        <v>238</v>
      </c>
      <c r="N57" t="s">
        <v>346</v>
      </c>
      <c r="O57" t="s">
        <v>1103</v>
      </c>
      <c r="P57">
        <v>3.0719987479313666E-5</v>
      </c>
      <c r="Q57" t="s">
        <v>238</v>
      </c>
      <c r="S57" t="s">
        <v>347</v>
      </c>
      <c r="T57" t="s">
        <v>1103</v>
      </c>
      <c r="U57">
        <v>6.9343100227771114E-5</v>
      </c>
      <c r="V57" t="s">
        <v>238</v>
      </c>
      <c r="X57">
        <v>1.1415525114155251E-4</v>
      </c>
      <c r="Y57">
        <v>5.6352501470966035E-5</v>
      </c>
      <c r="Z57" t="s">
        <v>1103</v>
      </c>
      <c r="AA57" t="s">
        <v>25</v>
      </c>
      <c r="AC57" t="s">
        <v>22</v>
      </c>
      <c r="AD57" t="s">
        <v>1103</v>
      </c>
      <c r="AE57">
        <v>8.6906687583137749E-5</v>
      </c>
      <c r="AG57" t="s">
        <v>97</v>
      </c>
      <c r="AH57" t="s">
        <v>1103</v>
      </c>
      <c r="AI57">
        <v>0</v>
      </c>
    </row>
    <row r="58" spans="5:35" x14ac:dyDescent="0.45">
      <c r="E58" t="s">
        <v>792</v>
      </c>
      <c r="G58" t="s">
        <v>149</v>
      </c>
      <c r="I58" t="s">
        <v>236</v>
      </c>
      <c r="J58" t="s">
        <v>1104</v>
      </c>
      <c r="K58">
        <v>0</v>
      </c>
      <c r="L58" t="s">
        <v>238</v>
      </c>
      <c r="N58" t="s">
        <v>346</v>
      </c>
      <c r="O58" t="s">
        <v>1104</v>
      </c>
      <c r="P58">
        <v>3.5572937671374171E-5</v>
      </c>
      <c r="Q58" t="s">
        <v>238</v>
      </c>
      <c r="S58" t="s">
        <v>347</v>
      </c>
      <c r="T58" t="s">
        <v>1104</v>
      </c>
      <c r="U58">
        <v>8.9777963577050972E-5</v>
      </c>
      <c r="V58" t="s">
        <v>238</v>
      </c>
      <c r="X58">
        <v>1.1415525114155251E-4</v>
      </c>
      <c r="Y58">
        <v>2.9833677249334962E-5</v>
      </c>
      <c r="Z58" t="s">
        <v>1104</v>
      </c>
      <c r="AA58" t="s">
        <v>25</v>
      </c>
      <c r="AC58" t="s">
        <v>22</v>
      </c>
      <c r="AD58" t="s">
        <v>1104</v>
      </c>
      <c r="AE58">
        <v>7.4624725214109911E-5</v>
      </c>
      <c r="AG58" t="s">
        <v>97</v>
      </c>
      <c r="AH58" t="s">
        <v>1104</v>
      </c>
      <c r="AI58">
        <v>0</v>
      </c>
    </row>
    <row r="59" spans="5:35" x14ac:dyDescent="0.45">
      <c r="E59" t="s">
        <v>793</v>
      </c>
      <c r="G59" t="s">
        <v>149</v>
      </c>
      <c r="I59" t="s">
        <v>236</v>
      </c>
      <c r="J59" t="s">
        <v>1105</v>
      </c>
      <c r="K59">
        <v>0</v>
      </c>
      <c r="L59" t="s">
        <v>238</v>
      </c>
      <c r="N59" t="s">
        <v>346</v>
      </c>
      <c r="O59" t="s">
        <v>1105</v>
      </c>
      <c r="P59">
        <v>4.1582191244812937E-5</v>
      </c>
      <c r="Q59" t="s">
        <v>238</v>
      </c>
      <c r="S59" t="s">
        <v>347</v>
      </c>
      <c r="T59" t="s">
        <v>1105</v>
      </c>
      <c r="U59">
        <v>9.9886909185256797E-5</v>
      </c>
      <c r="V59" t="s">
        <v>238</v>
      </c>
      <c r="X59">
        <v>1.1415525114155251E-4</v>
      </c>
      <c r="Y59">
        <v>2.1546544680075254E-5</v>
      </c>
      <c r="Z59" t="s">
        <v>1105</v>
      </c>
      <c r="AA59" t="s">
        <v>25</v>
      </c>
      <c r="AC59" t="s">
        <v>22</v>
      </c>
      <c r="AD59" t="s">
        <v>1105</v>
      </c>
      <c r="AE59">
        <v>6.6986118513185958E-5</v>
      </c>
      <c r="AG59" t="s">
        <v>97</v>
      </c>
      <c r="AH59" t="s">
        <v>1105</v>
      </c>
      <c r="AI59">
        <v>0</v>
      </c>
    </row>
    <row r="60" spans="5:35" x14ac:dyDescent="0.45">
      <c r="E60" t="s">
        <v>794</v>
      </c>
      <c r="G60" t="s">
        <v>149</v>
      </c>
      <c r="I60" t="s">
        <v>236</v>
      </c>
      <c r="J60" t="s">
        <v>1106</v>
      </c>
      <c r="K60">
        <v>0</v>
      </c>
      <c r="L60" t="s">
        <v>238</v>
      </c>
      <c r="N60" t="s">
        <v>346</v>
      </c>
      <c r="O60" t="s">
        <v>1106</v>
      </c>
      <c r="P60">
        <v>4.6856385882667976E-5</v>
      </c>
      <c r="Q60" t="s">
        <v>238</v>
      </c>
      <c r="S60" t="s">
        <v>347</v>
      </c>
      <c r="T60" t="s">
        <v>1106</v>
      </c>
      <c r="U60">
        <v>1.0814913010120001E-4</v>
      </c>
      <c r="V60" t="s">
        <v>238</v>
      </c>
      <c r="X60">
        <v>1.1415525114155251E-4</v>
      </c>
      <c r="Y60">
        <v>1.4916838624667481E-5</v>
      </c>
      <c r="Z60" t="s">
        <v>1106</v>
      </c>
      <c r="AA60" t="s">
        <v>25</v>
      </c>
      <c r="AC60" t="s">
        <v>22</v>
      </c>
      <c r="AD60" t="s">
        <v>1106</v>
      </c>
      <c r="AE60">
        <v>6.5713495107853789E-5</v>
      </c>
      <c r="AG60" t="s">
        <v>97</v>
      </c>
      <c r="AH60" t="s">
        <v>1106</v>
      </c>
      <c r="AI60">
        <v>0</v>
      </c>
    </row>
    <row r="61" spans="5:35" x14ac:dyDescent="0.45">
      <c r="E61" t="s">
        <v>795</v>
      </c>
      <c r="G61" t="s">
        <v>149</v>
      </c>
      <c r="I61" t="s">
        <v>236</v>
      </c>
      <c r="J61" t="s">
        <v>1107</v>
      </c>
      <c r="K61">
        <v>0</v>
      </c>
      <c r="L61" t="s">
        <v>238</v>
      </c>
      <c r="N61" t="s">
        <v>346</v>
      </c>
      <c r="O61" t="s">
        <v>1107</v>
      </c>
      <c r="P61">
        <v>4.9949234938719201E-5</v>
      </c>
      <c r="Q61" t="s">
        <v>238</v>
      </c>
      <c r="S61" t="s">
        <v>347</v>
      </c>
      <c r="T61" t="s">
        <v>1107</v>
      </c>
      <c r="U61">
        <v>1.0589538692970001E-4</v>
      </c>
      <c r="V61" t="s">
        <v>238</v>
      </c>
      <c r="X61">
        <v>1.1415525114155251E-4</v>
      </c>
      <c r="Y61">
        <v>1.6574265138519424E-5</v>
      </c>
      <c r="Z61" t="s">
        <v>1107</v>
      </c>
      <c r="AA61" t="s">
        <v>25</v>
      </c>
      <c r="AC61" t="s">
        <v>22</v>
      </c>
      <c r="AD61" t="s">
        <v>1107</v>
      </c>
      <c r="AE61">
        <v>6.5713495107853789E-5</v>
      </c>
      <c r="AG61" t="s">
        <v>97</v>
      </c>
      <c r="AH61" t="s">
        <v>1107</v>
      </c>
      <c r="AI61">
        <v>0</v>
      </c>
    </row>
    <row r="62" spans="5:35" x14ac:dyDescent="0.45">
      <c r="E62" t="s">
        <v>796</v>
      </c>
      <c r="G62" t="s">
        <v>149</v>
      </c>
      <c r="I62" t="s">
        <v>236</v>
      </c>
      <c r="J62" t="s">
        <v>1108</v>
      </c>
      <c r="K62">
        <v>0</v>
      </c>
      <c r="L62" t="s">
        <v>238</v>
      </c>
      <c r="N62" t="s">
        <v>346</v>
      </c>
      <c r="O62" t="s">
        <v>1108</v>
      </c>
      <c r="P62">
        <v>4.1285864958758015E-5</v>
      </c>
      <c r="Q62" t="s">
        <v>238</v>
      </c>
      <c r="S62" t="s">
        <v>347</v>
      </c>
      <c r="T62" t="s">
        <v>1108</v>
      </c>
      <c r="U62">
        <v>1.0533155901869999E-4</v>
      </c>
      <c r="V62" t="s">
        <v>238</v>
      </c>
      <c r="X62">
        <v>1.1415525114155251E-4</v>
      </c>
      <c r="Y62">
        <v>1.4585353321897093E-5</v>
      </c>
      <c r="Z62" t="s">
        <v>1108</v>
      </c>
      <c r="AA62" t="s">
        <v>25</v>
      </c>
      <c r="AC62" t="s">
        <v>22</v>
      </c>
      <c r="AD62" t="s">
        <v>1108</v>
      </c>
      <c r="AE62">
        <v>6.645872502989515E-5</v>
      </c>
      <c r="AG62" t="s">
        <v>97</v>
      </c>
      <c r="AH62" t="s">
        <v>1108</v>
      </c>
      <c r="AI62">
        <v>0</v>
      </c>
    </row>
    <row r="63" spans="5:35" x14ac:dyDescent="0.45">
      <c r="E63" t="s">
        <v>797</v>
      </c>
      <c r="G63" t="s">
        <v>149</v>
      </c>
      <c r="I63" t="s">
        <v>236</v>
      </c>
      <c r="J63" t="s">
        <v>1109</v>
      </c>
      <c r="K63">
        <v>0</v>
      </c>
      <c r="L63" t="s">
        <v>238</v>
      </c>
      <c r="N63" t="s">
        <v>346</v>
      </c>
      <c r="O63" t="s">
        <v>1109</v>
      </c>
      <c r="P63">
        <v>3.6187384473550881E-5</v>
      </c>
      <c r="Q63" t="s">
        <v>238</v>
      </c>
      <c r="S63" t="s">
        <v>347</v>
      </c>
      <c r="T63" t="s">
        <v>1109</v>
      </c>
      <c r="U63">
        <v>1.104300877751E-4</v>
      </c>
      <c r="V63" t="s">
        <v>238</v>
      </c>
      <c r="X63">
        <v>1.1415525114155251E-4</v>
      </c>
      <c r="Y63">
        <v>2.1215059377304864E-5</v>
      </c>
      <c r="Z63" t="s">
        <v>1109</v>
      </c>
      <c r="AA63" t="s">
        <v>25</v>
      </c>
      <c r="AC63" t="s">
        <v>22</v>
      </c>
      <c r="AD63" t="s">
        <v>1109</v>
      </c>
      <c r="AE63">
        <v>7.5851488316547262E-5</v>
      </c>
      <c r="AG63" t="s">
        <v>97</v>
      </c>
      <c r="AH63" t="s">
        <v>1109</v>
      </c>
      <c r="AI63">
        <v>0</v>
      </c>
    </row>
    <row r="64" spans="5:35" x14ac:dyDescent="0.45">
      <c r="E64" t="s">
        <v>798</v>
      </c>
      <c r="G64" t="s">
        <v>149</v>
      </c>
      <c r="I64" t="s">
        <v>236</v>
      </c>
      <c r="J64" t="s">
        <v>1110</v>
      </c>
      <c r="K64">
        <v>0</v>
      </c>
      <c r="L64" t="s">
        <v>238</v>
      </c>
      <c r="N64" t="s">
        <v>346</v>
      </c>
      <c r="O64" t="s">
        <v>1110</v>
      </c>
      <c r="P64">
        <v>3.3250583662652357E-5</v>
      </c>
      <c r="Q64" t="s">
        <v>238</v>
      </c>
      <c r="S64" t="s">
        <v>347</v>
      </c>
      <c r="T64" t="s">
        <v>1110</v>
      </c>
      <c r="U64">
        <v>1.1674169453419999E-4</v>
      </c>
      <c r="V64" t="s">
        <v>238</v>
      </c>
      <c r="X64">
        <v>1.1415525114155251E-4</v>
      </c>
      <c r="Y64">
        <v>5.7678442682047593E-5</v>
      </c>
      <c r="Z64" t="s">
        <v>1110</v>
      </c>
      <c r="AA64" t="s">
        <v>25</v>
      </c>
      <c r="AC64" t="s">
        <v>22</v>
      </c>
      <c r="AD64" t="s">
        <v>1110</v>
      </c>
      <c r="AE64">
        <v>9.5608680057436156E-5</v>
      </c>
      <c r="AG64" t="s">
        <v>97</v>
      </c>
      <c r="AH64" t="s">
        <v>1110</v>
      </c>
      <c r="AI64">
        <v>0</v>
      </c>
    </row>
    <row r="65" spans="5:35" x14ac:dyDescent="0.45">
      <c r="E65" t="s">
        <v>799</v>
      </c>
      <c r="G65" t="s">
        <v>149</v>
      </c>
      <c r="I65" t="s">
        <v>236</v>
      </c>
      <c r="J65" t="s">
        <v>1111</v>
      </c>
      <c r="K65">
        <v>4.566662430763376E-5</v>
      </c>
      <c r="L65" t="s">
        <v>238</v>
      </c>
      <c r="N65" t="s">
        <v>346</v>
      </c>
      <c r="O65" t="s">
        <v>1111</v>
      </c>
      <c r="P65">
        <v>3.3379373930577339E-5</v>
      </c>
      <c r="Q65" t="s">
        <v>238</v>
      </c>
      <c r="S65" t="s">
        <v>347</v>
      </c>
      <c r="T65" t="s">
        <v>1111</v>
      </c>
      <c r="U65">
        <v>1.296623953566E-4</v>
      </c>
      <c r="V65" t="s">
        <v>238</v>
      </c>
      <c r="X65">
        <v>1.1415525114155251E-4</v>
      </c>
      <c r="Y65">
        <v>1.6905750441289813E-4</v>
      </c>
      <c r="Z65" t="s">
        <v>1111</v>
      </c>
      <c r="AA65" t="s">
        <v>25</v>
      </c>
      <c r="AC65" t="s">
        <v>22</v>
      </c>
      <c r="AD65" t="s">
        <v>1111</v>
      </c>
      <c r="AE65">
        <v>1.1107506720872536E-4</v>
      </c>
      <c r="AG65" t="s">
        <v>97</v>
      </c>
      <c r="AH65" t="s">
        <v>1111</v>
      </c>
      <c r="AI65">
        <v>0</v>
      </c>
    </row>
    <row r="66" spans="5:35" x14ac:dyDescent="0.45">
      <c r="E66" t="s">
        <v>800</v>
      </c>
      <c r="G66" t="s">
        <v>149</v>
      </c>
      <c r="I66" t="s">
        <v>236</v>
      </c>
      <c r="J66" t="s">
        <v>1112</v>
      </c>
      <c r="K66">
        <v>1.3937396272329999E-4</v>
      </c>
      <c r="L66" t="s">
        <v>238</v>
      </c>
      <c r="N66" t="s">
        <v>346</v>
      </c>
      <c r="O66" t="s">
        <v>1112</v>
      </c>
      <c r="P66">
        <v>3.496450432946564E-5</v>
      </c>
      <c r="Q66" t="s">
        <v>238</v>
      </c>
      <c r="S66" t="s">
        <v>347</v>
      </c>
      <c r="T66" t="s">
        <v>1112</v>
      </c>
      <c r="U66">
        <v>1.3317131667300001E-4</v>
      </c>
      <c r="V66" t="s">
        <v>238</v>
      </c>
      <c r="X66">
        <v>1.1415525114155251E-4</v>
      </c>
      <c r="Y66">
        <v>1.9060404909297337E-4</v>
      </c>
      <c r="Z66" t="s">
        <v>1112</v>
      </c>
      <c r="AA66" t="s">
        <v>25</v>
      </c>
      <c r="AC66" t="s">
        <v>22</v>
      </c>
      <c r="AD66" t="s">
        <v>1112</v>
      </c>
      <c r="AE66">
        <v>1.2280957221194591E-4</v>
      </c>
      <c r="AG66" t="s">
        <v>97</v>
      </c>
      <c r="AH66" t="s">
        <v>1112</v>
      </c>
      <c r="AI66">
        <v>0</v>
      </c>
    </row>
    <row r="67" spans="5:35" x14ac:dyDescent="0.45">
      <c r="E67" t="s">
        <v>801</v>
      </c>
      <c r="G67" t="s">
        <v>149</v>
      </c>
      <c r="I67" t="s">
        <v>236</v>
      </c>
      <c r="J67" t="s">
        <v>1113</v>
      </c>
      <c r="K67">
        <v>1.602855805004E-4</v>
      </c>
      <c r="L67" t="s">
        <v>238</v>
      </c>
      <c r="N67" t="s">
        <v>346</v>
      </c>
      <c r="O67" t="s">
        <v>1113</v>
      </c>
      <c r="P67">
        <v>3.2786254371762654E-5</v>
      </c>
      <c r="Q67" t="s">
        <v>238</v>
      </c>
      <c r="S67" t="s">
        <v>347</v>
      </c>
      <c r="T67" t="s">
        <v>1113</v>
      </c>
      <c r="U67">
        <v>1.1877535764119999E-4</v>
      </c>
      <c r="V67" t="s">
        <v>238</v>
      </c>
      <c r="X67">
        <v>1.1415525114155251E-4</v>
      </c>
      <c r="Y67">
        <v>1.4585353321897094E-4</v>
      </c>
      <c r="Z67" t="s">
        <v>1113</v>
      </c>
      <c r="AA67" t="s">
        <v>25</v>
      </c>
      <c r="AC67" t="s">
        <v>22</v>
      </c>
      <c r="AD67" t="s">
        <v>1113</v>
      </c>
      <c r="AE67">
        <v>1.2716056844909508E-4</v>
      </c>
      <c r="AG67" t="s">
        <v>97</v>
      </c>
      <c r="AH67" t="s">
        <v>1113</v>
      </c>
      <c r="AI67">
        <v>0</v>
      </c>
    </row>
    <row r="68" spans="5:35" x14ac:dyDescent="0.45">
      <c r="E68" t="s">
        <v>802</v>
      </c>
      <c r="G68" t="s">
        <v>149</v>
      </c>
      <c r="I68" t="s">
        <v>236</v>
      </c>
      <c r="J68" t="s">
        <v>1114</v>
      </c>
      <c r="K68">
        <v>1.954457668843E-4</v>
      </c>
      <c r="L68" t="s">
        <v>238</v>
      </c>
      <c r="N68" t="s">
        <v>346</v>
      </c>
      <c r="O68" t="s">
        <v>1114</v>
      </c>
      <c r="P68">
        <v>3.4568946407967333E-5</v>
      </c>
      <c r="Q68" t="s">
        <v>238</v>
      </c>
      <c r="S68" t="s">
        <v>347</v>
      </c>
      <c r="T68" t="s">
        <v>1114</v>
      </c>
      <c r="U68">
        <v>9.0603672681181035E-5</v>
      </c>
      <c r="V68" t="s">
        <v>238</v>
      </c>
      <c r="X68">
        <v>1.1415525114155251E-4</v>
      </c>
      <c r="Y68">
        <v>1.4452759200788939E-4</v>
      </c>
      <c r="Z68" t="s">
        <v>1114</v>
      </c>
      <c r="AA68" t="s">
        <v>25</v>
      </c>
      <c r="AC68" t="s">
        <v>22</v>
      </c>
      <c r="AD68" t="s">
        <v>1114</v>
      </c>
      <c r="AE68">
        <v>1.2634654807271145E-4</v>
      </c>
      <c r="AG68" t="s">
        <v>97</v>
      </c>
      <c r="AH68" t="s">
        <v>1114</v>
      </c>
      <c r="AI68">
        <v>0</v>
      </c>
    </row>
    <row r="69" spans="5:35" x14ac:dyDescent="0.45">
      <c r="E69" t="s">
        <v>803</v>
      </c>
      <c r="G69" t="s">
        <v>149</v>
      </c>
      <c r="I69" t="s">
        <v>236</v>
      </c>
      <c r="J69" t="s">
        <v>1115</v>
      </c>
      <c r="K69">
        <v>2.0417065155619999E-4</v>
      </c>
      <c r="L69" t="s">
        <v>238</v>
      </c>
      <c r="N69" t="s">
        <v>346</v>
      </c>
      <c r="O69" t="s">
        <v>1115</v>
      </c>
      <c r="P69">
        <v>2.9872709596459897E-5</v>
      </c>
      <c r="Q69" t="s">
        <v>238</v>
      </c>
      <c r="S69" t="s">
        <v>347</v>
      </c>
      <c r="T69" t="s">
        <v>1115</v>
      </c>
      <c r="U69">
        <v>5.8482236162147442E-5</v>
      </c>
      <c r="V69" t="s">
        <v>238</v>
      </c>
      <c r="X69">
        <v>1.1415525114155251E-4</v>
      </c>
      <c r="Y69">
        <v>1.408812536774151E-4</v>
      </c>
      <c r="Z69" t="s">
        <v>1115</v>
      </c>
      <c r="AA69" t="s">
        <v>25</v>
      </c>
      <c r="AC69" t="s">
        <v>22</v>
      </c>
      <c r="AD69" t="s">
        <v>1115</v>
      </c>
      <c r="AE69">
        <v>1.2602265968351657E-4</v>
      </c>
      <c r="AG69" t="s">
        <v>97</v>
      </c>
      <c r="AH69" t="s">
        <v>1115</v>
      </c>
      <c r="AI69">
        <v>0</v>
      </c>
    </row>
    <row r="70" spans="5:35" x14ac:dyDescent="0.45">
      <c r="E70" t="s">
        <v>804</v>
      </c>
      <c r="G70" t="s">
        <v>149</v>
      </c>
      <c r="I70" t="s">
        <v>236</v>
      </c>
      <c r="J70" t="s">
        <v>1116</v>
      </c>
      <c r="K70">
        <v>1.9469943227509999E-4</v>
      </c>
      <c r="L70" t="s">
        <v>238</v>
      </c>
      <c r="N70" t="s">
        <v>346</v>
      </c>
      <c r="O70" t="s">
        <v>1116</v>
      </c>
      <c r="P70">
        <v>2.9066721537993239E-5</v>
      </c>
      <c r="Q70" t="s">
        <v>238</v>
      </c>
      <c r="S70" t="s">
        <v>347</v>
      </c>
      <c r="T70" t="s">
        <v>1116</v>
      </c>
      <c r="U70">
        <v>4.4354545231065879E-5</v>
      </c>
      <c r="V70" t="s">
        <v>238</v>
      </c>
      <c r="X70">
        <v>1.1415525114155251E-4</v>
      </c>
      <c r="Y70">
        <v>1.4054976837464471E-4</v>
      </c>
      <c r="Z70" t="s">
        <v>1116</v>
      </c>
      <c r="AA70" t="s">
        <v>25</v>
      </c>
      <c r="AC70" t="s">
        <v>22</v>
      </c>
      <c r="AD70" t="s">
        <v>1116</v>
      </c>
      <c r="AE70">
        <v>1.2531755752650818E-4</v>
      </c>
      <c r="AG70" t="s">
        <v>97</v>
      </c>
      <c r="AH70" t="s">
        <v>1116</v>
      </c>
      <c r="AI70">
        <v>0</v>
      </c>
    </row>
    <row r="71" spans="5:35" x14ac:dyDescent="0.45">
      <c r="E71" t="s">
        <v>805</v>
      </c>
      <c r="G71" t="s">
        <v>149</v>
      </c>
      <c r="I71" t="s">
        <v>236</v>
      </c>
      <c r="J71" t="s">
        <v>1117</v>
      </c>
      <c r="K71">
        <v>1.9396994062670001E-4</v>
      </c>
      <c r="L71" t="s">
        <v>238</v>
      </c>
      <c r="N71" t="s">
        <v>346</v>
      </c>
      <c r="O71" t="s">
        <v>1117</v>
      </c>
      <c r="P71">
        <v>3.3106064352000546E-5</v>
      </c>
      <c r="Q71" t="s">
        <v>238</v>
      </c>
      <c r="S71" t="s">
        <v>347</v>
      </c>
      <c r="T71" t="s">
        <v>1117</v>
      </c>
      <c r="U71">
        <v>4.0069574363570382E-5</v>
      </c>
      <c r="V71" t="s">
        <v>238</v>
      </c>
      <c r="X71">
        <v>1.1415525114155251E-4</v>
      </c>
      <c r="Y71">
        <v>1.4253868019126702E-4</v>
      </c>
      <c r="Z71" t="s">
        <v>1117</v>
      </c>
      <c r="AA71" t="s">
        <v>25</v>
      </c>
      <c r="AC71" t="s">
        <v>22</v>
      </c>
      <c r="AD71" t="s">
        <v>1117</v>
      </c>
      <c r="AE71">
        <v>1.2569303875645981E-4</v>
      </c>
      <c r="AG71" t="s">
        <v>97</v>
      </c>
      <c r="AH71" t="s">
        <v>1117</v>
      </c>
      <c r="AI71">
        <v>0</v>
      </c>
    </row>
    <row r="72" spans="5:35" x14ac:dyDescent="0.45">
      <c r="E72" t="s">
        <v>806</v>
      </c>
      <c r="G72" t="s">
        <v>149</v>
      </c>
      <c r="I72" t="s">
        <v>236</v>
      </c>
      <c r="J72" t="s">
        <v>1118</v>
      </c>
      <c r="K72">
        <v>2.0897654951569999E-4</v>
      </c>
      <c r="L72" t="s">
        <v>238</v>
      </c>
      <c r="N72" t="s">
        <v>346</v>
      </c>
      <c r="O72" t="s">
        <v>1118</v>
      </c>
      <c r="P72">
        <v>4.5472050904884069E-5</v>
      </c>
      <c r="Q72" t="s">
        <v>238</v>
      </c>
      <c r="S72" t="s">
        <v>347</v>
      </c>
      <c r="T72" t="s">
        <v>1118</v>
      </c>
      <c r="U72">
        <v>5.0160800484891677E-5</v>
      </c>
      <c r="V72" t="s">
        <v>238</v>
      </c>
      <c r="X72">
        <v>1.1415525114155251E-4</v>
      </c>
      <c r="Y72">
        <v>1.4883690094390442E-4</v>
      </c>
      <c r="Z72" t="s">
        <v>1118</v>
      </c>
      <c r="AA72" t="s">
        <v>25</v>
      </c>
      <c r="AC72" t="s">
        <v>22</v>
      </c>
      <c r="AD72" t="s">
        <v>1118</v>
      </c>
      <c r="AE72">
        <v>1.2498220406158961E-4</v>
      </c>
      <c r="AG72" t="s">
        <v>97</v>
      </c>
      <c r="AH72" t="s">
        <v>1118</v>
      </c>
      <c r="AI72">
        <v>0</v>
      </c>
    </row>
    <row r="73" spans="5:35" x14ac:dyDescent="0.45">
      <c r="E73" t="s">
        <v>807</v>
      </c>
      <c r="G73" t="s">
        <v>149</v>
      </c>
      <c r="I73" t="s">
        <v>236</v>
      </c>
      <c r="J73" t="s">
        <v>1119</v>
      </c>
      <c r="K73">
        <v>1.9348558725370001E-4</v>
      </c>
      <c r="L73" t="s">
        <v>238</v>
      </c>
      <c r="N73" t="s">
        <v>346</v>
      </c>
      <c r="O73" t="s">
        <v>1119</v>
      </c>
      <c r="P73">
        <v>5.3882480609396895E-5</v>
      </c>
      <c r="Q73" t="s">
        <v>238</v>
      </c>
      <c r="S73" t="s">
        <v>347</v>
      </c>
      <c r="T73" t="s">
        <v>1119</v>
      </c>
      <c r="U73">
        <v>6.4010724205370198E-5</v>
      </c>
      <c r="V73" t="s">
        <v>238</v>
      </c>
      <c r="X73">
        <v>1.1415525114155251E-4</v>
      </c>
      <c r="Y73">
        <v>1.5049432745775637E-4</v>
      </c>
      <c r="Z73" t="s">
        <v>1119</v>
      </c>
      <c r="AA73" t="s">
        <v>25</v>
      </c>
      <c r="AC73" t="s">
        <v>22</v>
      </c>
      <c r="AD73" t="s">
        <v>1119</v>
      </c>
      <c r="AE73">
        <v>1.2361786005046768E-4</v>
      </c>
      <c r="AG73" t="s">
        <v>97</v>
      </c>
      <c r="AH73" t="s">
        <v>1119</v>
      </c>
      <c r="AI73">
        <v>0</v>
      </c>
    </row>
    <row r="74" spans="5:35" x14ac:dyDescent="0.45">
      <c r="E74" t="s">
        <v>808</v>
      </c>
      <c r="G74" t="s">
        <v>149</v>
      </c>
      <c r="I74" t="s">
        <v>236</v>
      </c>
      <c r="J74" t="s">
        <v>1120</v>
      </c>
      <c r="K74">
        <v>1.8122027656039999E-4</v>
      </c>
      <c r="L74" t="s">
        <v>238</v>
      </c>
      <c r="N74" t="s">
        <v>346</v>
      </c>
      <c r="O74" t="s">
        <v>1120</v>
      </c>
      <c r="P74">
        <v>6.0615204499682469E-5</v>
      </c>
      <c r="Q74" t="s">
        <v>238</v>
      </c>
      <c r="S74" t="s">
        <v>347</v>
      </c>
      <c r="T74" t="s">
        <v>1120</v>
      </c>
      <c r="U74">
        <v>6.9719115828297164E-5</v>
      </c>
      <c r="V74" t="s">
        <v>238</v>
      </c>
      <c r="X74">
        <v>1.1415525114155251E-4</v>
      </c>
      <c r="Y74">
        <v>1.7237235744060203E-4</v>
      </c>
      <c r="Z74" t="s">
        <v>1120</v>
      </c>
      <c r="AA74" t="s">
        <v>25</v>
      </c>
      <c r="AC74" t="s">
        <v>22</v>
      </c>
      <c r="AD74" t="s">
        <v>1120</v>
      </c>
      <c r="AE74">
        <v>1.2483889061504317E-4</v>
      </c>
      <c r="AG74" t="s">
        <v>97</v>
      </c>
      <c r="AH74" t="s">
        <v>1120</v>
      </c>
      <c r="AI74">
        <v>0</v>
      </c>
    </row>
    <row r="75" spans="5:35" x14ac:dyDescent="0.45">
      <c r="E75" t="s">
        <v>809</v>
      </c>
      <c r="G75" t="s">
        <v>149</v>
      </c>
      <c r="I75" t="s">
        <v>236</v>
      </c>
      <c r="J75" t="s">
        <v>1121</v>
      </c>
      <c r="K75">
        <v>1.205951125817E-4</v>
      </c>
      <c r="L75" t="s">
        <v>238</v>
      </c>
      <c r="N75" t="s">
        <v>346</v>
      </c>
      <c r="O75" t="s">
        <v>1121</v>
      </c>
      <c r="P75">
        <v>6.3057216564725208E-5</v>
      </c>
      <c r="Q75" t="s">
        <v>238</v>
      </c>
      <c r="S75" t="s">
        <v>347</v>
      </c>
      <c r="T75" t="s">
        <v>1121</v>
      </c>
      <c r="U75">
        <v>6.6291647605348544E-5</v>
      </c>
      <c r="V75" t="s">
        <v>238</v>
      </c>
      <c r="X75">
        <v>1.1415525114155251E-4</v>
      </c>
      <c r="Y75">
        <v>2.2209515285616027E-4</v>
      </c>
      <c r="Z75" t="s">
        <v>1121</v>
      </c>
      <c r="AA75" t="s">
        <v>25</v>
      </c>
      <c r="AC75" t="s">
        <v>22</v>
      </c>
      <c r="AD75" t="s">
        <v>1121</v>
      </c>
      <c r="AE75">
        <v>1.2437168877930184E-4</v>
      </c>
      <c r="AG75" t="s">
        <v>97</v>
      </c>
      <c r="AH75" t="s">
        <v>1121</v>
      </c>
      <c r="AI75">
        <v>0</v>
      </c>
    </row>
    <row r="76" spans="5:35" x14ac:dyDescent="0.45">
      <c r="E76" t="s">
        <v>810</v>
      </c>
      <c r="G76" t="s">
        <v>149</v>
      </c>
      <c r="I76" t="s">
        <v>236</v>
      </c>
      <c r="J76" t="s">
        <v>1122</v>
      </c>
      <c r="K76">
        <v>7.6076264561737394E-5</v>
      </c>
      <c r="L76" t="s">
        <v>238</v>
      </c>
      <c r="N76" t="s">
        <v>346</v>
      </c>
      <c r="O76" t="s">
        <v>1122</v>
      </c>
      <c r="P76">
        <v>5.6989978477779337E-5</v>
      </c>
      <c r="Q76" t="s">
        <v>238</v>
      </c>
      <c r="S76" t="s">
        <v>347</v>
      </c>
      <c r="T76" t="s">
        <v>1122</v>
      </c>
      <c r="U76">
        <v>5.237069894450972E-5</v>
      </c>
      <c r="V76" t="s">
        <v>238</v>
      </c>
      <c r="X76">
        <v>1.1415525114155251E-4</v>
      </c>
      <c r="Y76">
        <v>2.2209515285616027E-4</v>
      </c>
      <c r="Z76" t="s">
        <v>1122</v>
      </c>
      <c r="AA76" t="s">
        <v>25</v>
      </c>
      <c r="AC76" t="s">
        <v>22</v>
      </c>
      <c r="AD76" t="s">
        <v>1122</v>
      </c>
      <c r="AE76">
        <v>1.2453793237729571E-4</v>
      </c>
      <c r="AG76" t="s">
        <v>97</v>
      </c>
      <c r="AH76" t="s">
        <v>1122</v>
      </c>
      <c r="AI76">
        <v>0</v>
      </c>
    </row>
    <row r="77" spans="5:35" x14ac:dyDescent="0.45">
      <c r="E77" t="s">
        <v>811</v>
      </c>
      <c r="G77" t="s">
        <v>149</v>
      </c>
      <c r="I77" t="s">
        <v>236</v>
      </c>
      <c r="J77" t="s">
        <v>1123</v>
      </c>
      <c r="K77">
        <v>3.548729007481548E-5</v>
      </c>
      <c r="L77" t="s">
        <v>238</v>
      </c>
      <c r="N77" t="s">
        <v>346</v>
      </c>
      <c r="O77" t="s">
        <v>1123</v>
      </c>
      <c r="P77">
        <v>5.0860875425535161E-5</v>
      </c>
      <c r="Q77" t="s">
        <v>238</v>
      </c>
      <c r="S77" t="s">
        <v>347</v>
      </c>
      <c r="T77" t="s">
        <v>1123</v>
      </c>
      <c r="U77">
        <v>4.0976005535108906E-5</v>
      </c>
      <c r="V77" t="s">
        <v>238</v>
      </c>
      <c r="X77">
        <v>1.1415525114155251E-4</v>
      </c>
      <c r="Y77">
        <v>1.7237235744060203E-4</v>
      </c>
      <c r="Z77" t="s">
        <v>1123</v>
      </c>
      <c r="AA77" t="s">
        <v>25</v>
      </c>
      <c r="AC77" t="s">
        <v>22</v>
      </c>
      <c r="AD77" t="s">
        <v>1123</v>
      </c>
      <c r="AE77">
        <v>1.2354906959612542E-4</v>
      </c>
      <c r="AG77" t="s">
        <v>97</v>
      </c>
      <c r="AH77" t="s">
        <v>1123</v>
      </c>
      <c r="AI77">
        <v>0</v>
      </c>
    </row>
    <row r="78" spans="5:35" x14ac:dyDescent="0.45">
      <c r="E78" t="s">
        <v>812</v>
      </c>
      <c r="G78" t="s">
        <v>149</v>
      </c>
      <c r="I78" t="s">
        <v>236</v>
      </c>
      <c r="J78" t="s">
        <v>1124</v>
      </c>
      <c r="K78">
        <v>0</v>
      </c>
      <c r="L78" t="s">
        <v>238</v>
      </c>
      <c r="N78" t="s">
        <v>346</v>
      </c>
      <c r="O78" t="s">
        <v>1124</v>
      </c>
      <c r="P78">
        <v>4.4357493965274109E-5</v>
      </c>
      <c r="Q78" t="s">
        <v>238</v>
      </c>
      <c r="S78" t="s">
        <v>347</v>
      </c>
      <c r="T78" t="s">
        <v>1124</v>
      </c>
      <c r="U78">
        <v>3.253857523272432E-5</v>
      </c>
      <c r="V78" t="s">
        <v>238</v>
      </c>
      <c r="X78">
        <v>1.1415525114155251E-4</v>
      </c>
      <c r="Y78">
        <v>1.5579809230208258E-4</v>
      </c>
      <c r="Z78" t="s">
        <v>1124</v>
      </c>
      <c r="AA78" t="s">
        <v>25</v>
      </c>
      <c r="AC78" t="s">
        <v>22</v>
      </c>
      <c r="AD78" t="s">
        <v>1124</v>
      </c>
      <c r="AE78">
        <v>1.2103248547477037E-4</v>
      </c>
      <c r="AG78" t="s">
        <v>97</v>
      </c>
      <c r="AH78" t="s">
        <v>1124</v>
      </c>
      <c r="AI78">
        <v>0</v>
      </c>
    </row>
    <row r="79" spans="5:35" x14ac:dyDescent="0.45">
      <c r="E79" t="s">
        <v>813</v>
      </c>
      <c r="G79" t="s">
        <v>149</v>
      </c>
      <c r="I79" t="s">
        <v>236</v>
      </c>
      <c r="J79" t="s">
        <v>1125</v>
      </c>
      <c r="K79">
        <v>0</v>
      </c>
      <c r="L79" t="s">
        <v>238</v>
      </c>
      <c r="N79" t="s">
        <v>346</v>
      </c>
      <c r="O79" t="s">
        <v>1125</v>
      </c>
      <c r="P79">
        <v>3.9082934034030292E-5</v>
      </c>
      <c r="Q79" t="s">
        <v>238</v>
      </c>
      <c r="S79" t="s">
        <v>347</v>
      </c>
      <c r="T79" t="s">
        <v>1125</v>
      </c>
      <c r="U79">
        <v>2.5355532003981792E-5</v>
      </c>
      <c r="V79" t="s">
        <v>238</v>
      </c>
      <c r="X79">
        <v>1.1415525114155251E-4</v>
      </c>
      <c r="Y79">
        <v>1.093901499142282E-4</v>
      </c>
      <c r="Z79" t="s">
        <v>1125</v>
      </c>
      <c r="AA79" t="s">
        <v>25</v>
      </c>
      <c r="AC79" t="s">
        <v>22</v>
      </c>
      <c r="AD79" t="s">
        <v>1125</v>
      </c>
      <c r="AE79">
        <v>1.0874765683681159E-4</v>
      </c>
      <c r="AG79" t="s">
        <v>97</v>
      </c>
      <c r="AH79" t="s">
        <v>1125</v>
      </c>
      <c r="AI79">
        <v>0</v>
      </c>
    </row>
    <row r="80" spans="5:35" x14ac:dyDescent="0.45">
      <c r="E80" t="s">
        <v>814</v>
      </c>
      <c r="G80" t="s">
        <v>149</v>
      </c>
      <c r="I80" t="s">
        <v>236</v>
      </c>
      <c r="J80" t="s">
        <v>1126</v>
      </c>
      <c r="K80">
        <v>0</v>
      </c>
      <c r="L80" t="s">
        <v>238</v>
      </c>
      <c r="N80" t="s">
        <v>346</v>
      </c>
      <c r="O80" t="s">
        <v>1126</v>
      </c>
      <c r="P80">
        <v>3.7226989907550881E-5</v>
      </c>
      <c r="Q80" t="s">
        <v>238</v>
      </c>
      <c r="S80" t="s">
        <v>347</v>
      </c>
      <c r="T80" t="s">
        <v>1126</v>
      </c>
      <c r="U80">
        <v>2.1581286674511199E-5</v>
      </c>
      <c r="V80" t="s">
        <v>238</v>
      </c>
      <c r="X80">
        <v>1.1415525114155251E-4</v>
      </c>
      <c r="Y80">
        <v>7.9556472664893237E-5</v>
      </c>
      <c r="Z80" t="s">
        <v>1126</v>
      </c>
      <c r="AA80" t="s">
        <v>25</v>
      </c>
      <c r="AC80" t="s">
        <v>22</v>
      </c>
      <c r="AD80" t="s">
        <v>1126</v>
      </c>
      <c r="AE80">
        <v>9.9403620121985253E-5</v>
      </c>
      <c r="AG80" t="s">
        <v>97</v>
      </c>
      <c r="AH80" t="s">
        <v>1126</v>
      </c>
      <c r="AI80">
        <v>0</v>
      </c>
    </row>
    <row r="81" spans="5:35" x14ac:dyDescent="0.45">
      <c r="E81" t="s">
        <v>815</v>
      </c>
      <c r="G81" t="s">
        <v>149</v>
      </c>
      <c r="I81" t="s">
        <v>236</v>
      </c>
      <c r="J81" t="s">
        <v>1127</v>
      </c>
      <c r="K81">
        <v>0</v>
      </c>
      <c r="L81" t="s">
        <v>238</v>
      </c>
      <c r="N81" t="s">
        <v>346</v>
      </c>
      <c r="O81" t="s">
        <v>1127</v>
      </c>
      <c r="P81">
        <v>3.9531299304037221E-5</v>
      </c>
      <c r="Q81" t="s">
        <v>238</v>
      </c>
      <c r="S81" t="s">
        <v>347</v>
      </c>
      <c r="T81" t="s">
        <v>1127</v>
      </c>
      <c r="U81">
        <v>1.8351315976070241E-5</v>
      </c>
      <c r="V81" t="s">
        <v>238</v>
      </c>
      <c r="X81">
        <v>1.1415525114155251E-4</v>
      </c>
      <c r="Y81">
        <v>5.6352501470966035E-5</v>
      </c>
      <c r="Z81" t="s">
        <v>1127</v>
      </c>
      <c r="AA81" t="s">
        <v>25</v>
      </c>
      <c r="AC81" t="s">
        <v>22</v>
      </c>
      <c r="AD81" t="s">
        <v>1127</v>
      </c>
      <c r="AE81">
        <v>8.6906687583137776E-5</v>
      </c>
      <c r="AG81" t="s">
        <v>97</v>
      </c>
      <c r="AH81" t="s">
        <v>1127</v>
      </c>
      <c r="AI81">
        <v>0</v>
      </c>
    </row>
    <row r="82" spans="5:35" x14ac:dyDescent="0.45">
      <c r="E82" t="s">
        <v>816</v>
      </c>
      <c r="G82" t="s">
        <v>149</v>
      </c>
      <c r="I82" t="s">
        <v>236</v>
      </c>
      <c r="J82" t="s">
        <v>1128</v>
      </c>
      <c r="K82">
        <v>0</v>
      </c>
      <c r="L82" t="s">
        <v>238</v>
      </c>
      <c r="N82" t="s">
        <v>346</v>
      </c>
      <c r="O82" t="s">
        <v>1128</v>
      </c>
      <c r="P82">
        <v>3.2757463729543058E-5</v>
      </c>
      <c r="Q82" t="s">
        <v>238</v>
      </c>
      <c r="S82" t="s">
        <v>347</v>
      </c>
      <c r="T82" t="s">
        <v>1128</v>
      </c>
      <c r="U82">
        <v>1.6830953502721959E-5</v>
      </c>
      <c r="V82" t="s">
        <v>238</v>
      </c>
      <c r="X82">
        <v>1.1415525114155251E-4</v>
      </c>
      <c r="Y82">
        <v>2.9833677249334962E-5</v>
      </c>
      <c r="Z82" t="s">
        <v>1128</v>
      </c>
      <c r="AA82" t="s">
        <v>25</v>
      </c>
      <c r="AC82" t="s">
        <v>22</v>
      </c>
      <c r="AD82" t="s">
        <v>1128</v>
      </c>
      <c r="AE82">
        <v>7.4624725214109924E-5</v>
      </c>
      <c r="AG82" t="s">
        <v>97</v>
      </c>
      <c r="AH82" t="s">
        <v>1128</v>
      </c>
      <c r="AI82">
        <v>0</v>
      </c>
    </row>
    <row r="83" spans="5:35" x14ac:dyDescent="0.45">
      <c r="E83" t="s">
        <v>817</v>
      </c>
      <c r="G83" t="s">
        <v>149</v>
      </c>
      <c r="I83" t="s">
        <v>236</v>
      </c>
      <c r="J83" t="s">
        <v>1129</v>
      </c>
      <c r="K83">
        <v>0</v>
      </c>
      <c r="L83" t="s">
        <v>238</v>
      </c>
      <c r="N83" t="s">
        <v>346</v>
      </c>
      <c r="O83" t="s">
        <v>1129</v>
      </c>
      <c r="P83">
        <v>2.872628441023088E-5</v>
      </c>
      <c r="Q83" t="s">
        <v>238</v>
      </c>
      <c r="S83" t="s">
        <v>347</v>
      </c>
      <c r="T83" t="s">
        <v>1129</v>
      </c>
      <c r="U83">
        <v>1.4906883103660891E-5</v>
      </c>
      <c r="V83" t="s">
        <v>238</v>
      </c>
      <c r="X83">
        <v>1.1415525114155251E-4</v>
      </c>
      <c r="Y83">
        <v>2.1546544680075254E-5</v>
      </c>
      <c r="Z83" t="s">
        <v>1129</v>
      </c>
      <c r="AA83" t="s">
        <v>25</v>
      </c>
      <c r="AC83" t="s">
        <v>22</v>
      </c>
      <c r="AD83" t="s">
        <v>1129</v>
      </c>
      <c r="AE83">
        <v>6.6986118513185944E-5</v>
      </c>
      <c r="AG83" t="s">
        <v>97</v>
      </c>
      <c r="AH83" t="s">
        <v>1129</v>
      </c>
      <c r="AI83">
        <v>0</v>
      </c>
    </row>
    <row r="84" spans="5:35" x14ac:dyDescent="0.45">
      <c r="E84" t="s">
        <v>818</v>
      </c>
      <c r="G84" t="s">
        <v>149</v>
      </c>
      <c r="I84" t="s">
        <v>236</v>
      </c>
      <c r="J84" t="s">
        <v>1130</v>
      </c>
      <c r="K84">
        <v>0</v>
      </c>
      <c r="L84" t="s">
        <v>238</v>
      </c>
      <c r="N84" t="s">
        <v>346</v>
      </c>
      <c r="O84" t="s">
        <v>1130</v>
      </c>
      <c r="P84">
        <v>2.7032667183467681E-5</v>
      </c>
      <c r="Q84" t="s">
        <v>238</v>
      </c>
      <c r="S84" t="s">
        <v>347</v>
      </c>
      <c r="T84" t="s">
        <v>1130</v>
      </c>
      <c r="U84">
        <v>1.4783295045864433E-5</v>
      </c>
      <c r="V84" t="s">
        <v>238</v>
      </c>
      <c r="X84">
        <v>1.1415525114155251E-4</v>
      </c>
      <c r="Y84">
        <v>1.4916838624667481E-5</v>
      </c>
      <c r="Z84" t="s">
        <v>1130</v>
      </c>
      <c r="AA84" t="s">
        <v>25</v>
      </c>
      <c r="AC84" t="s">
        <v>22</v>
      </c>
      <c r="AD84" t="s">
        <v>1130</v>
      </c>
      <c r="AE84">
        <v>6.5713495107853789E-5</v>
      </c>
      <c r="AG84" t="s">
        <v>97</v>
      </c>
      <c r="AH84" t="s">
        <v>1130</v>
      </c>
      <c r="AI84">
        <v>0</v>
      </c>
    </row>
    <row r="85" spans="5:35" x14ac:dyDescent="0.45">
      <c r="E85" t="s">
        <v>819</v>
      </c>
      <c r="G85" t="s">
        <v>149</v>
      </c>
      <c r="I85" t="s">
        <v>236</v>
      </c>
      <c r="J85" t="s">
        <v>1131</v>
      </c>
      <c r="K85">
        <v>0</v>
      </c>
      <c r="L85" t="s">
        <v>238</v>
      </c>
      <c r="N85" t="s">
        <v>346</v>
      </c>
      <c r="O85" t="s">
        <v>1131</v>
      </c>
      <c r="P85">
        <v>2.3811279392604849E-5</v>
      </c>
      <c r="Q85" t="s">
        <v>238</v>
      </c>
      <c r="S85" t="s">
        <v>347</v>
      </c>
      <c r="T85" t="s">
        <v>1131</v>
      </c>
      <c r="U85">
        <v>1.4503820337387088E-5</v>
      </c>
      <c r="V85" t="s">
        <v>238</v>
      </c>
      <c r="X85">
        <v>1.1415525114155251E-4</v>
      </c>
      <c r="Y85">
        <v>1.6574265138519424E-5</v>
      </c>
      <c r="Z85" t="s">
        <v>1131</v>
      </c>
      <c r="AA85" t="s">
        <v>25</v>
      </c>
      <c r="AC85" t="s">
        <v>22</v>
      </c>
      <c r="AD85" t="s">
        <v>1131</v>
      </c>
      <c r="AE85">
        <v>6.5713495107853789E-5</v>
      </c>
      <c r="AG85" t="s">
        <v>97</v>
      </c>
      <c r="AH85" t="s">
        <v>1131</v>
      </c>
      <c r="AI85">
        <v>0</v>
      </c>
    </row>
    <row r="86" spans="5:35" x14ac:dyDescent="0.45">
      <c r="E86" t="s">
        <v>820</v>
      </c>
      <c r="G86" t="s">
        <v>149</v>
      </c>
      <c r="I86" t="s">
        <v>236</v>
      </c>
      <c r="J86" t="s">
        <v>1132</v>
      </c>
      <c r="K86">
        <v>0</v>
      </c>
      <c r="L86" t="s">
        <v>238</v>
      </c>
      <c r="N86" t="s">
        <v>346</v>
      </c>
      <c r="O86" t="s">
        <v>1132</v>
      </c>
      <c r="P86">
        <v>1.9995678188251804E-5</v>
      </c>
      <c r="Q86" t="s">
        <v>238</v>
      </c>
      <c r="S86" t="s">
        <v>347</v>
      </c>
      <c r="T86" t="s">
        <v>1132</v>
      </c>
      <c r="U86">
        <v>1.4757410497026768E-5</v>
      </c>
      <c r="V86" t="s">
        <v>238</v>
      </c>
      <c r="X86">
        <v>1.1415525114155251E-4</v>
      </c>
      <c r="Y86">
        <v>1.4585353321897093E-5</v>
      </c>
      <c r="Z86" t="s">
        <v>1132</v>
      </c>
      <c r="AA86" t="s">
        <v>25</v>
      </c>
      <c r="AC86" t="s">
        <v>22</v>
      </c>
      <c r="AD86" t="s">
        <v>1132</v>
      </c>
      <c r="AE86">
        <v>6.6458725029895136E-5</v>
      </c>
      <c r="AG86" t="s">
        <v>97</v>
      </c>
      <c r="AH86" t="s">
        <v>1132</v>
      </c>
      <c r="AI86">
        <v>0</v>
      </c>
    </row>
    <row r="87" spans="5:35" x14ac:dyDescent="0.45">
      <c r="E87" t="s">
        <v>821</v>
      </c>
      <c r="G87" t="s">
        <v>149</v>
      </c>
      <c r="I87" t="s">
        <v>236</v>
      </c>
      <c r="J87" t="s">
        <v>1133</v>
      </c>
      <c r="K87">
        <v>0</v>
      </c>
      <c r="L87" t="s">
        <v>238</v>
      </c>
      <c r="N87" t="s">
        <v>346</v>
      </c>
      <c r="O87" t="s">
        <v>1133</v>
      </c>
      <c r="P87">
        <v>1.5248520495408579E-5</v>
      </c>
      <c r="Q87" t="s">
        <v>238</v>
      </c>
      <c r="S87" t="s">
        <v>347</v>
      </c>
      <c r="T87" t="s">
        <v>1133</v>
      </c>
      <c r="U87">
        <v>1.1814177682554329E-5</v>
      </c>
      <c r="V87" t="s">
        <v>238</v>
      </c>
      <c r="X87">
        <v>1.1415525114155251E-4</v>
      </c>
      <c r="Y87">
        <v>2.1215059377304864E-5</v>
      </c>
      <c r="Z87" t="s">
        <v>1133</v>
      </c>
      <c r="AA87" t="s">
        <v>25</v>
      </c>
      <c r="AC87" t="s">
        <v>22</v>
      </c>
      <c r="AD87" t="s">
        <v>1133</v>
      </c>
      <c r="AE87">
        <v>7.5776965324343112E-5</v>
      </c>
      <c r="AG87" t="s">
        <v>97</v>
      </c>
      <c r="AH87" t="s">
        <v>1133</v>
      </c>
      <c r="AI87">
        <v>0</v>
      </c>
    </row>
    <row r="88" spans="5:35" x14ac:dyDescent="0.45">
      <c r="E88" t="s">
        <v>822</v>
      </c>
      <c r="G88" t="s">
        <v>149</v>
      </c>
      <c r="I88" t="s">
        <v>236</v>
      </c>
      <c r="J88" t="s">
        <v>1134</v>
      </c>
      <c r="K88">
        <v>0</v>
      </c>
      <c r="L88" t="s">
        <v>238</v>
      </c>
      <c r="N88" t="s">
        <v>346</v>
      </c>
      <c r="O88" t="s">
        <v>1134</v>
      </c>
      <c r="P88">
        <v>1.2126165640894217E-5</v>
      </c>
      <c r="Q88" t="s">
        <v>238</v>
      </c>
      <c r="S88" t="s">
        <v>347</v>
      </c>
      <c r="T88" t="s">
        <v>1134</v>
      </c>
      <c r="U88">
        <v>9.9386852535904557E-6</v>
      </c>
      <c r="V88" t="s">
        <v>238</v>
      </c>
      <c r="X88">
        <v>1.1415525114155251E-4</v>
      </c>
      <c r="Y88">
        <v>5.7678442682047593E-5</v>
      </c>
      <c r="Z88" t="s">
        <v>1134</v>
      </c>
      <c r="AA88" t="s">
        <v>25</v>
      </c>
      <c r="AC88" t="s">
        <v>22</v>
      </c>
      <c r="AD88" t="s">
        <v>1134</v>
      </c>
      <c r="AE88">
        <v>9.5809318882601128E-5</v>
      </c>
      <c r="AG88" t="s">
        <v>97</v>
      </c>
      <c r="AH88" t="s">
        <v>1134</v>
      </c>
      <c r="AI88">
        <v>0</v>
      </c>
    </row>
    <row r="89" spans="5:35" x14ac:dyDescent="0.45">
      <c r="E89" t="s">
        <v>823</v>
      </c>
      <c r="G89" t="s">
        <v>149</v>
      </c>
      <c r="I89" t="s">
        <v>236</v>
      </c>
      <c r="J89" t="s">
        <v>1135</v>
      </c>
      <c r="K89">
        <v>2.4782238441445049E-5</v>
      </c>
      <c r="L89" t="s">
        <v>238</v>
      </c>
      <c r="N89" t="s">
        <v>346</v>
      </c>
      <c r="O89" t="s">
        <v>1135</v>
      </c>
      <c r="P89">
        <v>7.5890234109177997E-6</v>
      </c>
      <c r="Q89" t="s">
        <v>238</v>
      </c>
      <c r="S89" t="s">
        <v>347</v>
      </c>
      <c r="T89" t="s">
        <v>1135</v>
      </c>
      <c r="U89">
        <v>8.453980248098694E-6</v>
      </c>
      <c r="V89" t="s">
        <v>238</v>
      </c>
      <c r="X89">
        <v>1.1415525114155251E-4</v>
      </c>
      <c r="Y89">
        <v>1.6905750441289813E-4</v>
      </c>
      <c r="Z89" t="s">
        <v>1135</v>
      </c>
      <c r="AA89" t="s">
        <v>25</v>
      </c>
      <c r="AC89" t="s">
        <v>22</v>
      </c>
      <c r="AD89" t="s">
        <v>1135</v>
      </c>
      <c r="AE89">
        <v>1.1135309529502541E-4</v>
      </c>
      <c r="AG89" t="s">
        <v>97</v>
      </c>
      <c r="AH89" t="s">
        <v>1135</v>
      </c>
      <c r="AI89">
        <v>0</v>
      </c>
    </row>
    <row r="90" spans="5:35" x14ac:dyDescent="0.45">
      <c r="E90" t="s">
        <v>824</v>
      </c>
      <c r="G90" t="s">
        <v>149</v>
      </c>
      <c r="I90" t="s">
        <v>236</v>
      </c>
      <c r="J90" t="s">
        <v>1136</v>
      </c>
      <c r="K90">
        <v>3.7819381169534092E-5</v>
      </c>
      <c r="L90" t="s">
        <v>238</v>
      </c>
      <c r="N90" t="s">
        <v>346</v>
      </c>
      <c r="O90" t="s">
        <v>1136</v>
      </c>
      <c r="P90">
        <v>2.4579170512279564E-6</v>
      </c>
      <c r="Q90" t="s">
        <v>238</v>
      </c>
      <c r="S90" t="s">
        <v>347</v>
      </c>
      <c r="T90" t="s">
        <v>1136</v>
      </c>
      <c r="U90">
        <v>8.2743752698020249E-6</v>
      </c>
      <c r="V90" t="s">
        <v>238</v>
      </c>
      <c r="X90">
        <v>1.1415525114155251E-4</v>
      </c>
      <c r="Y90">
        <v>1.9060404909297337E-4</v>
      </c>
      <c r="Z90" t="s">
        <v>1136</v>
      </c>
      <c r="AA90" t="s">
        <v>25</v>
      </c>
      <c r="AC90" t="s">
        <v>22</v>
      </c>
      <c r="AD90" t="s">
        <v>1136</v>
      </c>
      <c r="AE90">
        <v>1.2214459781997056E-4</v>
      </c>
      <c r="AG90" t="s">
        <v>97</v>
      </c>
      <c r="AH90" t="s">
        <v>1136</v>
      </c>
      <c r="AI90">
        <v>0</v>
      </c>
    </row>
    <row r="91" spans="5:35" x14ac:dyDescent="0.45">
      <c r="E91" t="s">
        <v>825</v>
      </c>
      <c r="G91" t="s">
        <v>149</v>
      </c>
      <c r="I91" t="s">
        <v>236</v>
      </c>
      <c r="J91" t="s">
        <v>1137</v>
      </c>
      <c r="K91">
        <v>8.0038021068647825E-5</v>
      </c>
      <c r="L91" t="s">
        <v>238</v>
      </c>
      <c r="N91" t="s">
        <v>346</v>
      </c>
      <c r="O91" t="s">
        <v>1137</v>
      </c>
      <c r="P91">
        <v>9.4945701947222597E-7</v>
      </c>
      <c r="Q91" t="s">
        <v>238</v>
      </c>
      <c r="S91" t="s">
        <v>347</v>
      </c>
      <c r="T91" t="s">
        <v>1137</v>
      </c>
      <c r="U91">
        <v>9.47387238540286E-6</v>
      </c>
      <c r="V91" t="s">
        <v>238</v>
      </c>
      <c r="X91">
        <v>1.1415525114155251E-4</v>
      </c>
      <c r="Y91">
        <v>1.4585353321897094E-4</v>
      </c>
      <c r="Z91" t="s">
        <v>1137</v>
      </c>
      <c r="AA91" t="s">
        <v>25</v>
      </c>
      <c r="AC91" t="s">
        <v>22</v>
      </c>
      <c r="AD91" t="s">
        <v>1137</v>
      </c>
      <c r="AE91">
        <v>1.2628635642516196E-4</v>
      </c>
      <c r="AG91" t="s">
        <v>97</v>
      </c>
      <c r="AH91" t="s">
        <v>1137</v>
      </c>
      <c r="AI91">
        <v>0</v>
      </c>
    </row>
    <row r="92" spans="5:35" x14ac:dyDescent="0.45">
      <c r="E92" t="s">
        <v>826</v>
      </c>
      <c r="G92" t="s">
        <v>149</v>
      </c>
      <c r="I92" t="s">
        <v>236</v>
      </c>
      <c r="J92" t="s">
        <v>1138</v>
      </c>
      <c r="K92">
        <v>1.2965291039850001E-4</v>
      </c>
      <c r="L92" t="s">
        <v>238</v>
      </c>
      <c r="N92" t="s">
        <v>346</v>
      </c>
      <c r="O92" t="s">
        <v>1138</v>
      </c>
      <c r="P92">
        <v>2.0187368517567301E-6</v>
      </c>
      <c r="Q92" t="s">
        <v>238</v>
      </c>
      <c r="S92" t="s">
        <v>347</v>
      </c>
      <c r="T92" t="s">
        <v>1138</v>
      </c>
      <c r="U92">
        <v>1.1629364665715544E-5</v>
      </c>
      <c r="V92" t="s">
        <v>238</v>
      </c>
      <c r="X92">
        <v>1.1415525114155251E-4</v>
      </c>
      <c r="Y92">
        <v>1.4452759200788939E-4</v>
      </c>
      <c r="Z92" t="s">
        <v>1138</v>
      </c>
      <c r="AA92" t="s">
        <v>25</v>
      </c>
      <c r="AC92" t="s">
        <v>22</v>
      </c>
      <c r="AD92" t="s">
        <v>1138</v>
      </c>
      <c r="AE92">
        <v>1.2618317074364853E-4</v>
      </c>
      <c r="AG92" t="s">
        <v>97</v>
      </c>
      <c r="AH92" t="s">
        <v>1138</v>
      </c>
      <c r="AI92">
        <v>0</v>
      </c>
    </row>
    <row r="93" spans="5:35" x14ac:dyDescent="0.45">
      <c r="E93" t="s">
        <v>827</v>
      </c>
      <c r="G93" t="s">
        <v>149</v>
      </c>
      <c r="I93" t="s">
        <v>236</v>
      </c>
      <c r="J93" t="s">
        <v>1139</v>
      </c>
      <c r="K93">
        <v>1.8247280015230001E-4</v>
      </c>
      <c r="L93" t="s">
        <v>238</v>
      </c>
      <c r="N93" t="s">
        <v>346</v>
      </c>
      <c r="O93" t="s">
        <v>1139</v>
      </c>
      <c r="P93">
        <v>1.5976606075340766E-6</v>
      </c>
      <c r="Q93" t="s">
        <v>238</v>
      </c>
      <c r="S93" t="s">
        <v>347</v>
      </c>
      <c r="T93" t="s">
        <v>1139</v>
      </c>
      <c r="U93">
        <v>1.3909471138897684E-5</v>
      </c>
      <c r="V93" t="s">
        <v>238</v>
      </c>
      <c r="X93">
        <v>1.1415525114155251E-4</v>
      </c>
      <c r="Y93">
        <v>1.408812536774151E-4</v>
      </c>
      <c r="Z93" t="s">
        <v>1139</v>
      </c>
      <c r="AA93" t="s">
        <v>25</v>
      </c>
      <c r="AC93" t="s">
        <v>22</v>
      </c>
      <c r="AD93" t="s">
        <v>1139</v>
      </c>
      <c r="AE93">
        <v>1.2504239570913905E-4</v>
      </c>
      <c r="AG93" t="s">
        <v>97</v>
      </c>
      <c r="AH93" t="s">
        <v>1139</v>
      </c>
      <c r="AI93">
        <v>0</v>
      </c>
    </row>
    <row r="94" spans="5:35" x14ac:dyDescent="0.45">
      <c r="E94" t="s">
        <v>828</v>
      </c>
      <c r="G94" t="s">
        <v>149</v>
      </c>
      <c r="I94" t="s">
        <v>236</v>
      </c>
      <c r="J94" t="s">
        <v>1140</v>
      </c>
      <c r="K94">
        <v>2.0304058742089999E-4</v>
      </c>
      <c r="L94" t="s">
        <v>238</v>
      </c>
      <c r="N94" t="s">
        <v>346</v>
      </c>
      <c r="O94" t="s">
        <v>1140</v>
      </c>
      <c r="P94">
        <v>2.756080262681479E-6</v>
      </c>
      <c r="Q94" t="s">
        <v>238</v>
      </c>
      <c r="S94" t="s">
        <v>347</v>
      </c>
      <c r="T94" t="s">
        <v>1140</v>
      </c>
      <c r="U94">
        <v>1.3998820993681274E-5</v>
      </c>
      <c r="V94" t="s">
        <v>238</v>
      </c>
      <c r="X94">
        <v>1.1415525114155251E-4</v>
      </c>
      <c r="Y94">
        <v>1.4054976837464471E-4</v>
      </c>
      <c r="Z94" t="s">
        <v>1140</v>
      </c>
      <c r="AA94" t="s">
        <v>25</v>
      </c>
      <c r="AC94" t="s">
        <v>22</v>
      </c>
      <c r="AD94" t="s">
        <v>1140</v>
      </c>
      <c r="AE94">
        <v>1.2486755330435244E-4</v>
      </c>
      <c r="AG94" t="s">
        <v>97</v>
      </c>
      <c r="AH94" t="s">
        <v>1140</v>
      </c>
      <c r="AI94">
        <v>0</v>
      </c>
    </row>
    <row r="95" spans="5:35" x14ac:dyDescent="0.45">
      <c r="E95" t="s">
        <v>829</v>
      </c>
      <c r="G95" t="s">
        <v>149</v>
      </c>
      <c r="I95" t="s">
        <v>236</v>
      </c>
      <c r="J95" t="s">
        <v>1141</v>
      </c>
      <c r="K95">
        <v>2.2545781983539999E-4</v>
      </c>
      <c r="L95" t="s">
        <v>238</v>
      </c>
      <c r="N95" t="s">
        <v>346</v>
      </c>
      <c r="O95" t="s">
        <v>1141</v>
      </c>
      <c r="P95">
        <v>3.7152234959563301E-6</v>
      </c>
      <c r="Q95" t="s">
        <v>238</v>
      </c>
      <c r="S95" t="s">
        <v>347</v>
      </c>
      <c r="T95" t="s">
        <v>1141</v>
      </c>
      <c r="U95">
        <v>1.6505189848172907E-5</v>
      </c>
      <c r="V95" t="s">
        <v>238</v>
      </c>
      <c r="X95">
        <v>1.1415525114155251E-4</v>
      </c>
      <c r="Y95">
        <v>1.4253868019126702E-4</v>
      </c>
      <c r="Z95" t="s">
        <v>1141</v>
      </c>
      <c r="AA95" t="s">
        <v>25</v>
      </c>
      <c r="AC95" t="s">
        <v>22</v>
      </c>
      <c r="AD95" t="s">
        <v>1141</v>
      </c>
      <c r="AE95">
        <v>1.2486755330435244E-4</v>
      </c>
      <c r="AG95" t="s">
        <v>97</v>
      </c>
      <c r="AH95" t="s">
        <v>1141</v>
      </c>
      <c r="AI95">
        <v>0</v>
      </c>
    </row>
    <row r="96" spans="5:35" x14ac:dyDescent="0.45">
      <c r="E96" t="s">
        <v>830</v>
      </c>
      <c r="G96" t="s">
        <v>149</v>
      </c>
      <c r="I96" t="s">
        <v>236</v>
      </c>
      <c r="J96" t="s">
        <v>1142</v>
      </c>
      <c r="K96">
        <v>2.4178727157250001E-4</v>
      </c>
      <c r="L96" t="s">
        <v>238</v>
      </c>
      <c r="N96" t="s">
        <v>346</v>
      </c>
      <c r="O96" t="s">
        <v>1142</v>
      </c>
      <c r="P96">
        <v>5.5894347355254972E-6</v>
      </c>
      <c r="Q96" t="s">
        <v>238</v>
      </c>
      <c r="S96" t="s">
        <v>347</v>
      </c>
      <c r="T96" t="s">
        <v>1142</v>
      </c>
      <c r="U96">
        <v>2.1959120422591333E-5</v>
      </c>
      <c r="V96" t="s">
        <v>238</v>
      </c>
      <c r="X96">
        <v>1.1415525114155251E-4</v>
      </c>
      <c r="Y96">
        <v>1.4883690094390442E-4</v>
      </c>
      <c r="Z96" t="s">
        <v>1142</v>
      </c>
      <c r="AA96" t="s">
        <v>25</v>
      </c>
      <c r="AC96" t="s">
        <v>22</v>
      </c>
      <c r="AD96" t="s">
        <v>1142</v>
      </c>
      <c r="AE96">
        <v>1.2363505766405325E-4</v>
      </c>
      <c r="AG96" t="s">
        <v>97</v>
      </c>
      <c r="AH96" t="s">
        <v>1142</v>
      </c>
      <c r="AI96">
        <v>0</v>
      </c>
    </row>
    <row r="97" spans="5:35" x14ac:dyDescent="0.45">
      <c r="E97" t="s">
        <v>831</v>
      </c>
      <c r="G97" t="s">
        <v>149</v>
      </c>
      <c r="I97" t="s">
        <v>236</v>
      </c>
      <c r="J97" t="s">
        <v>1143</v>
      </c>
      <c r="K97">
        <v>2.5175593258459998E-4</v>
      </c>
      <c r="L97" t="s">
        <v>238</v>
      </c>
      <c r="N97" t="s">
        <v>346</v>
      </c>
      <c r="O97" t="s">
        <v>1143</v>
      </c>
      <c r="P97">
        <v>5.6249986564912864E-6</v>
      </c>
      <c r="Q97" t="s">
        <v>238</v>
      </c>
      <c r="S97" t="s">
        <v>347</v>
      </c>
      <c r="T97" t="s">
        <v>1143</v>
      </c>
      <c r="U97">
        <v>2.7235440643494768E-5</v>
      </c>
      <c r="V97" t="s">
        <v>238</v>
      </c>
      <c r="X97">
        <v>1.1415525114155251E-4</v>
      </c>
      <c r="Y97">
        <v>1.5049432745775637E-4</v>
      </c>
      <c r="Z97" t="s">
        <v>1143</v>
      </c>
      <c r="AA97" t="s">
        <v>25</v>
      </c>
      <c r="AC97" t="s">
        <v>22</v>
      </c>
      <c r="AD97" t="s">
        <v>1143</v>
      </c>
      <c r="AE97">
        <v>1.2231084141796437E-4</v>
      </c>
      <c r="AG97" t="s">
        <v>97</v>
      </c>
      <c r="AH97" t="s">
        <v>1143</v>
      </c>
      <c r="AI97">
        <v>0</v>
      </c>
    </row>
    <row r="98" spans="5:35" x14ac:dyDescent="0.45">
      <c r="E98" t="s">
        <v>832</v>
      </c>
      <c r="G98" t="s">
        <v>149</v>
      </c>
      <c r="I98" t="s">
        <v>236</v>
      </c>
      <c r="J98" t="s">
        <v>1144</v>
      </c>
      <c r="K98">
        <v>2.6185813061690001E-4</v>
      </c>
      <c r="L98" t="s">
        <v>238</v>
      </c>
      <c r="N98" t="s">
        <v>346</v>
      </c>
      <c r="O98" t="s">
        <v>1144</v>
      </c>
      <c r="P98">
        <v>6.1582700578264434E-6</v>
      </c>
      <c r="Q98" t="s">
        <v>238</v>
      </c>
      <c r="S98" t="s">
        <v>347</v>
      </c>
      <c r="T98" t="s">
        <v>1144</v>
      </c>
      <c r="U98">
        <v>2.8519802509484249E-5</v>
      </c>
      <c r="V98" t="s">
        <v>238</v>
      </c>
      <c r="X98">
        <v>1.1415525114155251E-4</v>
      </c>
      <c r="Y98">
        <v>1.7237235744060203E-4</v>
      </c>
      <c r="Z98" t="s">
        <v>1144</v>
      </c>
      <c r="AA98" t="s">
        <v>25</v>
      </c>
      <c r="AC98" t="s">
        <v>22</v>
      </c>
      <c r="AD98" t="s">
        <v>1144</v>
      </c>
      <c r="AE98">
        <v>1.2242835844413242E-4</v>
      </c>
      <c r="AG98" t="s">
        <v>97</v>
      </c>
      <c r="AH98" t="s">
        <v>1144</v>
      </c>
      <c r="AI98">
        <v>0</v>
      </c>
    </row>
    <row r="99" spans="5:35" x14ac:dyDescent="0.45">
      <c r="E99" t="s">
        <v>833</v>
      </c>
      <c r="G99" t="s">
        <v>149</v>
      </c>
      <c r="I99" t="s">
        <v>236</v>
      </c>
      <c r="J99" t="s">
        <v>1145</v>
      </c>
      <c r="K99">
        <v>2.067289968629E-4</v>
      </c>
      <c r="L99" t="s">
        <v>238</v>
      </c>
      <c r="N99" t="s">
        <v>346</v>
      </c>
      <c r="O99" t="s">
        <v>1145</v>
      </c>
      <c r="P99">
        <v>6.051749269298795E-6</v>
      </c>
      <c r="Q99" t="s">
        <v>238</v>
      </c>
      <c r="S99" t="s">
        <v>347</v>
      </c>
      <c r="T99" t="s">
        <v>1145</v>
      </c>
      <c r="U99">
        <v>2.4981911421165451E-5</v>
      </c>
      <c r="V99" t="s">
        <v>238</v>
      </c>
      <c r="X99">
        <v>1.1415525114155251E-4</v>
      </c>
      <c r="Y99">
        <v>2.2209515285616027E-4</v>
      </c>
      <c r="Z99" t="s">
        <v>1145</v>
      </c>
      <c r="AA99" t="s">
        <v>25</v>
      </c>
      <c r="AC99" t="s">
        <v>22</v>
      </c>
      <c r="AD99" t="s">
        <v>1145</v>
      </c>
      <c r="AE99">
        <v>1.2196115660839114E-4</v>
      </c>
      <c r="AG99" t="s">
        <v>97</v>
      </c>
      <c r="AH99" t="s">
        <v>1145</v>
      </c>
      <c r="AI99">
        <v>0</v>
      </c>
    </row>
    <row r="100" spans="5:35" x14ac:dyDescent="0.45">
      <c r="E100" t="s">
        <v>834</v>
      </c>
      <c r="G100" t="s">
        <v>149</v>
      </c>
      <c r="I100" t="s">
        <v>236</v>
      </c>
      <c r="J100" t="s">
        <v>1146</v>
      </c>
      <c r="K100">
        <v>1.3374129946650001E-4</v>
      </c>
      <c r="L100" t="s">
        <v>238</v>
      </c>
      <c r="N100" t="s">
        <v>346</v>
      </c>
      <c r="O100" t="s">
        <v>1146</v>
      </c>
      <c r="P100">
        <v>6.7348259381661575E-6</v>
      </c>
      <c r="Q100" t="s">
        <v>238</v>
      </c>
      <c r="S100" t="s">
        <v>347</v>
      </c>
      <c r="T100" t="s">
        <v>1146</v>
      </c>
      <c r="U100">
        <v>2.3647813788216897E-5</v>
      </c>
      <c r="V100" t="s">
        <v>238</v>
      </c>
      <c r="X100">
        <v>1.1415525114155251E-4</v>
      </c>
      <c r="Y100">
        <v>2.2209515285616027E-4</v>
      </c>
      <c r="Z100" t="s">
        <v>1146</v>
      </c>
      <c r="AA100" t="s">
        <v>25</v>
      </c>
      <c r="AC100" t="s">
        <v>22</v>
      </c>
      <c r="AD100" t="s">
        <v>1146</v>
      </c>
      <c r="AE100">
        <v>1.2220192319858911E-4</v>
      </c>
      <c r="AG100" t="s">
        <v>97</v>
      </c>
      <c r="AH100" t="s">
        <v>1146</v>
      </c>
      <c r="AI100">
        <v>0</v>
      </c>
    </row>
    <row r="101" spans="5:35" x14ac:dyDescent="0.45">
      <c r="E101" t="s">
        <v>835</v>
      </c>
      <c r="G101" t="s">
        <v>149</v>
      </c>
      <c r="I101" t="s">
        <v>236</v>
      </c>
      <c r="J101" t="s">
        <v>1147</v>
      </c>
      <c r="K101">
        <v>4.9333313181364201E-5</v>
      </c>
      <c r="L101" t="s">
        <v>238</v>
      </c>
      <c r="N101" t="s">
        <v>346</v>
      </c>
      <c r="O101" t="s">
        <v>1147</v>
      </c>
      <c r="P101">
        <v>6.4293255151790483E-6</v>
      </c>
      <c r="Q101" t="s">
        <v>238</v>
      </c>
      <c r="S101" t="s">
        <v>347</v>
      </c>
      <c r="T101" t="s">
        <v>1147</v>
      </c>
      <c r="U101">
        <v>2.202802542264274E-5</v>
      </c>
      <c r="V101" t="s">
        <v>238</v>
      </c>
      <c r="X101">
        <v>1.1415525114155251E-4</v>
      </c>
      <c r="Y101">
        <v>1.7237235744060203E-4</v>
      </c>
      <c r="Z101" t="s">
        <v>1147</v>
      </c>
      <c r="AA101" t="s">
        <v>25</v>
      </c>
      <c r="AC101" t="s">
        <v>22</v>
      </c>
      <c r="AD101" t="s">
        <v>1147</v>
      </c>
      <c r="AE101">
        <v>1.2187516854046328E-4</v>
      </c>
      <c r="AG101" t="s">
        <v>97</v>
      </c>
      <c r="AH101" t="s">
        <v>1147</v>
      </c>
      <c r="AI101">
        <v>0</v>
      </c>
    </row>
    <row r="102" spans="5:35" x14ac:dyDescent="0.45">
      <c r="E102" t="s">
        <v>836</v>
      </c>
      <c r="G102" t="s">
        <v>149</v>
      </c>
      <c r="I102" t="s">
        <v>236</v>
      </c>
      <c r="J102" t="s">
        <v>1148</v>
      </c>
      <c r="K102">
        <v>0</v>
      </c>
      <c r="L102" t="s">
        <v>238</v>
      </c>
      <c r="N102" t="s">
        <v>346</v>
      </c>
      <c r="O102" t="s">
        <v>1148</v>
      </c>
      <c r="P102">
        <v>6.1143166421162232E-6</v>
      </c>
      <c r="Q102" t="s">
        <v>238</v>
      </c>
      <c r="S102" t="s">
        <v>347</v>
      </c>
      <c r="T102" t="s">
        <v>1148</v>
      </c>
      <c r="U102">
        <v>1.7686689135513607E-5</v>
      </c>
      <c r="V102" t="s">
        <v>238</v>
      </c>
      <c r="X102">
        <v>1.1415525114155251E-4</v>
      </c>
      <c r="Y102">
        <v>1.5579809230208258E-4</v>
      </c>
      <c r="Z102" t="s">
        <v>1148</v>
      </c>
      <c r="AA102" t="s">
        <v>25</v>
      </c>
      <c r="AC102" t="s">
        <v>22</v>
      </c>
      <c r="AD102" t="s">
        <v>1148</v>
      </c>
      <c r="AE102">
        <v>1.2136210640182711E-4</v>
      </c>
      <c r="AG102" t="s">
        <v>97</v>
      </c>
      <c r="AH102" t="s">
        <v>1148</v>
      </c>
      <c r="AI102">
        <v>0</v>
      </c>
    </row>
    <row r="103" spans="5:35" x14ac:dyDescent="0.45">
      <c r="E103" t="s">
        <v>837</v>
      </c>
      <c r="G103" t="s">
        <v>149</v>
      </c>
      <c r="I103" t="s">
        <v>236</v>
      </c>
      <c r="J103" t="s">
        <v>1149</v>
      </c>
      <c r="K103">
        <v>0</v>
      </c>
      <c r="L103" t="s">
        <v>238</v>
      </c>
      <c r="N103" t="s">
        <v>346</v>
      </c>
      <c r="O103" t="s">
        <v>1149</v>
      </c>
      <c r="P103">
        <v>5.3101037874782311E-6</v>
      </c>
      <c r="Q103" t="s">
        <v>238</v>
      </c>
      <c r="S103" t="s">
        <v>347</v>
      </c>
      <c r="T103" t="s">
        <v>1149</v>
      </c>
      <c r="U103">
        <v>1.1974333991471132E-5</v>
      </c>
      <c r="V103" t="s">
        <v>238</v>
      </c>
      <c r="X103">
        <v>1.1415525114155251E-4</v>
      </c>
      <c r="Y103">
        <v>1.093901499142282E-4</v>
      </c>
      <c r="Z103" t="s">
        <v>1149</v>
      </c>
      <c r="AA103" t="s">
        <v>25</v>
      </c>
      <c r="AC103" t="s">
        <v>22</v>
      </c>
      <c r="AD103" t="s">
        <v>1149</v>
      </c>
      <c r="AE103">
        <v>1.1251393421205137E-4</v>
      </c>
      <c r="AG103" t="s">
        <v>97</v>
      </c>
      <c r="AH103" t="s">
        <v>1149</v>
      </c>
      <c r="AI103">
        <v>0</v>
      </c>
    </row>
    <row r="104" spans="5:35" x14ac:dyDescent="0.45">
      <c r="E104" t="s">
        <v>838</v>
      </c>
      <c r="G104" t="s">
        <v>149</v>
      </c>
      <c r="I104" t="s">
        <v>236</v>
      </c>
      <c r="J104" t="s">
        <v>1150</v>
      </c>
      <c r="K104">
        <v>0</v>
      </c>
      <c r="L104" t="s">
        <v>238</v>
      </c>
      <c r="N104" t="s">
        <v>346</v>
      </c>
      <c r="O104" t="s">
        <v>1150</v>
      </c>
      <c r="P104">
        <v>3.6924842212190343E-6</v>
      </c>
      <c r="Q104" t="s">
        <v>238</v>
      </c>
      <c r="S104" t="s">
        <v>347</v>
      </c>
      <c r="T104" t="s">
        <v>1150</v>
      </c>
      <c r="U104">
        <v>6.5307745151188652E-6</v>
      </c>
      <c r="V104" t="s">
        <v>238</v>
      </c>
      <c r="X104">
        <v>1.1415525114155251E-4</v>
      </c>
      <c r="Y104">
        <v>7.9556472664893237E-5</v>
      </c>
      <c r="Z104" t="s">
        <v>1150</v>
      </c>
      <c r="AA104" t="s">
        <v>25</v>
      </c>
      <c r="AC104" t="s">
        <v>22</v>
      </c>
      <c r="AD104" t="s">
        <v>1150</v>
      </c>
      <c r="AE104">
        <v>1.0280874761192809E-4</v>
      </c>
      <c r="AG104" t="s">
        <v>97</v>
      </c>
      <c r="AH104" t="s">
        <v>1150</v>
      </c>
      <c r="AI104">
        <v>0</v>
      </c>
    </row>
    <row r="105" spans="5:35" x14ac:dyDescent="0.45">
      <c r="E105" t="s">
        <v>839</v>
      </c>
      <c r="G105" t="s">
        <v>149</v>
      </c>
      <c r="I105" t="s">
        <v>236</v>
      </c>
      <c r="J105" t="s">
        <v>1151</v>
      </c>
      <c r="K105">
        <v>0</v>
      </c>
      <c r="L105" t="s">
        <v>238</v>
      </c>
      <c r="N105" t="s">
        <v>346</v>
      </c>
      <c r="O105" t="s">
        <v>1151</v>
      </c>
      <c r="P105">
        <v>8.997019810905912E-6</v>
      </c>
      <c r="Q105" t="s">
        <v>238</v>
      </c>
      <c r="S105" t="s">
        <v>347</v>
      </c>
      <c r="T105" t="s">
        <v>1151</v>
      </c>
      <c r="U105">
        <v>1.2101363509267898E-5</v>
      </c>
      <c r="V105" t="s">
        <v>238</v>
      </c>
      <c r="X105">
        <v>1.1415525114155251E-4</v>
      </c>
      <c r="Y105">
        <v>5.6352501470966035E-5</v>
      </c>
      <c r="Z105" t="s">
        <v>1151</v>
      </c>
      <c r="AA105" t="s">
        <v>25</v>
      </c>
      <c r="AC105" t="s">
        <v>22</v>
      </c>
      <c r="AD105" t="s">
        <v>1151</v>
      </c>
      <c r="AE105">
        <v>8.6906687583137776E-5</v>
      </c>
      <c r="AG105" t="s">
        <v>97</v>
      </c>
      <c r="AH105" t="s">
        <v>1151</v>
      </c>
      <c r="AI105">
        <v>0</v>
      </c>
    </row>
    <row r="106" spans="5:35" x14ac:dyDescent="0.45">
      <c r="E106" t="s">
        <v>840</v>
      </c>
      <c r="G106" t="s">
        <v>149</v>
      </c>
      <c r="I106" t="s">
        <v>236</v>
      </c>
      <c r="J106" t="s">
        <v>1152</v>
      </c>
      <c r="K106">
        <v>0</v>
      </c>
      <c r="L106" t="s">
        <v>238</v>
      </c>
      <c r="N106" t="s">
        <v>346</v>
      </c>
      <c r="O106" t="s">
        <v>1152</v>
      </c>
      <c r="P106">
        <v>8.7578827098533106E-6</v>
      </c>
      <c r="Q106" t="s">
        <v>238</v>
      </c>
      <c r="S106" t="s">
        <v>347</v>
      </c>
      <c r="T106" t="s">
        <v>1152</v>
      </c>
      <c r="U106">
        <v>1.3066268979345072E-5</v>
      </c>
      <c r="V106" t="s">
        <v>238</v>
      </c>
      <c r="X106">
        <v>1.1415525114155251E-4</v>
      </c>
      <c r="Y106">
        <v>2.9833677249334962E-5</v>
      </c>
      <c r="Z106" t="s">
        <v>1152</v>
      </c>
      <c r="AA106" t="s">
        <v>25</v>
      </c>
      <c r="AC106" t="s">
        <v>22</v>
      </c>
      <c r="AD106" t="s">
        <v>1152</v>
      </c>
      <c r="AE106">
        <v>7.4624725214109924E-5</v>
      </c>
      <c r="AG106" t="s">
        <v>97</v>
      </c>
      <c r="AH106" t="s">
        <v>1152</v>
      </c>
      <c r="AI106">
        <v>0</v>
      </c>
    </row>
    <row r="107" spans="5:35" x14ac:dyDescent="0.45">
      <c r="E107" t="s">
        <v>841</v>
      </c>
      <c r="G107" t="s">
        <v>149</v>
      </c>
      <c r="I107" t="s">
        <v>236</v>
      </c>
      <c r="J107" t="s">
        <v>1153</v>
      </c>
      <c r="K107">
        <v>0</v>
      </c>
      <c r="L107" t="s">
        <v>238</v>
      </c>
      <c r="N107" t="s">
        <v>346</v>
      </c>
      <c r="O107" t="s">
        <v>1153</v>
      </c>
      <c r="P107">
        <v>1.0915547836680988E-5</v>
      </c>
      <c r="Q107" t="s">
        <v>238</v>
      </c>
      <c r="S107" t="s">
        <v>347</v>
      </c>
      <c r="T107" t="s">
        <v>1153</v>
      </c>
      <c r="U107">
        <v>1.3458033219619705E-5</v>
      </c>
      <c r="V107" t="s">
        <v>238</v>
      </c>
      <c r="X107">
        <v>1.1415525114155251E-4</v>
      </c>
      <c r="Y107">
        <v>2.1546544680075254E-5</v>
      </c>
      <c r="Z107" t="s">
        <v>1153</v>
      </c>
      <c r="AA107" t="s">
        <v>25</v>
      </c>
      <c r="AC107" t="s">
        <v>22</v>
      </c>
      <c r="AD107" t="s">
        <v>1153</v>
      </c>
      <c r="AE107">
        <v>6.6986118513185958E-5</v>
      </c>
      <c r="AG107" t="s">
        <v>97</v>
      </c>
      <c r="AH107" t="s">
        <v>1153</v>
      </c>
      <c r="AI107">
        <v>0</v>
      </c>
    </row>
    <row r="108" spans="5:35" x14ac:dyDescent="0.45">
      <c r="E108" t="s">
        <v>842</v>
      </c>
      <c r="G108" t="s">
        <v>149</v>
      </c>
      <c r="I108" t="s">
        <v>236</v>
      </c>
      <c r="J108" t="s">
        <v>1154</v>
      </c>
      <c r="K108">
        <v>0</v>
      </c>
      <c r="L108" t="s">
        <v>238</v>
      </c>
      <c r="N108" t="s">
        <v>346</v>
      </c>
      <c r="O108" t="s">
        <v>1154</v>
      </c>
      <c r="P108">
        <v>1.2496168645358876E-5</v>
      </c>
      <c r="Q108" t="s">
        <v>238</v>
      </c>
      <c r="S108" t="s">
        <v>347</v>
      </c>
      <c r="T108" t="s">
        <v>1154</v>
      </c>
      <c r="U108">
        <v>1.2644403851873736E-5</v>
      </c>
      <c r="V108" t="s">
        <v>238</v>
      </c>
      <c r="X108">
        <v>1.1415525114155251E-4</v>
      </c>
      <c r="Y108">
        <v>1.4916838624667481E-5</v>
      </c>
      <c r="Z108" t="s">
        <v>1154</v>
      </c>
      <c r="AA108" t="s">
        <v>25</v>
      </c>
      <c r="AC108" t="s">
        <v>22</v>
      </c>
      <c r="AD108" t="s">
        <v>1154</v>
      </c>
      <c r="AE108">
        <v>6.5713495107853789E-5</v>
      </c>
      <c r="AG108" t="s">
        <v>97</v>
      </c>
      <c r="AH108" t="s">
        <v>1154</v>
      </c>
      <c r="AI108">
        <v>0</v>
      </c>
    </row>
    <row r="109" spans="5:35" x14ac:dyDescent="0.45">
      <c r="E109" t="s">
        <v>843</v>
      </c>
      <c r="G109" t="s">
        <v>149</v>
      </c>
      <c r="I109" t="s">
        <v>236</v>
      </c>
      <c r="J109" t="s">
        <v>1155</v>
      </c>
      <c r="K109">
        <v>0</v>
      </c>
      <c r="L109" t="s">
        <v>238</v>
      </c>
      <c r="N109" t="s">
        <v>346</v>
      </c>
      <c r="O109" t="s">
        <v>1155</v>
      </c>
      <c r="P109">
        <v>1.2443946932921668E-5</v>
      </c>
      <c r="Q109" t="s">
        <v>238</v>
      </c>
      <c r="S109" t="s">
        <v>347</v>
      </c>
      <c r="T109" t="s">
        <v>1155</v>
      </c>
      <c r="U109">
        <v>1.2356750700349888E-5</v>
      </c>
      <c r="V109" t="s">
        <v>238</v>
      </c>
      <c r="X109">
        <v>1.1415525114155251E-4</v>
      </c>
      <c r="Y109">
        <v>1.6574265138519424E-5</v>
      </c>
      <c r="Z109" t="s">
        <v>1155</v>
      </c>
      <c r="AA109" t="s">
        <v>25</v>
      </c>
      <c r="AC109" t="s">
        <v>22</v>
      </c>
      <c r="AD109" t="s">
        <v>1155</v>
      </c>
      <c r="AE109">
        <v>6.5713495107853789E-5</v>
      </c>
      <c r="AG109" t="s">
        <v>97</v>
      </c>
      <c r="AH109" t="s">
        <v>1155</v>
      </c>
      <c r="AI109">
        <v>0</v>
      </c>
    </row>
    <row r="110" spans="5:35" x14ac:dyDescent="0.45">
      <c r="E110" t="s">
        <v>844</v>
      </c>
      <c r="G110" t="s">
        <v>149</v>
      </c>
      <c r="I110" t="s">
        <v>236</v>
      </c>
      <c r="J110" t="s">
        <v>1156</v>
      </c>
      <c r="K110">
        <v>0</v>
      </c>
      <c r="L110" t="s">
        <v>238</v>
      </c>
      <c r="N110" t="s">
        <v>346</v>
      </c>
      <c r="O110" t="s">
        <v>1156</v>
      </c>
      <c r="P110">
        <v>1.4766194386076651E-5</v>
      </c>
      <c r="Q110" t="s">
        <v>238</v>
      </c>
      <c r="S110" t="s">
        <v>347</v>
      </c>
      <c r="T110" t="s">
        <v>1156</v>
      </c>
      <c r="U110">
        <v>1.0714263864816144E-5</v>
      </c>
      <c r="V110" t="s">
        <v>238</v>
      </c>
      <c r="X110">
        <v>1.1415525114155251E-4</v>
      </c>
      <c r="Y110">
        <v>1.4585353321897093E-5</v>
      </c>
      <c r="Z110" t="s">
        <v>1156</v>
      </c>
      <c r="AA110" t="s">
        <v>25</v>
      </c>
      <c r="AC110" t="s">
        <v>22</v>
      </c>
      <c r="AD110" t="s">
        <v>1156</v>
      </c>
      <c r="AE110">
        <v>6.645872502989515E-5</v>
      </c>
      <c r="AG110" t="s">
        <v>97</v>
      </c>
      <c r="AH110" t="s">
        <v>1156</v>
      </c>
      <c r="AI110">
        <v>0</v>
      </c>
    </row>
    <row r="111" spans="5:35" x14ac:dyDescent="0.45">
      <c r="E111" t="s">
        <v>845</v>
      </c>
      <c r="G111" t="s">
        <v>149</v>
      </c>
      <c r="I111" t="s">
        <v>236</v>
      </c>
      <c r="J111" t="s">
        <v>1157</v>
      </c>
      <c r="K111">
        <v>0</v>
      </c>
      <c r="L111" t="s">
        <v>238</v>
      </c>
      <c r="N111" t="s">
        <v>346</v>
      </c>
      <c r="O111" t="s">
        <v>1157</v>
      </c>
      <c r="P111">
        <v>1.4846707249133597E-5</v>
      </c>
      <c r="Q111" t="s">
        <v>238</v>
      </c>
      <c r="S111" t="s">
        <v>347</v>
      </c>
      <c r="T111" t="s">
        <v>1157</v>
      </c>
      <c r="U111">
        <v>1.0101857170938575E-5</v>
      </c>
      <c r="V111" t="s">
        <v>238</v>
      </c>
      <c r="X111">
        <v>1.1415525114155251E-4</v>
      </c>
      <c r="Y111">
        <v>2.1215059377304864E-5</v>
      </c>
      <c r="Z111" t="s">
        <v>1157</v>
      </c>
      <c r="AA111" t="s">
        <v>25</v>
      </c>
      <c r="AC111" t="s">
        <v>22</v>
      </c>
      <c r="AD111" t="s">
        <v>1157</v>
      </c>
      <c r="AE111">
        <v>7.5776965324343112E-5</v>
      </c>
      <c r="AG111" t="s">
        <v>97</v>
      </c>
      <c r="AH111" t="s">
        <v>1157</v>
      </c>
      <c r="AI111">
        <v>0</v>
      </c>
    </row>
    <row r="112" spans="5:35" x14ac:dyDescent="0.45">
      <c r="E112" t="s">
        <v>846</v>
      </c>
      <c r="G112" t="s">
        <v>149</v>
      </c>
      <c r="I112" t="s">
        <v>236</v>
      </c>
      <c r="J112" t="s">
        <v>1158</v>
      </c>
      <c r="K112">
        <v>0</v>
      </c>
      <c r="L112" t="s">
        <v>238</v>
      </c>
      <c r="N112" t="s">
        <v>346</v>
      </c>
      <c r="O112" t="s">
        <v>1158</v>
      </c>
      <c r="P112">
        <v>1.3041080954522389E-5</v>
      </c>
      <c r="Q112" t="s">
        <v>238</v>
      </c>
      <c r="S112" t="s">
        <v>347</v>
      </c>
      <c r="T112" t="s">
        <v>1158</v>
      </c>
      <c r="U112">
        <v>1.0809424454259224E-5</v>
      </c>
      <c r="V112" t="s">
        <v>238</v>
      </c>
      <c r="X112">
        <v>1.1415525114155251E-4</v>
      </c>
      <c r="Y112">
        <v>5.7678442682047593E-5</v>
      </c>
      <c r="Z112" t="s">
        <v>1158</v>
      </c>
      <c r="AA112" t="s">
        <v>25</v>
      </c>
      <c r="AC112" t="s">
        <v>22</v>
      </c>
      <c r="AD112" t="s">
        <v>1158</v>
      </c>
      <c r="AE112">
        <v>9.5809318882601115E-5</v>
      </c>
      <c r="AG112" t="s">
        <v>97</v>
      </c>
      <c r="AH112" t="s">
        <v>1158</v>
      </c>
      <c r="AI112">
        <v>0</v>
      </c>
    </row>
    <row r="113" spans="5:35" x14ac:dyDescent="0.45">
      <c r="E113" t="s">
        <v>847</v>
      </c>
      <c r="G113" t="s">
        <v>149</v>
      </c>
      <c r="I113" t="s">
        <v>236</v>
      </c>
      <c r="J113" t="s">
        <v>1159</v>
      </c>
      <c r="K113">
        <v>2.7639353748378491E-5</v>
      </c>
      <c r="L113" t="s">
        <v>238</v>
      </c>
      <c r="N113" t="s">
        <v>346</v>
      </c>
      <c r="O113" t="s">
        <v>1159</v>
      </c>
      <c r="P113">
        <v>1.1861378702202491E-5</v>
      </c>
      <c r="Q113" t="s">
        <v>238</v>
      </c>
      <c r="S113" t="s">
        <v>347</v>
      </c>
      <c r="T113" t="s">
        <v>1159</v>
      </c>
      <c r="U113">
        <v>9.4399114296684275E-6</v>
      </c>
      <c r="V113" t="s">
        <v>238</v>
      </c>
      <c r="X113">
        <v>1.1415525114155251E-4</v>
      </c>
      <c r="Y113">
        <v>1.6905750441289813E-4</v>
      </c>
      <c r="Z113" t="s">
        <v>1159</v>
      </c>
      <c r="AA113" t="s">
        <v>25</v>
      </c>
      <c r="AC113" t="s">
        <v>22</v>
      </c>
      <c r="AD113" t="s">
        <v>1159</v>
      </c>
      <c r="AE113">
        <v>1.1174004160070075E-4</v>
      </c>
      <c r="AG113" t="s">
        <v>97</v>
      </c>
      <c r="AH113" t="s">
        <v>1159</v>
      </c>
      <c r="AI113">
        <v>0</v>
      </c>
    </row>
    <row r="114" spans="5:35" x14ac:dyDescent="0.45">
      <c r="E114" t="s">
        <v>848</v>
      </c>
      <c r="G114" t="s">
        <v>149</v>
      </c>
      <c r="I114" t="s">
        <v>236</v>
      </c>
      <c r="J114" t="s">
        <v>1160</v>
      </c>
      <c r="K114">
        <v>7.472349767863048E-5</v>
      </c>
      <c r="L114" t="s">
        <v>238</v>
      </c>
      <c r="N114" t="s">
        <v>346</v>
      </c>
      <c r="O114" t="s">
        <v>1160</v>
      </c>
      <c r="P114">
        <v>7.9621303059179767E-6</v>
      </c>
      <c r="Q114" t="s">
        <v>238</v>
      </c>
      <c r="S114" t="s">
        <v>347</v>
      </c>
      <c r="T114" t="s">
        <v>1160</v>
      </c>
      <c r="U114">
        <v>5.4100225431145587E-6</v>
      </c>
      <c r="V114" t="s">
        <v>238</v>
      </c>
      <c r="X114">
        <v>1.1415525114155251E-4</v>
      </c>
      <c r="Y114">
        <v>1.9060404909297337E-4</v>
      </c>
      <c r="Z114" t="s">
        <v>1160</v>
      </c>
      <c r="AA114" t="s">
        <v>25</v>
      </c>
      <c r="AC114" t="s">
        <v>22</v>
      </c>
      <c r="AD114" t="s">
        <v>1160</v>
      </c>
      <c r="AE114">
        <v>1.2127038579603741E-4</v>
      </c>
      <c r="AG114" t="s">
        <v>97</v>
      </c>
      <c r="AH114" t="s">
        <v>1160</v>
      </c>
      <c r="AI114">
        <v>0</v>
      </c>
    </row>
    <row r="115" spans="5:35" x14ac:dyDescent="0.45">
      <c r="E115" t="s">
        <v>849</v>
      </c>
      <c r="G115" t="s">
        <v>149</v>
      </c>
      <c r="I115" t="s">
        <v>236</v>
      </c>
      <c r="J115" t="s">
        <v>1161</v>
      </c>
      <c r="K115">
        <v>1.177609920128E-4</v>
      </c>
      <c r="L115" t="s">
        <v>238</v>
      </c>
      <c r="N115" t="s">
        <v>346</v>
      </c>
      <c r="O115" t="s">
        <v>1161</v>
      </c>
      <c r="P115">
        <v>2.4112170351464371E-6</v>
      </c>
      <c r="Q115" t="s">
        <v>238</v>
      </c>
      <c r="S115" t="s">
        <v>347</v>
      </c>
      <c r="T115" t="s">
        <v>1161</v>
      </c>
      <c r="U115">
        <v>2.7103283796232424E-6</v>
      </c>
      <c r="V115" t="s">
        <v>238</v>
      </c>
      <c r="X115">
        <v>1.1415525114155251E-4</v>
      </c>
      <c r="Y115">
        <v>1.4585353321897094E-4</v>
      </c>
      <c r="Z115" t="s">
        <v>1161</v>
      </c>
      <c r="AA115" t="s">
        <v>25</v>
      </c>
      <c r="AC115" t="s">
        <v>22</v>
      </c>
      <c r="AD115" t="s">
        <v>1161</v>
      </c>
      <c r="AE115">
        <v>1.2575609667294025E-4</v>
      </c>
      <c r="AG115" t="s">
        <v>97</v>
      </c>
      <c r="AH115" t="s">
        <v>1161</v>
      </c>
      <c r="AI115">
        <v>0</v>
      </c>
    </row>
    <row r="116" spans="5:35" x14ac:dyDescent="0.45">
      <c r="E116" t="s">
        <v>850</v>
      </c>
      <c r="G116" t="s">
        <v>149</v>
      </c>
      <c r="I116" t="s">
        <v>236</v>
      </c>
      <c r="J116" t="s">
        <v>1162</v>
      </c>
      <c r="K116">
        <v>1.6628309580149999E-4</v>
      </c>
      <c r="L116" t="s">
        <v>238</v>
      </c>
      <c r="N116" t="s">
        <v>346</v>
      </c>
      <c r="O116" t="s">
        <v>1162</v>
      </c>
      <c r="P116">
        <v>2.344530747911598E-6</v>
      </c>
      <c r="Q116" t="s">
        <v>238</v>
      </c>
      <c r="S116" t="s">
        <v>347</v>
      </c>
      <c r="T116" t="s">
        <v>1162</v>
      </c>
      <c r="U116">
        <v>2.0630206097635732E-6</v>
      </c>
      <c r="V116" t="s">
        <v>238</v>
      </c>
      <c r="X116">
        <v>1.1415525114155251E-4</v>
      </c>
      <c r="Y116">
        <v>1.4452759200788939E-4</v>
      </c>
      <c r="Z116" t="s">
        <v>1162</v>
      </c>
      <c r="AA116" t="s">
        <v>25</v>
      </c>
      <c r="AC116" t="s">
        <v>22</v>
      </c>
      <c r="AD116" t="s">
        <v>1162</v>
      </c>
      <c r="AE116">
        <v>1.2480449538787201E-4</v>
      </c>
      <c r="AG116" t="s">
        <v>97</v>
      </c>
      <c r="AH116" t="s">
        <v>1162</v>
      </c>
      <c r="AI116">
        <v>0</v>
      </c>
    </row>
    <row r="117" spans="5:35" x14ac:dyDescent="0.45">
      <c r="E117" t="s">
        <v>851</v>
      </c>
      <c r="G117" t="s">
        <v>149</v>
      </c>
      <c r="I117" t="s">
        <v>236</v>
      </c>
      <c r="J117" t="s">
        <v>1163</v>
      </c>
      <c r="K117">
        <v>2.0154538059960001E-4</v>
      </c>
      <c r="L117" t="s">
        <v>238</v>
      </c>
      <c r="N117" t="s">
        <v>346</v>
      </c>
      <c r="O117" t="s">
        <v>1163</v>
      </c>
      <c r="P117">
        <v>2.239821427587968E-6</v>
      </c>
      <c r="Q117" t="s">
        <v>238</v>
      </c>
      <c r="S117" t="s">
        <v>347</v>
      </c>
      <c r="T117" t="s">
        <v>1163</v>
      </c>
      <c r="U117">
        <v>1.8707037815996199E-6</v>
      </c>
      <c r="V117" t="s">
        <v>238</v>
      </c>
      <c r="X117">
        <v>1.1415525114155251E-4</v>
      </c>
      <c r="Y117">
        <v>1.408812536774151E-4</v>
      </c>
      <c r="Z117" t="s">
        <v>1163</v>
      </c>
      <c r="AA117" t="s">
        <v>25</v>
      </c>
      <c r="AC117" t="s">
        <v>22</v>
      </c>
      <c r="AD117" t="s">
        <v>1163</v>
      </c>
      <c r="AE117">
        <v>1.2459812402484518E-4</v>
      </c>
      <c r="AG117" t="s">
        <v>97</v>
      </c>
      <c r="AH117" t="s">
        <v>1163</v>
      </c>
      <c r="AI117">
        <v>0</v>
      </c>
    </row>
    <row r="118" spans="5:35" x14ac:dyDescent="0.45">
      <c r="E118" t="s">
        <v>852</v>
      </c>
      <c r="G118" t="s">
        <v>149</v>
      </c>
      <c r="I118" t="s">
        <v>236</v>
      </c>
      <c r="J118" t="s">
        <v>1164</v>
      </c>
      <c r="K118">
        <v>2.3828826552319999E-4</v>
      </c>
      <c r="L118" t="s">
        <v>238</v>
      </c>
      <c r="N118" t="s">
        <v>346</v>
      </c>
      <c r="O118" t="s">
        <v>1164</v>
      </c>
      <c r="P118">
        <v>4.2049325399276126E-6</v>
      </c>
      <c r="Q118" t="s">
        <v>238</v>
      </c>
      <c r="S118" t="s">
        <v>347</v>
      </c>
      <c r="T118" t="s">
        <v>1164</v>
      </c>
      <c r="U118">
        <v>2.9067166570841881E-6</v>
      </c>
      <c r="V118" t="s">
        <v>238</v>
      </c>
      <c r="X118">
        <v>1.1415525114155251E-4</v>
      </c>
      <c r="Y118">
        <v>1.4054976837464471E-4</v>
      </c>
      <c r="Z118" t="s">
        <v>1164</v>
      </c>
      <c r="AA118" t="s">
        <v>25</v>
      </c>
      <c r="AC118" t="s">
        <v>22</v>
      </c>
      <c r="AD118" t="s">
        <v>1164</v>
      </c>
      <c r="AE118">
        <v>1.2481882673252666E-4</v>
      </c>
      <c r="AG118" t="s">
        <v>97</v>
      </c>
      <c r="AH118" t="s">
        <v>1164</v>
      </c>
      <c r="AI118">
        <v>0</v>
      </c>
    </row>
    <row r="119" spans="5:35" x14ac:dyDescent="0.45">
      <c r="E119" t="s">
        <v>853</v>
      </c>
      <c r="G119" t="s">
        <v>149</v>
      </c>
      <c r="I119" t="s">
        <v>236</v>
      </c>
      <c r="J119" t="s">
        <v>1165</v>
      </c>
      <c r="K119">
        <v>2.4958082457069997E-4</v>
      </c>
      <c r="L119" t="s">
        <v>238</v>
      </c>
      <c r="N119" t="s">
        <v>346</v>
      </c>
      <c r="O119" t="s">
        <v>1165</v>
      </c>
      <c r="P119">
        <v>7.7563961021771862E-6</v>
      </c>
      <c r="Q119" t="s">
        <v>238</v>
      </c>
      <c r="S119" t="s">
        <v>347</v>
      </c>
      <c r="T119" t="s">
        <v>1165</v>
      </c>
      <c r="U119">
        <v>5.0319663505503965E-6</v>
      </c>
      <c r="V119" t="s">
        <v>238</v>
      </c>
      <c r="X119">
        <v>1.1415525114155251E-4</v>
      </c>
      <c r="Y119">
        <v>1.4253868019126702E-4</v>
      </c>
      <c r="Z119" t="s">
        <v>1165</v>
      </c>
      <c r="AA119" t="s">
        <v>25</v>
      </c>
      <c r="AC119" t="s">
        <v>22</v>
      </c>
      <c r="AD119" t="s">
        <v>1165</v>
      </c>
      <c r="AE119">
        <v>1.2481882673252663E-4</v>
      </c>
      <c r="AG119" t="s">
        <v>97</v>
      </c>
      <c r="AH119" t="s">
        <v>1165</v>
      </c>
      <c r="AI119">
        <v>0</v>
      </c>
    </row>
    <row r="120" spans="5:35" x14ac:dyDescent="0.45">
      <c r="E120" t="s">
        <v>854</v>
      </c>
      <c r="G120" t="s">
        <v>149</v>
      </c>
      <c r="I120" t="s">
        <v>236</v>
      </c>
      <c r="J120" t="s">
        <v>1166</v>
      </c>
      <c r="K120">
        <v>2.7213044955760001E-4</v>
      </c>
      <c r="L120" t="s">
        <v>238</v>
      </c>
      <c r="N120" t="s">
        <v>346</v>
      </c>
      <c r="O120" t="s">
        <v>1166</v>
      </c>
      <c r="P120">
        <v>1.2118474134766042E-5</v>
      </c>
      <c r="Q120" t="s">
        <v>238</v>
      </c>
      <c r="S120" t="s">
        <v>347</v>
      </c>
      <c r="T120" t="s">
        <v>1166</v>
      </c>
      <c r="U120">
        <v>9.1599442701671578E-6</v>
      </c>
      <c r="V120" t="s">
        <v>238</v>
      </c>
      <c r="X120">
        <v>1.1415525114155251E-4</v>
      </c>
      <c r="Y120">
        <v>1.4883690094390442E-4</v>
      </c>
      <c r="Z120" t="s">
        <v>1166</v>
      </c>
      <c r="AA120" t="s">
        <v>25</v>
      </c>
      <c r="AC120" t="s">
        <v>22</v>
      </c>
      <c r="AD120" t="s">
        <v>1166</v>
      </c>
      <c r="AE120">
        <v>1.2358059855436564E-4</v>
      </c>
      <c r="AG120" t="s">
        <v>97</v>
      </c>
      <c r="AH120" t="s">
        <v>1166</v>
      </c>
      <c r="AI120">
        <v>0</v>
      </c>
    </row>
    <row r="121" spans="5:35" x14ac:dyDescent="0.45">
      <c r="E121" t="s">
        <v>855</v>
      </c>
      <c r="G121" t="s">
        <v>149</v>
      </c>
      <c r="I121" t="s">
        <v>236</v>
      </c>
      <c r="J121" t="s">
        <v>1167</v>
      </c>
      <c r="K121">
        <v>2.6541357009399999E-4</v>
      </c>
      <c r="L121" t="s">
        <v>238</v>
      </c>
      <c r="N121" t="s">
        <v>346</v>
      </c>
      <c r="O121" t="s">
        <v>1167</v>
      </c>
      <c r="P121">
        <v>1.3882922123757682E-5</v>
      </c>
      <c r="Q121" t="s">
        <v>238</v>
      </c>
      <c r="S121" t="s">
        <v>347</v>
      </c>
      <c r="T121" t="s">
        <v>1167</v>
      </c>
      <c r="U121">
        <v>1.3349257314702761E-5</v>
      </c>
      <c r="V121" t="s">
        <v>238</v>
      </c>
      <c r="X121">
        <v>1.1415525114155251E-4</v>
      </c>
      <c r="Y121">
        <v>1.5049432745775637E-4</v>
      </c>
      <c r="Z121" t="s">
        <v>1167</v>
      </c>
      <c r="AA121" t="s">
        <v>25</v>
      </c>
      <c r="AC121" t="s">
        <v>22</v>
      </c>
      <c r="AD121" t="s">
        <v>1167</v>
      </c>
      <c r="AE121">
        <v>1.2224778350148396E-4</v>
      </c>
      <c r="AG121" t="s">
        <v>97</v>
      </c>
      <c r="AH121" t="s">
        <v>1167</v>
      </c>
      <c r="AI121">
        <v>0</v>
      </c>
    </row>
    <row r="122" spans="5:35" x14ac:dyDescent="0.45">
      <c r="E122" t="s">
        <v>856</v>
      </c>
      <c r="G122" t="s">
        <v>149</v>
      </c>
      <c r="I122" t="s">
        <v>236</v>
      </c>
      <c r="J122" t="s">
        <v>1168</v>
      </c>
      <c r="K122">
        <v>2.5159375921029998E-4</v>
      </c>
      <c r="L122" t="s">
        <v>238</v>
      </c>
      <c r="N122" t="s">
        <v>346</v>
      </c>
      <c r="O122" t="s">
        <v>1168</v>
      </c>
      <c r="P122">
        <v>1.4349091717850816E-5</v>
      </c>
      <c r="Q122" t="s">
        <v>238</v>
      </c>
      <c r="S122" t="s">
        <v>347</v>
      </c>
      <c r="T122" t="s">
        <v>1168</v>
      </c>
      <c r="U122">
        <v>1.8813480089088554E-5</v>
      </c>
      <c r="V122" t="s">
        <v>238</v>
      </c>
      <c r="X122">
        <v>1.1415525114155251E-4</v>
      </c>
      <c r="Y122">
        <v>1.7237235744060203E-4</v>
      </c>
      <c r="Z122" t="s">
        <v>1168</v>
      </c>
      <c r="AA122" t="s">
        <v>25</v>
      </c>
      <c r="AC122" t="s">
        <v>22</v>
      </c>
      <c r="AD122" t="s">
        <v>1168</v>
      </c>
      <c r="AE122">
        <v>1.2236530052765207E-4</v>
      </c>
      <c r="AG122" t="s">
        <v>97</v>
      </c>
      <c r="AH122" t="s">
        <v>1168</v>
      </c>
      <c r="AI122">
        <v>0</v>
      </c>
    </row>
    <row r="123" spans="5:35" x14ac:dyDescent="0.45">
      <c r="E123" t="s">
        <v>857</v>
      </c>
      <c r="G123" t="s">
        <v>149</v>
      </c>
      <c r="I123" t="s">
        <v>236</v>
      </c>
      <c r="J123" t="s">
        <v>1169</v>
      </c>
      <c r="K123">
        <v>2.0589320417580001E-4</v>
      </c>
      <c r="L123" t="s">
        <v>238</v>
      </c>
      <c r="N123" t="s">
        <v>346</v>
      </c>
      <c r="O123" t="s">
        <v>1169</v>
      </c>
      <c r="P123">
        <v>1.3947991863364909E-5</v>
      </c>
      <c r="Q123" t="s">
        <v>238</v>
      </c>
      <c r="S123" t="s">
        <v>347</v>
      </c>
      <c r="T123" t="s">
        <v>1169</v>
      </c>
      <c r="U123">
        <v>2.1810899568377877E-5</v>
      </c>
      <c r="V123" t="s">
        <v>238</v>
      </c>
      <c r="X123">
        <v>1.1415525114155251E-4</v>
      </c>
      <c r="Y123">
        <v>2.2209515285616027E-4</v>
      </c>
      <c r="Z123" t="s">
        <v>1169</v>
      </c>
      <c r="AA123" t="s">
        <v>25</v>
      </c>
      <c r="AC123" t="s">
        <v>22</v>
      </c>
      <c r="AD123" t="s">
        <v>1169</v>
      </c>
      <c r="AE123">
        <v>1.2196115660839114E-4</v>
      </c>
      <c r="AG123" t="s">
        <v>97</v>
      </c>
      <c r="AH123" t="s">
        <v>1169</v>
      </c>
      <c r="AI123">
        <v>0</v>
      </c>
    </row>
    <row r="124" spans="5:35" x14ac:dyDescent="0.45">
      <c r="E124" t="s">
        <v>858</v>
      </c>
      <c r="G124" t="s">
        <v>149</v>
      </c>
      <c r="I124" t="s">
        <v>236</v>
      </c>
      <c r="J124" t="s">
        <v>1170</v>
      </c>
      <c r="K124">
        <v>1.6590141032059999E-4</v>
      </c>
      <c r="L124" t="s">
        <v>238</v>
      </c>
      <c r="N124" t="s">
        <v>346</v>
      </c>
      <c r="O124" t="s">
        <v>1170</v>
      </c>
      <c r="P124">
        <v>1.406914768875011E-5</v>
      </c>
      <c r="Q124" t="s">
        <v>238</v>
      </c>
      <c r="S124" t="s">
        <v>347</v>
      </c>
      <c r="T124" t="s">
        <v>1170</v>
      </c>
      <c r="U124">
        <v>2.3401507712407837E-5</v>
      </c>
      <c r="V124" t="s">
        <v>238</v>
      </c>
      <c r="X124">
        <v>1.1415525114155251E-4</v>
      </c>
      <c r="Y124">
        <v>2.2209515285616027E-4</v>
      </c>
      <c r="Z124" t="s">
        <v>1170</v>
      </c>
      <c r="AA124" t="s">
        <v>25</v>
      </c>
      <c r="AC124" t="s">
        <v>22</v>
      </c>
      <c r="AD124" t="s">
        <v>1170</v>
      </c>
      <c r="AE124">
        <v>1.2196115660839114E-4</v>
      </c>
      <c r="AG124" t="s">
        <v>97</v>
      </c>
      <c r="AH124" t="s">
        <v>1170</v>
      </c>
      <c r="AI124">
        <v>0</v>
      </c>
    </row>
    <row r="125" spans="5:35" x14ac:dyDescent="0.45">
      <c r="E125" t="s">
        <v>859</v>
      </c>
      <c r="G125" t="s">
        <v>149</v>
      </c>
      <c r="I125" t="s">
        <v>236</v>
      </c>
      <c r="J125" t="s">
        <v>1171</v>
      </c>
      <c r="K125">
        <v>5.6153300261893537E-5</v>
      </c>
      <c r="L125" t="s">
        <v>238</v>
      </c>
      <c r="N125" t="s">
        <v>346</v>
      </c>
      <c r="O125" t="s">
        <v>1171</v>
      </c>
      <c r="P125">
        <v>1.5471900646167297E-5</v>
      </c>
      <c r="Q125" t="s">
        <v>238</v>
      </c>
      <c r="S125" t="s">
        <v>347</v>
      </c>
      <c r="T125" t="s">
        <v>1171</v>
      </c>
      <c r="U125">
        <v>2.736181776340209E-5</v>
      </c>
      <c r="V125" t="s">
        <v>238</v>
      </c>
      <c r="X125">
        <v>1.1415525114155251E-4</v>
      </c>
      <c r="Y125">
        <v>1.7237235744060203E-4</v>
      </c>
      <c r="Z125" t="s">
        <v>1171</v>
      </c>
      <c r="AA125" t="s">
        <v>25</v>
      </c>
      <c r="AC125" t="s">
        <v>22</v>
      </c>
      <c r="AD125" t="s">
        <v>1171</v>
      </c>
      <c r="AE125">
        <v>1.2172325628712408E-4</v>
      </c>
      <c r="AG125" t="s">
        <v>97</v>
      </c>
      <c r="AH125" t="s">
        <v>1171</v>
      </c>
      <c r="AI125">
        <v>0</v>
      </c>
    </row>
    <row r="126" spans="5:35" x14ac:dyDescent="0.45">
      <c r="E126" t="s">
        <v>860</v>
      </c>
      <c r="G126" t="s">
        <v>149</v>
      </c>
      <c r="I126" t="s">
        <v>236</v>
      </c>
      <c r="J126" t="s">
        <v>1172</v>
      </c>
      <c r="K126">
        <v>0</v>
      </c>
      <c r="L126" t="s">
        <v>238</v>
      </c>
      <c r="N126" t="s">
        <v>346</v>
      </c>
      <c r="O126" t="s">
        <v>1172</v>
      </c>
      <c r="P126">
        <v>2.0608950053573765E-5</v>
      </c>
      <c r="Q126" t="s">
        <v>238</v>
      </c>
      <c r="S126" t="s">
        <v>347</v>
      </c>
      <c r="T126" t="s">
        <v>1172</v>
      </c>
      <c r="U126">
        <v>3.6982747201027362E-5</v>
      </c>
      <c r="V126" t="s">
        <v>238</v>
      </c>
      <c r="X126">
        <v>1.1415525114155251E-4</v>
      </c>
      <c r="Y126">
        <v>1.5579809230208258E-4</v>
      </c>
      <c r="Z126" t="s">
        <v>1172</v>
      </c>
      <c r="AA126" t="s">
        <v>25</v>
      </c>
      <c r="AC126" t="s">
        <v>22</v>
      </c>
      <c r="AD126" t="s">
        <v>1172</v>
      </c>
      <c r="AE126">
        <v>1.2046209795751562E-4</v>
      </c>
      <c r="AG126" t="s">
        <v>97</v>
      </c>
      <c r="AH126" t="s">
        <v>1172</v>
      </c>
      <c r="AI126">
        <v>0</v>
      </c>
    </row>
    <row r="127" spans="5:35" x14ac:dyDescent="0.45">
      <c r="E127" t="s">
        <v>861</v>
      </c>
      <c r="G127" t="s">
        <v>149</v>
      </c>
      <c r="I127" t="s">
        <v>236</v>
      </c>
      <c r="J127" t="s">
        <v>1173</v>
      </c>
      <c r="K127">
        <v>0</v>
      </c>
      <c r="L127" t="s">
        <v>238</v>
      </c>
      <c r="N127" t="s">
        <v>346</v>
      </c>
      <c r="O127" t="s">
        <v>1173</v>
      </c>
      <c r="P127">
        <v>2.4926940656273941E-5</v>
      </c>
      <c r="Q127" t="s">
        <v>238</v>
      </c>
      <c r="S127" t="s">
        <v>347</v>
      </c>
      <c r="T127" t="s">
        <v>1173</v>
      </c>
      <c r="U127">
        <v>5.4238559379862639E-5</v>
      </c>
      <c r="V127" t="s">
        <v>238</v>
      </c>
      <c r="X127">
        <v>1.1415525114155251E-4</v>
      </c>
      <c r="Y127">
        <v>1.093901499142282E-4</v>
      </c>
      <c r="Z127" t="s">
        <v>1173</v>
      </c>
      <c r="AA127" t="s">
        <v>25</v>
      </c>
      <c r="AC127" t="s">
        <v>22</v>
      </c>
      <c r="AD127" t="s">
        <v>1173</v>
      </c>
      <c r="AE127">
        <v>1.1220151089858017E-4</v>
      </c>
      <c r="AG127" t="s">
        <v>97</v>
      </c>
      <c r="AH127" t="s">
        <v>1173</v>
      </c>
      <c r="AI127">
        <v>0</v>
      </c>
    </row>
    <row r="128" spans="5:35" x14ac:dyDescent="0.45">
      <c r="E128" t="s">
        <v>862</v>
      </c>
      <c r="G128" t="s">
        <v>149</v>
      </c>
      <c r="I128" t="s">
        <v>236</v>
      </c>
      <c r="J128" t="s">
        <v>1174</v>
      </c>
      <c r="K128">
        <v>0</v>
      </c>
      <c r="L128" t="s">
        <v>238</v>
      </c>
      <c r="N128" t="s">
        <v>346</v>
      </c>
      <c r="O128" t="s">
        <v>1174</v>
      </c>
      <c r="P128">
        <v>2.6425289722153849E-5</v>
      </c>
      <c r="Q128" t="s">
        <v>238</v>
      </c>
      <c r="S128" t="s">
        <v>347</v>
      </c>
      <c r="T128" t="s">
        <v>1174</v>
      </c>
      <c r="U128">
        <v>7.0391170511085514E-5</v>
      </c>
      <c r="V128" t="s">
        <v>238</v>
      </c>
      <c r="X128">
        <v>1.1415525114155251E-4</v>
      </c>
      <c r="Y128">
        <v>7.9556472664893237E-5</v>
      </c>
      <c r="Z128" t="s">
        <v>1174</v>
      </c>
      <c r="AA128" t="s">
        <v>25</v>
      </c>
      <c r="AC128" t="s">
        <v>22</v>
      </c>
      <c r="AD128" t="s">
        <v>1174</v>
      </c>
      <c r="AE128">
        <v>1.0399538294933244E-4</v>
      </c>
      <c r="AG128" t="s">
        <v>97</v>
      </c>
      <c r="AH128" t="s">
        <v>1174</v>
      </c>
      <c r="AI128">
        <v>0</v>
      </c>
    </row>
    <row r="129" spans="5:35" x14ac:dyDescent="0.45">
      <c r="E129" t="s">
        <v>863</v>
      </c>
      <c r="G129" t="s">
        <v>149</v>
      </c>
      <c r="I129" t="s">
        <v>236</v>
      </c>
      <c r="J129" t="s">
        <v>1175</v>
      </c>
      <c r="K129">
        <v>0</v>
      </c>
      <c r="L129" t="s">
        <v>238</v>
      </c>
      <c r="N129" t="s">
        <v>346</v>
      </c>
      <c r="O129" t="s">
        <v>1175</v>
      </c>
      <c r="P129">
        <v>2.6706807128911105E-5</v>
      </c>
      <c r="Q129" t="s">
        <v>238</v>
      </c>
      <c r="S129" t="s">
        <v>347</v>
      </c>
      <c r="T129" t="s">
        <v>1175</v>
      </c>
      <c r="U129">
        <v>7.9494874619991254E-5</v>
      </c>
      <c r="V129" t="s">
        <v>238</v>
      </c>
      <c r="X129">
        <v>1.1415525114155251E-4</v>
      </c>
      <c r="Y129">
        <v>5.6352501470966035E-5</v>
      </c>
      <c r="Z129" t="s">
        <v>1175</v>
      </c>
      <c r="AA129" t="s">
        <v>25</v>
      </c>
      <c r="AC129" t="s">
        <v>22</v>
      </c>
      <c r="AD129" t="s">
        <v>1175</v>
      </c>
      <c r="AE129">
        <v>8.1285934209587339E-5</v>
      </c>
      <c r="AG129" t="s">
        <v>97</v>
      </c>
      <c r="AH129" t="s">
        <v>1175</v>
      </c>
      <c r="AI129">
        <v>0</v>
      </c>
    </row>
    <row r="130" spans="5:35" x14ac:dyDescent="0.45">
      <c r="E130" t="s">
        <v>864</v>
      </c>
      <c r="G130" t="s">
        <v>149</v>
      </c>
      <c r="I130" t="s">
        <v>236</v>
      </c>
      <c r="J130" t="s">
        <v>1176</v>
      </c>
      <c r="K130">
        <v>0</v>
      </c>
      <c r="L130" t="s">
        <v>238</v>
      </c>
      <c r="N130" t="s">
        <v>346</v>
      </c>
      <c r="O130" t="s">
        <v>1176</v>
      </c>
      <c r="P130">
        <v>3.2739169666567653E-5</v>
      </c>
      <c r="Q130" t="s">
        <v>238</v>
      </c>
      <c r="S130" t="s">
        <v>347</v>
      </c>
      <c r="T130" t="s">
        <v>1176</v>
      </c>
      <c r="U130">
        <v>8.7670338207969232E-5</v>
      </c>
      <c r="V130" t="s">
        <v>238</v>
      </c>
      <c r="X130">
        <v>1.1415525114155251E-4</v>
      </c>
      <c r="Y130">
        <v>2.9833677249334962E-5</v>
      </c>
      <c r="Z130" t="s">
        <v>1176</v>
      </c>
      <c r="AA130" t="s">
        <v>25</v>
      </c>
      <c r="AC130" t="s">
        <v>22</v>
      </c>
      <c r="AD130" t="s">
        <v>1176</v>
      </c>
      <c r="AE130">
        <v>6.9173081707484254E-5</v>
      </c>
      <c r="AG130" t="s">
        <v>97</v>
      </c>
      <c r="AH130" t="s">
        <v>1176</v>
      </c>
      <c r="AI130">
        <v>0</v>
      </c>
    </row>
    <row r="131" spans="5:35" x14ac:dyDescent="0.45">
      <c r="E131" t="s">
        <v>865</v>
      </c>
      <c r="G131" t="s">
        <v>149</v>
      </c>
      <c r="I131" t="s">
        <v>236</v>
      </c>
      <c r="J131" t="s">
        <v>1177</v>
      </c>
      <c r="K131">
        <v>0</v>
      </c>
      <c r="L131" t="s">
        <v>238</v>
      </c>
      <c r="N131" t="s">
        <v>346</v>
      </c>
      <c r="O131" t="s">
        <v>1177</v>
      </c>
      <c r="P131">
        <v>3.7209137795816345E-5</v>
      </c>
      <c r="Q131" t="s">
        <v>238</v>
      </c>
      <c r="S131" t="s">
        <v>347</v>
      </c>
      <c r="T131" t="s">
        <v>1177</v>
      </c>
      <c r="U131">
        <v>8.9499609381850663E-5</v>
      </c>
      <c r="V131" t="s">
        <v>238</v>
      </c>
      <c r="X131">
        <v>1.1415525114155251E-4</v>
      </c>
      <c r="Y131">
        <v>2.1546544680075254E-5</v>
      </c>
      <c r="Z131" t="s">
        <v>1177</v>
      </c>
      <c r="AA131" t="s">
        <v>25</v>
      </c>
      <c r="AC131" t="s">
        <v>22</v>
      </c>
      <c r="AD131" t="s">
        <v>1177</v>
      </c>
      <c r="AE131">
        <v>6.0370769820603388E-5</v>
      </c>
      <c r="AG131" t="s">
        <v>97</v>
      </c>
      <c r="AH131" t="s">
        <v>1177</v>
      </c>
      <c r="AI131">
        <v>0</v>
      </c>
    </row>
    <row r="132" spans="5:35" x14ac:dyDescent="0.45">
      <c r="E132" t="s">
        <v>866</v>
      </c>
      <c r="G132" t="s">
        <v>149</v>
      </c>
      <c r="I132" t="s">
        <v>236</v>
      </c>
      <c r="J132" t="s">
        <v>1178</v>
      </c>
      <c r="K132">
        <v>0</v>
      </c>
      <c r="L132" t="s">
        <v>238</v>
      </c>
      <c r="N132" t="s">
        <v>346</v>
      </c>
      <c r="O132" t="s">
        <v>1178</v>
      </c>
      <c r="P132">
        <v>3.9381856545826882E-5</v>
      </c>
      <c r="Q132" t="s">
        <v>238</v>
      </c>
      <c r="S132" t="s">
        <v>347</v>
      </c>
      <c r="T132" t="s">
        <v>1178</v>
      </c>
      <c r="U132">
        <v>8.4080095418373962E-5</v>
      </c>
      <c r="V132" t="s">
        <v>238</v>
      </c>
      <c r="X132">
        <v>1.1415525114155251E-4</v>
      </c>
      <c r="Y132">
        <v>1.4916838624667481E-5</v>
      </c>
      <c r="Z132" t="s">
        <v>1178</v>
      </c>
      <c r="AA132" t="s">
        <v>25</v>
      </c>
      <c r="AC132" t="s">
        <v>22</v>
      </c>
      <c r="AD132" t="s">
        <v>1178</v>
      </c>
      <c r="AE132">
        <v>5.652996945315944E-5</v>
      </c>
      <c r="AG132" t="s">
        <v>97</v>
      </c>
      <c r="AH132" t="s">
        <v>1178</v>
      </c>
      <c r="AI132">
        <v>0</v>
      </c>
    </row>
    <row r="133" spans="5:35" x14ac:dyDescent="0.45">
      <c r="E133" t="s">
        <v>867</v>
      </c>
      <c r="G133" t="s">
        <v>149</v>
      </c>
      <c r="I133" t="s">
        <v>236</v>
      </c>
      <c r="J133" t="s">
        <v>1179</v>
      </c>
      <c r="K133">
        <v>0</v>
      </c>
      <c r="L133" t="s">
        <v>238</v>
      </c>
      <c r="N133" t="s">
        <v>346</v>
      </c>
      <c r="O133" t="s">
        <v>1179</v>
      </c>
      <c r="P133">
        <v>4.3860217602375352E-5</v>
      </c>
      <c r="Q133" t="s">
        <v>238</v>
      </c>
      <c r="S133" t="s">
        <v>347</v>
      </c>
      <c r="T133" t="s">
        <v>1179</v>
      </c>
      <c r="U133">
        <v>8.7278055787605601E-5</v>
      </c>
      <c r="V133" t="s">
        <v>238</v>
      </c>
      <c r="X133">
        <v>1.1415525114155251E-4</v>
      </c>
      <c r="Y133">
        <v>1.6574265138519424E-5</v>
      </c>
      <c r="Z133" t="s">
        <v>1179</v>
      </c>
      <c r="AA133" t="s">
        <v>25</v>
      </c>
      <c r="AC133" t="s">
        <v>22</v>
      </c>
      <c r="AD133" t="s">
        <v>1179</v>
      </c>
      <c r="AE133">
        <v>5.652996945315944E-5</v>
      </c>
      <c r="AG133" t="s">
        <v>97</v>
      </c>
      <c r="AH133" t="s">
        <v>1179</v>
      </c>
      <c r="AI133">
        <v>0</v>
      </c>
    </row>
    <row r="134" spans="5:35" x14ac:dyDescent="0.45">
      <c r="E134" t="s">
        <v>868</v>
      </c>
      <c r="G134" t="s">
        <v>149</v>
      </c>
      <c r="I134" t="s">
        <v>236</v>
      </c>
      <c r="J134" t="s">
        <v>1180</v>
      </c>
      <c r="K134">
        <v>0</v>
      </c>
      <c r="L134" t="s">
        <v>238</v>
      </c>
      <c r="N134" t="s">
        <v>346</v>
      </c>
      <c r="O134" t="s">
        <v>1180</v>
      </c>
      <c r="P134">
        <v>4.6999473833561812E-5</v>
      </c>
      <c r="Q134" t="s">
        <v>238</v>
      </c>
      <c r="S134" t="s">
        <v>347</v>
      </c>
      <c r="T134" t="s">
        <v>1180</v>
      </c>
      <c r="U134">
        <v>9.1130459796499597E-5</v>
      </c>
      <c r="V134" t="s">
        <v>238</v>
      </c>
      <c r="X134">
        <v>1.1415525114155251E-4</v>
      </c>
      <c r="Y134">
        <v>1.4585353321897093E-5</v>
      </c>
      <c r="Z134" t="s">
        <v>1180</v>
      </c>
      <c r="AA134" t="s">
        <v>25</v>
      </c>
      <c r="AC134" t="s">
        <v>22</v>
      </c>
      <c r="AD134" t="s">
        <v>1180</v>
      </c>
      <c r="AE134">
        <v>5.6790799925873895E-5</v>
      </c>
      <c r="AG134" t="s">
        <v>97</v>
      </c>
      <c r="AH134" t="s">
        <v>1180</v>
      </c>
      <c r="AI134">
        <v>0</v>
      </c>
    </row>
    <row r="135" spans="5:35" x14ac:dyDescent="0.45">
      <c r="E135" t="s">
        <v>869</v>
      </c>
      <c r="G135" t="s">
        <v>149</v>
      </c>
      <c r="I135" t="s">
        <v>236</v>
      </c>
      <c r="J135" t="s">
        <v>1181</v>
      </c>
      <c r="K135">
        <v>0</v>
      </c>
      <c r="L135" t="s">
        <v>238</v>
      </c>
      <c r="N135" t="s">
        <v>346</v>
      </c>
      <c r="O135" t="s">
        <v>1181</v>
      </c>
      <c r="P135">
        <v>4.9549660769465127E-5</v>
      </c>
      <c r="Q135" t="s">
        <v>238</v>
      </c>
      <c r="S135" t="s">
        <v>347</v>
      </c>
      <c r="T135" t="s">
        <v>1181</v>
      </c>
      <c r="U135">
        <v>8.8521717723419435E-5</v>
      </c>
      <c r="V135" t="s">
        <v>238</v>
      </c>
      <c r="X135">
        <v>1.1415525114155251E-4</v>
      </c>
      <c r="Y135">
        <v>2.1215059377304864E-5</v>
      </c>
      <c r="Z135" t="s">
        <v>1181</v>
      </c>
      <c r="AA135" t="s">
        <v>25</v>
      </c>
      <c r="AC135" t="s">
        <v>22</v>
      </c>
      <c r="AD135" t="s">
        <v>1181</v>
      </c>
      <c r="AE135">
        <v>5.7355454905266792E-5</v>
      </c>
      <c r="AG135" t="s">
        <v>97</v>
      </c>
      <c r="AH135" t="s">
        <v>1181</v>
      </c>
      <c r="AI135">
        <v>0</v>
      </c>
    </row>
    <row r="136" spans="5:35" x14ac:dyDescent="0.45">
      <c r="E136" t="s">
        <v>870</v>
      </c>
      <c r="G136" t="s">
        <v>149</v>
      </c>
      <c r="I136" t="s">
        <v>236</v>
      </c>
      <c r="J136" t="s">
        <v>1182</v>
      </c>
      <c r="K136">
        <v>0</v>
      </c>
      <c r="L136" t="s">
        <v>238</v>
      </c>
      <c r="N136" t="s">
        <v>346</v>
      </c>
      <c r="O136" t="s">
        <v>1182</v>
      </c>
      <c r="P136">
        <v>5.5192944315198034E-5</v>
      </c>
      <c r="Q136" t="s">
        <v>238</v>
      </c>
      <c r="S136" t="s">
        <v>347</v>
      </c>
      <c r="T136" t="s">
        <v>1182</v>
      </c>
      <c r="U136">
        <v>8.2184193106072905E-5</v>
      </c>
      <c r="V136" t="s">
        <v>238</v>
      </c>
      <c r="X136">
        <v>1.1415525114155251E-4</v>
      </c>
      <c r="Y136">
        <v>5.7678442682047593E-5</v>
      </c>
      <c r="Z136" t="s">
        <v>1182</v>
      </c>
      <c r="AA136" t="s">
        <v>25</v>
      </c>
      <c r="AC136" t="s">
        <v>22</v>
      </c>
      <c r="AD136" t="s">
        <v>1182</v>
      </c>
      <c r="AE136">
        <v>5.9508022872393968E-5</v>
      </c>
      <c r="AG136" t="s">
        <v>97</v>
      </c>
      <c r="AH136" t="s">
        <v>1182</v>
      </c>
      <c r="AI136">
        <v>0</v>
      </c>
    </row>
    <row r="137" spans="5:35" x14ac:dyDescent="0.45">
      <c r="E137" t="s">
        <v>871</v>
      </c>
      <c r="G137" t="s">
        <v>149</v>
      </c>
      <c r="I137" t="s">
        <v>236</v>
      </c>
      <c r="J137" t="s">
        <v>1183</v>
      </c>
      <c r="K137">
        <v>3.4512610125409489E-5</v>
      </c>
      <c r="L137" t="s">
        <v>238</v>
      </c>
      <c r="N137" t="s">
        <v>346</v>
      </c>
      <c r="O137" t="s">
        <v>1183</v>
      </c>
      <c r="P137">
        <v>6.1134142907574298E-5</v>
      </c>
      <c r="Q137" t="s">
        <v>238</v>
      </c>
      <c r="S137" t="s">
        <v>347</v>
      </c>
      <c r="T137" t="s">
        <v>1183</v>
      </c>
      <c r="U137">
        <v>8.5519083206199884E-5</v>
      </c>
      <c r="V137" t="s">
        <v>238</v>
      </c>
      <c r="X137">
        <v>1.1415525114155251E-4</v>
      </c>
      <c r="Y137">
        <v>1.6905750441289813E-4</v>
      </c>
      <c r="Z137" t="s">
        <v>1183</v>
      </c>
      <c r="AA137" t="s">
        <v>25</v>
      </c>
      <c r="AC137" t="s">
        <v>22</v>
      </c>
      <c r="AD137" t="s">
        <v>1183</v>
      </c>
      <c r="AE137">
        <v>6.631541158334872E-5</v>
      </c>
      <c r="AG137" t="s">
        <v>97</v>
      </c>
      <c r="AH137" t="s">
        <v>1183</v>
      </c>
      <c r="AI137">
        <v>0</v>
      </c>
    </row>
    <row r="138" spans="5:35" x14ac:dyDescent="0.45">
      <c r="E138" t="s">
        <v>872</v>
      </c>
      <c r="G138" t="s">
        <v>149</v>
      </c>
      <c r="I138" t="s">
        <v>236</v>
      </c>
      <c r="J138" t="s">
        <v>1184</v>
      </c>
      <c r="K138">
        <v>7.751941656492886E-5</v>
      </c>
      <c r="L138" t="s">
        <v>238</v>
      </c>
      <c r="N138" t="s">
        <v>346</v>
      </c>
      <c r="O138" t="s">
        <v>1184</v>
      </c>
      <c r="P138">
        <v>6.629689866716521E-5</v>
      </c>
      <c r="Q138" t="s">
        <v>238</v>
      </c>
      <c r="S138" t="s">
        <v>347</v>
      </c>
      <c r="T138" t="s">
        <v>1184</v>
      </c>
      <c r="U138">
        <v>9.9783966844950445E-5</v>
      </c>
      <c r="V138" t="s">
        <v>238</v>
      </c>
      <c r="X138">
        <v>1.1415525114155251E-4</v>
      </c>
      <c r="Y138">
        <v>1.9060404909297337E-4</v>
      </c>
      <c r="Z138" t="s">
        <v>1184</v>
      </c>
      <c r="AA138" t="s">
        <v>25</v>
      </c>
      <c r="AC138" t="s">
        <v>22</v>
      </c>
      <c r="AD138" t="s">
        <v>1184</v>
      </c>
      <c r="AE138">
        <v>7.7296087857735112E-5</v>
      </c>
      <c r="AG138" t="s">
        <v>97</v>
      </c>
      <c r="AH138" t="s">
        <v>1184</v>
      </c>
      <c r="AI138">
        <v>0</v>
      </c>
    </row>
    <row r="139" spans="5:35" x14ac:dyDescent="0.45">
      <c r="E139" t="s">
        <v>873</v>
      </c>
      <c r="G139" t="s">
        <v>149</v>
      </c>
      <c r="I139" t="s">
        <v>236</v>
      </c>
      <c r="J139" t="s">
        <v>1185</v>
      </c>
      <c r="K139">
        <v>1.023921833695E-4</v>
      </c>
      <c r="L139" t="s">
        <v>238</v>
      </c>
      <c r="N139" t="s">
        <v>346</v>
      </c>
      <c r="O139" t="s">
        <v>1185</v>
      </c>
      <c r="P139">
        <v>6.4187796930064258E-5</v>
      </c>
      <c r="Q139" t="s">
        <v>238</v>
      </c>
      <c r="S139" t="s">
        <v>347</v>
      </c>
      <c r="T139" t="s">
        <v>1185</v>
      </c>
      <c r="U139">
        <v>1.095705001034E-4</v>
      </c>
      <c r="V139" t="s">
        <v>238</v>
      </c>
      <c r="X139">
        <v>1.1415525114155251E-4</v>
      </c>
      <c r="Y139">
        <v>1.4585353321897094E-4</v>
      </c>
      <c r="Z139" t="s">
        <v>1185</v>
      </c>
      <c r="AA139" t="s">
        <v>25</v>
      </c>
      <c r="AC139" t="s">
        <v>22</v>
      </c>
      <c r="AD139" t="s">
        <v>1185</v>
      </c>
      <c r="AE139">
        <v>8.9176772576432992E-5</v>
      </c>
      <c r="AG139" t="s">
        <v>97</v>
      </c>
      <c r="AH139" t="s">
        <v>1185</v>
      </c>
      <c r="AI139">
        <v>0</v>
      </c>
    </row>
    <row r="140" spans="5:35" x14ac:dyDescent="0.45">
      <c r="E140" t="s">
        <v>874</v>
      </c>
      <c r="G140" t="s">
        <v>149</v>
      </c>
      <c r="I140" t="s">
        <v>236</v>
      </c>
      <c r="J140" t="s">
        <v>1186</v>
      </c>
      <c r="K140">
        <v>1.4085289714650001E-4</v>
      </c>
      <c r="L140" t="s">
        <v>238</v>
      </c>
      <c r="N140" t="s">
        <v>346</v>
      </c>
      <c r="O140" t="s">
        <v>1186</v>
      </c>
      <c r="P140">
        <v>7.3460061889049283E-5</v>
      </c>
      <c r="Q140" t="s">
        <v>238</v>
      </c>
      <c r="S140" t="s">
        <v>347</v>
      </c>
      <c r="T140" t="s">
        <v>1186</v>
      </c>
      <c r="U140">
        <v>1.202149060301E-4</v>
      </c>
      <c r="V140" t="s">
        <v>238</v>
      </c>
      <c r="X140">
        <v>1.1415525114155251E-4</v>
      </c>
      <c r="Y140">
        <v>1.4452759200788939E-4</v>
      </c>
      <c r="Z140" t="s">
        <v>1186</v>
      </c>
      <c r="AA140" t="s">
        <v>25</v>
      </c>
      <c r="AC140" t="s">
        <v>22</v>
      </c>
      <c r="AD140" t="s">
        <v>1186</v>
      </c>
      <c r="AE140">
        <v>9.0693028840894076E-5</v>
      </c>
      <c r="AG140" t="s">
        <v>97</v>
      </c>
      <c r="AH140" t="s">
        <v>1186</v>
      </c>
      <c r="AI140">
        <v>0</v>
      </c>
    </row>
    <row r="141" spans="5:35" x14ac:dyDescent="0.45">
      <c r="E141" t="s">
        <v>875</v>
      </c>
      <c r="G141" t="s">
        <v>149</v>
      </c>
      <c r="I141" t="s">
        <v>236</v>
      </c>
      <c r="J141" t="s">
        <v>1187</v>
      </c>
      <c r="K141">
        <v>1.921905596998E-4</v>
      </c>
      <c r="L141" t="s">
        <v>238</v>
      </c>
      <c r="N141" t="s">
        <v>346</v>
      </c>
      <c r="O141" t="s">
        <v>1187</v>
      </c>
      <c r="P141">
        <v>8.016627009264575E-5</v>
      </c>
      <c r="Q141" t="s">
        <v>238</v>
      </c>
      <c r="S141" t="s">
        <v>347</v>
      </c>
      <c r="T141" t="s">
        <v>1187</v>
      </c>
      <c r="U141">
        <v>1.0634727471109999E-4</v>
      </c>
      <c r="V141" t="s">
        <v>238</v>
      </c>
      <c r="X141">
        <v>1.1415525114155251E-4</v>
      </c>
      <c r="Y141">
        <v>1.408812536774151E-4</v>
      </c>
      <c r="Z141" t="s">
        <v>1187</v>
      </c>
      <c r="AA141" t="s">
        <v>25</v>
      </c>
      <c r="AC141" t="s">
        <v>22</v>
      </c>
      <c r="AD141" t="s">
        <v>1187</v>
      </c>
      <c r="AE141">
        <v>9.0535384049693048E-5</v>
      </c>
      <c r="AG141" t="s">
        <v>97</v>
      </c>
      <c r="AH141" t="s">
        <v>1187</v>
      </c>
      <c r="AI141">
        <v>0</v>
      </c>
    </row>
    <row r="142" spans="5:35" x14ac:dyDescent="0.45">
      <c r="E142" t="s">
        <v>876</v>
      </c>
      <c r="G142" t="s">
        <v>149</v>
      </c>
      <c r="I142" t="s">
        <v>236</v>
      </c>
      <c r="J142" t="s">
        <v>1188</v>
      </c>
      <c r="K142">
        <v>2.058933384864E-4</v>
      </c>
      <c r="L142" t="s">
        <v>238</v>
      </c>
      <c r="N142" t="s">
        <v>346</v>
      </c>
      <c r="O142" t="s">
        <v>1188</v>
      </c>
      <c r="P142">
        <v>9.5247511069463406E-5</v>
      </c>
      <c r="Q142" t="s">
        <v>238</v>
      </c>
      <c r="S142" t="s">
        <v>347</v>
      </c>
      <c r="T142" t="s">
        <v>1188</v>
      </c>
      <c r="U142">
        <v>1.087447079684E-4</v>
      </c>
      <c r="V142" t="s">
        <v>238</v>
      </c>
      <c r="X142">
        <v>1.1415525114155251E-4</v>
      </c>
      <c r="Y142">
        <v>1.4054976837464471E-4</v>
      </c>
      <c r="Z142" t="s">
        <v>1188</v>
      </c>
      <c r="AA142" t="s">
        <v>25</v>
      </c>
      <c r="AC142" t="s">
        <v>22</v>
      </c>
      <c r="AD142" t="s">
        <v>1188</v>
      </c>
      <c r="AE142">
        <v>9.0758953026305429E-5</v>
      </c>
      <c r="AG142" t="s">
        <v>97</v>
      </c>
      <c r="AH142" t="s">
        <v>1188</v>
      </c>
      <c r="AI142">
        <v>0</v>
      </c>
    </row>
    <row r="143" spans="5:35" x14ac:dyDescent="0.45">
      <c r="E143" t="s">
        <v>877</v>
      </c>
      <c r="G143" t="s">
        <v>149</v>
      </c>
      <c r="I143" t="s">
        <v>236</v>
      </c>
      <c r="J143" t="s">
        <v>1189</v>
      </c>
      <c r="K143">
        <v>1.967803662422E-4</v>
      </c>
      <c r="L143" t="s">
        <v>238</v>
      </c>
      <c r="N143" t="s">
        <v>346</v>
      </c>
      <c r="O143" t="s">
        <v>1189</v>
      </c>
      <c r="P143">
        <v>1.080509827405E-4</v>
      </c>
      <c r="Q143" t="s">
        <v>238</v>
      </c>
      <c r="S143" t="s">
        <v>347</v>
      </c>
      <c r="T143" t="s">
        <v>1189</v>
      </c>
      <c r="U143">
        <v>1.1452016794920001E-4</v>
      </c>
      <c r="V143" t="s">
        <v>238</v>
      </c>
      <c r="X143">
        <v>1.1415525114155251E-4</v>
      </c>
      <c r="Y143">
        <v>1.4253868019126702E-4</v>
      </c>
      <c r="Z143" t="s">
        <v>1189</v>
      </c>
      <c r="AA143" t="s">
        <v>25</v>
      </c>
      <c r="AC143" t="s">
        <v>22</v>
      </c>
      <c r="AD143" t="s">
        <v>1189</v>
      </c>
      <c r="AE143">
        <v>9.0747487950581718E-5</v>
      </c>
      <c r="AG143" t="s">
        <v>97</v>
      </c>
      <c r="AH143" t="s">
        <v>1189</v>
      </c>
      <c r="AI143">
        <v>0</v>
      </c>
    </row>
    <row r="144" spans="5:35" x14ac:dyDescent="0.45">
      <c r="E144" t="s">
        <v>878</v>
      </c>
      <c r="G144" t="s">
        <v>149</v>
      </c>
      <c r="I144" t="s">
        <v>236</v>
      </c>
      <c r="J144" t="s">
        <v>1190</v>
      </c>
      <c r="K144">
        <v>1.6828631557650001E-4</v>
      </c>
      <c r="L144" t="s">
        <v>238</v>
      </c>
      <c r="N144" t="s">
        <v>346</v>
      </c>
      <c r="O144" t="s">
        <v>1190</v>
      </c>
      <c r="P144">
        <v>1.007837352123E-4</v>
      </c>
      <c r="Q144" t="s">
        <v>238</v>
      </c>
      <c r="S144" t="s">
        <v>347</v>
      </c>
      <c r="T144" t="s">
        <v>1190</v>
      </c>
      <c r="U144">
        <v>1.114560549945E-4</v>
      </c>
      <c r="V144" t="s">
        <v>238</v>
      </c>
      <c r="X144">
        <v>1.1415525114155251E-4</v>
      </c>
      <c r="Y144">
        <v>1.4883690094390442E-4</v>
      </c>
      <c r="Z144" t="s">
        <v>1190</v>
      </c>
      <c r="AA144" t="s">
        <v>25</v>
      </c>
      <c r="AC144" t="s">
        <v>22</v>
      </c>
      <c r="AD144" t="s">
        <v>1190</v>
      </c>
      <c r="AE144">
        <v>8.9950665187783657E-5</v>
      </c>
      <c r="AG144" t="s">
        <v>97</v>
      </c>
      <c r="AH144" t="s">
        <v>1190</v>
      </c>
      <c r="AI144">
        <v>0</v>
      </c>
    </row>
    <row r="145" spans="5:35" x14ac:dyDescent="0.45">
      <c r="E145" t="s">
        <v>879</v>
      </c>
      <c r="G145" t="s">
        <v>149</v>
      </c>
      <c r="I145" t="s">
        <v>236</v>
      </c>
      <c r="J145" t="s">
        <v>1191</v>
      </c>
      <c r="K145">
        <v>1.325031367556E-4</v>
      </c>
      <c r="L145" t="s">
        <v>238</v>
      </c>
      <c r="N145" t="s">
        <v>346</v>
      </c>
      <c r="O145" t="s">
        <v>1191</v>
      </c>
      <c r="P145">
        <v>9.9332239323605045E-5</v>
      </c>
      <c r="Q145" t="s">
        <v>238</v>
      </c>
      <c r="S145" t="s">
        <v>347</v>
      </c>
      <c r="T145" t="s">
        <v>1191</v>
      </c>
      <c r="U145">
        <v>1.192267833342E-4</v>
      </c>
      <c r="V145" t="s">
        <v>238</v>
      </c>
      <c r="X145">
        <v>1.1415525114155251E-4</v>
      </c>
      <c r="Y145">
        <v>1.5049432745775637E-4</v>
      </c>
      <c r="Z145" t="s">
        <v>1191</v>
      </c>
      <c r="AA145" t="s">
        <v>25</v>
      </c>
      <c r="AC145" t="s">
        <v>22</v>
      </c>
      <c r="AD145" t="s">
        <v>1191</v>
      </c>
      <c r="AE145">
        <v>8.9268493182222721E-5</v>
      </c>
      <c r="AG145" t="s">
        <v>97</v>
      </c>
      <c r="AH145" t="s">
        <v>1191</v>
      </c>
      <c r="AI145">
        <v>0</v>
      </c>
    </row>
    <row r="146" spans="5:35" x14ac:dyDescent="0.45">
      <c r="E146" t="s">
        <v>880</v>
      </c>
      <c r="G146" t="s">
        <v>149</v>
      </c>
      <c r="I146" t="s">
        <v>236</v>
      </c>
      <c r="J146" t="s">
        <v>1192</v>
      </c>
      <c r="K146">
        <v>1.086462056771E-4</v>
      </c>
      <c r="L146" t="s">
        <v>238</v>
      </c>
      <c r="N146" t="s">
        <v>346</v>
      </c>
      <c r="O146" t="s">
        <v>1192</v>
      </c>
      <c r="P146">
        <v>1.0063655175629999E-4</v>
      </c>
      <c r="Q146" t="s">
        <v>238</v>
      </c>
      <c r="S146" t="s">
        <v>347</v>
      </c>
      <c r="T146" t="s">
        <v>1192</v>
      </c>
      <c r="U146">
        <v>1.194996927541E-4</v>
      </c>
      <c r="V146" t="s">
        <v>238</v>
      </c>
      <c r="X146">
        <v>1.1415525114155251E-4</v>
      </c>
      <c r="Y146">
        <v>1.7237235744060203E-4</v>
      </c>
      <c r="Z146" t="s">
        <v>1192</v>
      </c>
      <c r="AA146" t="s">
        <v>25</v>
      </c>
      <c r="AC146" t="s">
        <v>22</v>
      </c>
      <c r="AD146" t="s">
        <v>1192</v>
      </c>
      <c r="AE146">
        <v>8.9268493182222721E-5</v>
      </c>
      <c r="AG146" t="s">
        <v>97</v>
      </c>
      <c r="AH146" t="s">
        <v>1192</v>
      </c>
      <c r="AI146">
        <v>0</v>
      </c>
    </row>
    <row r="147" spans="5:35" x14ac:dyDescent="0.45">
      <c r="E147" t="s">
        <v>881</v>
      </c>
      <c r="G147" t="s">
        <v>149</v>
      </c>
      <c r="I147" t="s">
        <v>236</v>
      </c>
      <c r="J147" t="s">
        <v>1193</v>
      </c>
      <c r="K147">
        <v>5.9624573568699782E-5</v>
      </c>
      <c r="L147" t="s">
        <v>238</v>
      </c>
      <c r="N147" t="s">
        <v>346</v>
      </c>
      <c r="O147" t="s">
        <v>1193</v>
      </c>
      <c r="P147">
        <v>1.052909331997E-4</v>
      </c>
      <c r="Q147" t="s">
        <v>238</v>
      </c>
      <c r="S147" t="s">
        <v>347</v>
      </c>
      <c r="T147" t="s">
        <v>1193</v>
      </c>
      <c r="U147">
        <v>1.2291909819480001E-4</v>
      </c>
      <c r="V147" t="s">
        <v>238</v>
      </c>
      <c r="X147">
        <v>1.1415525114155251E-4</v>
      </c>
      <c r="Y147">
        <v>2.2209515285616027E-4</v>
      </c>
      <c r="Z147" t="s">
        <v>1193</v>
      </c>
      <c r="AA147" t="s">
        <v>25</v>
      </c>
      <c r="AC147" t="s">
        <v>22</v>
      </c>
      <c r="AD147" t="s">
        <v>1193</v>
      </c>
      <c r="AE147">
        <v>9.0248757156600201E-5</v>
      </c>
      <c r="AG147" t="s">
        <v>97</v>
      </c>
      <c r="AH147" t="s">
        <v>1193</v>
      </c>
      <c r="AI147">
        <v>0</v>
      </c>
    </row>
    <row r="148" spans="5:35" x14ac:dyDescent="0.45">
      <c r="E148" t="s">
        <v>882</v>
      </c>
      <c r="G148" t="s">
        <v>149</v>
      </c>
      <c r="I148" t="s">
        <v>236</v>
      </c>
      <c r="J148" t="s">
        <v>1194</v>
      </c>
      <c r="K148">
        <v>3.7990316544080363E-5</v>
      </c>
      <c r="L148" t="s">
        <v>238</v>
      </c>
      <c r="N148" t="s">
        <v>346</v>
      </c>
      <c r="O148" t="s">
        <v>1194</v>
      </c>
      <c r="P148">
        <v>1.1740924557999999E-4</v>
      </c>
      <c r="Q148" t="s">
        <v>238</v>
      </c>
      <c r="S148" t="s">
        <v>347</v>
      </c>
      <c r="T148" t="s">
        <v>1194</v>
      </c>
      <c r="U148">
        <v>1.5004542169700001E-4</v>
      </c>
      <c r="V148" t="s">
        <v>238</v>
      </c>
      <c r="X148">
        <v>1.1415525114155251E-4</v>
      </c>
      <c r="Y148">
        <v>2.2209515285616027E-4</v>
      </c>
      <c r="Z148" t="s">
        <v>1194</v>
      </c>
      <c r="AA148" t="s">
        <v>25</v>
      </c>
      <c r="AC148" t="s">
        <v>22</v>
      </c>
      <c r="AD148" t="s">
        <v>1194</v>
      </c>
      <c r="AE148">
        <v>9.0248757156600201E-5</v>
      </c>
      <c r="AG148" t="s">
        <v>97</v>
      </c>
      <c r="AH148" t="s">
        <v>1194</v>
      </c>
      <c r="AI148">
        <v>0</v>
      </c>
    </row>
    <row r="149" spans="5:35" x14ac:dyDescent="0.45">
      <c r="E149" t="s">
        <v>883</v>
      </c>
      <c r="G149" t="s">
        <v>149</v>
      </c>
      <c r="I149" t="s">
        <v>236</v>
      </c>
      <c r="J149" t="s">
        <v>1195</v>
      </c>
      <c r="K149">
        <v>1.5800032933712467E-5</v>
      </c>
      <c r="L149" t="s">
        <v>238</v>
      </c>
      <c r="N149" t="s">
        <v>346</v>
      </c>
      <c r="O149" t="s">
        <v>1195</v>
      </c>
      <c r="P149">
        <v>1.28107650068E-4</v>
      </c>
      <c r="Q149" t="s">
        <v>238</v>
      </c>
      <c r="S149" t="s">
        <v>347</v>
      </c>
      <c r="T149" t="s">
        <v>1195</v>
      </c>
      <c r="U149">
        <v>1.460100913023E-4</v>
      </c>
      <c r="V149" t="s">
        <v>238</v>
      </c>
      <c r="X149">
        <v>1.1415525114155251E-4</v>
      </c>
      <c r="Y149">
        <v>1.7237235744060203E-4</v>
      </c>
      <c r="Z149" t="s">
        <v>1195</v>
      </c>
      <c r="AA149" t="s">
        <v>25</v>
      </c>
      <c r="AC149" t="s">
        <v>22</v>
      </c>
      <c r="AD149" t="s">
        <v>1195</v>
      </c>
      <c r="AE149">
        <v>9.0810545867062156E-5</v>
      </c>
      <c r="AG149" t="s">
        <v>97</v>
      </c>
      <c r="AH149" t="s">
        <v>1195</v>
      </c>
      <c r="AI149">
        <v>0</v>
      </c>
    </row>
    <row r="150" spans="5:35" x14ac:dyDescent="0.45">
      <c r="E150" t="s">
        <v>884</v>
      </c>
      <c r="G150" t="s">
        <v>149</v>
      </c>
      <c r="I150" t="s">
        <v>236</v>
      </c>
      <c r="J150" t="s">
        <v>1196</v>
      </c>
      <c r="K150">
        <v>0</v>
      </c>
      <c r="L150" t="s">
        <v>238</v>
      </c>
      <c r="N150" t="s">
        <v>346</v>
      </c>
      <c r="O150" t="s">
        <v>1196</v>
      </c>
      <c r="P150">
        <v>1.3387385622330001E-4</v>
      </c>
      <c r="Q150" t="s">
        <v>238</v>
      </c>
      <c r="S150" t="s">
        <v>347</v>
      </c>
      <c r="T150" t="s">
        <v>1196</v>
      </c>
      <c r="U150">
        <v>1.667859261383E-4</v>
      </c>
      <c r="V150" t="s">
        <v>238</v>
      </c>
      <c r="X150">
        <v>1.1415525114155251E-4</v>
      </c>
      <c r="Y150">
        <v>1.5579809230208258E-4</v>
      </c>
      <c r="Z150" t="s">
        <v>1196</v>
      </c>
      <c r="AA150" t="s">
        <v>25</v>
      </c>
      <c r="AC150" t="s">
        <v>22</v>
      </c>
      <c r="AD150" t="s">
        <v>1196</v>
      </c>
      <c r="AE150">
        <v>9.1229021130977681E-5</v>
      </c>
      <c r="AG150" t="s">
        <v>97</v>
      </c>
      <c r="AH150" t="s">
        <v>1196</v>
      </c>
      <c r="AI150">
        <v>0</v>
      </c>
    </row>
    <row r="151" spans="5:35" x14ac:dyDescent="0.45">
      <c r="E151" t="s">
        <v>885</v>
      </c>
      <c r="G151" t="s">
        <v>149</v>
      </c>
      <c r="I151" t="s">
        <v>236</v>
      </c>
      <c r="J151" t="s">
        <v>1197</v>
      </c>
      <c r="K151">
        <v>0</v>
      </c>
      <c r="L151" t="s">
        <v>238</v>
      </c>
      <c r="N151" t="s">
        <v>346</v>
      </c>
      <c r="O151" t="s">
        <v>1197</v>
      </c>
      <c r="P151">
        <v>1.2925766941430001E-4</v>
      </c>
      <c r="Q151" t="s">
        <v>238</v>
      </c>
      <c r="S151" t="s">
        <v>347</v>
      </c>
      <c r="T151" t="s">
        <v>1197</v>
      </c>
      <c r="U151">
        <v>1.8052948222759999E-4</v>
      </c>
      <c r="V151" t="s">
        <v>238</v>
      </c>
      <c r="X151">
        <v>1.1415525114155251E-4</v>
      </c>
      <c r="Y151">
        <v>1.093901499142282E-4</v>
      </c>
      <c r="Z151" t="s">
        <v>1197</v>
      </c>
      <c r="AA151" t="s">
        <v>25</v>
      </c>
      <c r="AC151" t="s">
        <v>22</v>
      </c>
      <c r="AD151" t="s">
        <v>1197</v>
      </c>
      <c r="AE151">
        <v>9.0584110621518793E-5</v>
      </c>
      <c r="AG151" t="s">
        <v>97</v>
      </c>
      <c r="AH151" t="s">
        <v>1197</v>
      </c>
      <c r="AI151">
        <v>0</v>
      </c>
    </row>
    <row r="152" spans="5:35" x14ac:dyDescent="0.45">
      <c r="E152" t="s">
        <v>886</v>
      </c>
      <c r="G152" t="s">
        <v>149</v>
      </c>
      <c r="I152" t="s">
        <v>236</v>
      </c>
      <c r="J152" t="s">
        <v>1198</v>
      </c>
      <c r="K152">
        <v>0</v>
      </c>
      <c r="L152" t="s">
        <v>238</v>
      </c>
      <c r="N152" t="s">
        <v>346</v>
      </c>
      <c r="O152" t="s">
        <v>1198</v>
      </c>
      <c r="P152">
        <v>1.267652489727E-4</v>
      </c>
      <c r="Q152" t="s">
        <v>238</v>
      </c>
      <c r="S152" t="s">
        <v>347</v>
      </c>
      <c r="T152" t="s">
        <v>1198</v>
      </c>
      <c r="U152">
        <v>1.8781653759109999E-4</v>
      </c>
      <c r="V152" t="s">
        <v>238</v>
      </c>
      <c r="X152">
        <v>1.1415525114155251E-4</v>
      </c>
      <c r="Y152">
        <v>7.9556472664893237E-5</v>
      </c>
      <c r="Z152" t="s">
        <v>1198</v>
      </c>
      <c r="AA152" t="s">
        <v>25</v>
      </c>
      <c r="AC152" t="s">
        <v>22</v>
      </c>
      <c r="AD152" t="s">
        <v>1198</v>
      </c>
      <c r="AE152">
        <v>8.4986287399415819E-5</v>
      </c>
      <c r="AG152" t="s">
        <v>97</v>
      </c>
      <c r="AH152" t="s">
        <v>1198</v>
      </c>
      <c r="AI152">
        <v>0</v>
      </c>
    </row>
    <row r="153" spans="5:35" x14ac:dyDescent="0.45">
      <c r="E153" t="s">
        <v>887</v>
      </c>
      <c r="G153" t="s">
        <v>149</v>
      </c>
      <c r="I153" t="s">
        <v>236</v>
      </c>
      <c r="J153" t="s">
        <v>1199</v>
      </c>
      <c r="K153">
        <v>0</v>
      </c>
      <c r="L153" t="s">
        <v>238</v>
      </c>
      <c r="N153" t="s">
        <v>346</v>
      </c>
      <c r="O153" t="s">
        <v>1199</v>
      </c>
      <c r="P153">
        <v>1.2968791331179999E-4</v>
      </c>
      <c r="Q153" t="s">
        <v>238</v>
      </c>
      <c r="S153" t="s">
        <v>347</v>
      </c>
      <c r="T153" t="s">
        <v>1199</v>
      </c>
      <c r="U153">
        <v>1.9190554652289999E-4</v>
      </c>
      <c r="V153" t="s">
        <v>238</v>
      </c>
      <c r="X153">
        <v>1.1415525114155251E-4</v>
      </c>
      <c r="Y153">
        <v>5.6352501470966035E-5</v>
      </c>
      <c r="Z153" t="s">
        <v>1199</v>
      </c>
      <c r="AA153" t="s">
        <v>25</v>
      </c>
      <c r="AC153" t="s">
        <v>22</v>
      </c>
      <c r="AD153" t="s">
        <v>1199</v>
      </c>
      <c r="AE153">
        <v>8.1285934209587339E-5</v>
      </c>
      <c r="AG153" t="s">
        <v>97</v>
      </c>
      <c r="AH153" t="s">
        <v>1199</v>
      </c>
      <c r="AI153">
        <v>0</v>
      </c>
    </row>
    <row r="154" spans="5:35" x14ac:dyDescent="0.45">
      <c r="E154" t="s">
        <v>888</v>
      </c>
      <c r="G154" t="s">
        <v>149</v>
      </c>
      <c r="I154" t="s">
        <v>236</v>
      </c>
      <c r="J154" t="s">
        <v>1200</v>
      </c>
      <c r="K154">
        <v>0</v>
      </c>
      <c r="L154" t="s">
        <v>238</v>
      </c>
      <c r="N154" t="s">
        <v>346</v>
      </c>
      <c r="O154" t="s">
        <v>1200</v>
      </c>
      <c r="P154">
        <v>1.241255233941E-4</v>
      </c>
      <c r="Q154" t="s">
        <v>238</v>
      </c>
      <c r="S154" t="s">
        <v>347</v>
      </c>
      <c r="T154" t="s">
        <v>1200</v>
      </c>
      <c r="U154">
        <v>1.9060311055639999E-4</v>
      </c>
      <c r="V154" t="s">
        <v>238</v>
      </c>
      <c r="X154">
        <v>1.1415525114155251E-4</v>
      </c>
      <c r="Y154">
        <v>2.9833677249334962E-5</v>
      </c>
      <c r="Z154" t="s">
        <v>1200</v>
      </c>
      <c r="AA154" t="s">
        <v>25</v>
      </c>
      <c r="AC154" t="s">
        <v>22</v>
      </c>
      <c r="AD154" t="s">
        <v>1200</v>
      </c>
      <c r="AE154">
        <v>6.9173081707484254E-5</v>
      </c>
      <c r="AG154" t="s">
        <v>97</v>
      </c>
      <c r="AH154" t="s">
        <v>1200</v>
      </c>
      <c r="AI154">
        <v>0</v>
      </c>
    </row>
    <row r="155" spans="5:35" x14ac:dyDescent="0.45">
      <c r="E155" t="s">
        <v>889</v>
      </c>
      <c r="G155" t="s">
        <v>149</v>
      </c>
      <c r="I155" t="s">
        <v>236</v>
      </c>
      <c r="J155" t="s">
        <v>1201</v>
      </c>
      <c r="K155">
        <v>0</v>
      </c>
      <c r="L155" t="s">
        <v>238</v>
      </c>
      <c r="N155" t="s">
        <v>346</v>
      </c>
      <c r="O155" t="s">
        <v>1201</v>
      </c>
      <c r="P155">
        <v>1.2635646716209999E-4</v>
      </c>
      <c r="Q155" t="s">
        <v>238</v>
      </c>
      <c r="S155" t="s">
        <v>347</v>
      </c>
      <c r="T155" t="s">
        <v>1201</v>
      </c>
      <c r="U155">
        <v>1.8909379758209999E-4</v>
      </c>
      <c r="V155" t="s">
        <v>238</v>
      </c>
      <c r="X155">
        <v>1.1415525114155251E-4</v>
      </c>
      <c r="Y155">
        <v>2.1546544680075254E-5</v>
      </c>
      <c r="Z155" t="s">
        <v>1201</v>
      </c>
      <c r="AA155" t="s">
        <v>25</v>
      </c>
      <c r="AC155" t="s">
        <v>22</v>
      </c>
      <c r="AD155" t="s">
        <v>1201</v>
      </c>
      <c r="AE155">
        <v>6.0370769820603375E-5</v>
      </c>
      <c r="AG155" t="s">
        <v>97</v>
      </c>
      <c r="AH155" t="s">
        <v>1201</v>
      </c>
      <c r="AI155">
        <v>0</v>
      </c>
    </row>
    <row r="156" spans="5:35" x14ac:dyDescent="0.45">
      <c r="E156" t="s">
        <v>890</v>
      </c>
      <c r="G156" t="s">
        <v>149</v>
      </c>
      <c r="I156" t="s">
        <v>236</v>
      </c>
      <c r="J156" t="s">
        <v>1202</v>
      </c>
      <c r="K156">
        <v>0</v>
      </c>
      <c r="L156" t="s">
        <v>238</v>
      </c>
      <c r="N156" t="s">
        <v>346</v>
      </c>
      <c r="O156" t="s">
        <v>1202</v>
      </c>
      <c r="P156">
        <v>1.2523157696610001E-4</v>
      </c>
      <c r="Q156" t="s">
        <v>238</v>
      </c>
      <c r="S156" t="s">
        <v>347</v>
      </c>
      <c r="T156" t="s">
        <v>1202</v>
      </c>
      <c r="U156">
        <v>1.880424804138E-4</v>
      </c>
      <c r="V156" t="s">
        <v>238</v>
      </c>
      <c r="X156">
        <v>1.1415525114155251E-4</v>
      </c>
      <c r="Y156">
        <v>1.4916838624667481E-5</v>
      </c>
      <c r="Z156" t="s">
        <v>1202</v>
      </c>
      <c r="AA156" t="s">
        <v>25</v>
      </c>
      <c r="AC156" t="s">
        <v>22</v>
      </c>
      <c r="AD156" t="s">
        <v>1202</v>
      </c>
      <c r="AE156">
        <v>5.652996945315944E-5</v>
      </c>
      <c r="AG156" t="s">
        <v>97</v>
      </c>
      <c r="AH156" t="s">
        <v>1202</v>
      </c>
      <c r="AI156">
        <v>0</v>
      </c>
    </row>
    <row r="157" spans="5:35" x14ac:dyDescent="0.45">
      <c r="E157" t="s">
        <v>891</v>
      </c>
      <c r="G157" t="s">
        <v>149</v>
      </c>
      <c r="I157" t="s">
        <v>236</v>
      </c>
      <c r="J157" t="s">
        <v>1203</v>
      </c>
      <c r="K157">
        <v>0</v>
      </c>
      <c r="L157" t="s">
        <v>238</v>
      </c>
      <c r="N157" t="s">
        <v>346</v>
      </c>
      <c r="O157" t="s">
        <v>1203</v>
      </c>
      <c r="P157">
        <v>1.197391850269E-4</v>
      </c>
      <c r="Q157" t="s">
        <v>238</v>
      </c>
      <c r="S157" t="s">
        <v>347</v>
      </c>
      <c r="T157" t="s">
        <v>1203</v>
      </c>
      <c r="U157">
        <v>1.8190131043989999E-4</v>
      </c>
      <c r="V157" t="s">
        <v>238</v>
      </c>
      <c r="X157">
        <v>1.1415525114155251E-4</v>
      </c>
      <c r="Y157">
        <v>1.6574265138519424E-5</v>
      </c>
      <c r="Z157" t="s">
        <v>1203</v>
      </c>
      <c r="AA157" t="s">
        <v>25</v>
      </c>
      <c r="AC157" t="s">
        <v>22</v>
      </c>
      <c r="AD157" t="s">
        <v>1203</v>
      </c>
      <c r="AE157">
        <v>5.652996945315944E-5</v>
      </c>
      <c r="AG157" t="s">
        <v>97</v>
      </c>
      <c r="AH157" t="s">
        <v>1203</v>
      </c>
      <c r="AI157">
        <v>0</v>
      </c>
    </row>
    <row r="158" spans="5:35" x14ac:dyDescent="0.45">
      <c r="E158" t="s">
        <v>892</v>
      </c>
      <c r="G158" t="s">
        <v>149</v>
      </c>
      <c r="I158" t="s">
        <v>236</v>
      </c>
      <c r="J158" t="s">
        <v>1204</v>
      </c>
      <c r="K158">
        <v>0</v>
      </c>
      <c r="L158" t="s">
        <v>238</v>
      </c>
      <c r="N158" t="s">
        <v>346</v>
      </c>
      <c r="O158" t="s">
        <v>1204</v>
      </c>
      <c r="P158">
        <v>1.1712751098900001E-4</v>
      </c>
      <c r="Q158" t="s">
        <v>238</v>
      </c>
      <c r="S158" t="s">
        <v>347</v>
      </c>
      <c r="T158" t="s">
        <v>1204</v>
      </c>
      <c r="U158">
        <v>1.752766238304E-4</v>
      </c>
      <c r="V158" t="s">
        <v>238</v>
      </c>
      <c r="X158">
        <v>1.1415525114155251E-4</v>
      </c>
      <c r="Y158">
        <v>1.4585353321897093E-5</v>
      </c>
      <c r="Z158" t="s">
        <v>1204</v>
      </c>
      <c r="AA158" t="s">
        <v>25</v>
      </c>
      <c r="AC158" t="s">
        <v>22</v>
      </c>
      <c r="AD158" t="s">
        <v>1204</v>
      </c>
      <c r="AE158">
        <v>5.6790799925873895E-5</v>
      </c>
      <c r="AG158" t="s">
        <v>97</v>
      </c>
      <c r="AH158" t="s">
        <v>1204</v>
      </c>
      <c r="AI158">
        <v>0</v>
      </c>
    </row>
    <row r="159" spans="5:35" x14ac:dyDescent="0.45">
      <c r="E159" t="s">
        <v>893</v>
      </c>
      <c r="G159" t="s">
        <v>149</v>
      </c>
      <c r="I159" t="s">
        <v>236</v>
      </c>
      <c r="J159" t="s">
        <v>1205</v>
      </c>
      <c r="K159">
        <v>0</v>
      </c>
      <c r="L159" t="s">
        <v>238</v>
      </c>
      <c r="N159" t="s">
        <v>346</v>
      </c>
      <c r="O159" t="s">
        <v>1205</v>
      </c>
      <c r="P159">
        <v>1.131484884301E-4</v>
      </c>
      <c r="Q159" t="s">
        <v>238</v>
      </c>
      <c r="S159" t="s">
        <v>347</v>
      </c>
      <c r="T159" t="s">
        <v>1205</v>
      </c>
      <c r="U159">
        <v>1.6610461012579999E-4</v>
      </c>
      <c r="V159" t="s">
        <v>238</v>
      </c>
      <c r="X159">
        <v>1.1415525114155251E-4</v>
      </c>
      <c r="Y159">
        <v>2.1215059377304864E-5</v>
      </c>
      <c r="Z159" t="s">
        <v>1205</v>
      </c>
      <c r="AA159" t="s">
        <v>25</v>
      </c>
      <c r="AC159" t="s">
        <v>22</v>
      </c>
      <c r="AD159" t="s">
        <v>1205</v>
      </c>
      <c r="AE159">
        <v>5.7355454905266792E-5</v>
      </c>
      <c r="AG159" t="s">
        <v>97</v>
      </c>
      <c r="AH159" t="s">
        <v>1205</v>
      </c>
      <c r="AI159">
        <v>0</v>
      </c>
    </row>
    <row r="160" spans="5:35" x14ac:dyDescent="0.45">
      <c r="E160" t="s">
        <v>894</v>
      </c>
      <c r="G160" t="s">
        <v>149</v>
      </c>
      <c r="I160" t="s">
        <v>236</v>
      </c>
      <c r="J160" t="s">
        <v>1206</v>
      </c>
      <c r="K160">
        <v>0</v>
      </c>
      <c r="L160" t="s">
        <v>238</v>
      </c>
      <c r="N160" t="s">
        <v>346</v>
      </c>
      <c r="O160" t="s">
        <v>1206</v>
      </c>
      <c r="P160">
        <v>1.129959442089E-4</v>
      </c>
      <c r="Q160" t="s">
        <v>238</v>
      </c>
      <c r="S160" t="s">
        <v>347</v>
      </c>
      <c r="T160" t="s">
        <v>1206</v>
      </c>
      <c r="U160">
        <v>1.5481048301640001E-4</v>
      </c>
      <c r="V160" t="s">
        <v>238</v>
      </c>
      <c r="X160">
        <v>1.1415525114155251E-4</v>
      </c>
      <c r="Y160">
        <v>5.7678442682047593E-5</v>
      </c>
      <c r="Z160" t="s">
        <v>1206</v>
      </c>
      <c r="AA160" t="s">
        <v>25</v>
      </c>
      <c r="AC160" t="s">
        <v>22</v>
      </c>
      <c r="AD160" t="s">
        <v>1206</v>
      </c>
      <c r="AE160">
        <v>5.9508022872393947E-5</v>
      </c>
      <c r="AG160" t="s">
        <v>97</v>
      </c>
      <c r="AH160" t="s">
        <v>1206</v>
      </c>
      <c r="AI160">
        <v>0</v>
      </c>
    </row>
    <row r="161" spans="5:35" x14ac:dyDescent="0.45">
      <c r="E161" t="s">
        <v>895</v>
      </c>
      <c r="G161" t="s">
        <v>149</v>
      </c>
      <c r="I161" t="s">
        <v>236</v>
      </c>
      <c r="J161" t="s">
        <v>1207</v>
      </c>
      <c r="K161">
        <v>2.3023037361194947E-6</v>
      </c>
      <c r="L161" t="s">
        <v>238</v>
      </c>
      <c r="N161" t="s">
        <v>346</v>
      </c>
      <c r="O161" t="s">
        <v>1207</v>
      </c>
      <c r="P161">
        <v>1.138010076035E-4</v>
      </c>
      <c r="Q161" t="s">
        <v>238</v>
      </c>
      <c r="S161" t="s">
        <v>347</v>
      </c>
      <c r="T161" t="s">
        <v>1207</v>
      </c>
      <c r="U161">
        <v>1.3376535941539999E-4</v>
      </c>
      <c r="V161" t="s">
        <v>238</v>
      </c>
      <c r="X161">
        <v>1.1415525114155251E-4</v>
      </c>
      <c r="Y161">
        <v>1.6905750441289813E-4</v>
      </c>
      <c r="Z161" t="s">
        <v>1207</v>
      </c>
      <c r="AA161" t="s">
        <v>25</v>
      </c>
      <c r="AC161" t="s">
        <v>22</v>
      </c>
      <c r="AD161" t="s">
        <v>1207</v>
      </c>
      <c r="AE161">
        <v>6.6315411583348733E-5</v>
      </c>
      <c r="AG161" t="s">
        <v>97</v>
      </c>
      <c r="AH161" t="s">
        <v>1207</v>
      </c>
      <c r="AI161">
        <v>0</v>
      </c>
    </row>
    <row r="162" spans="5:35" x14ac:dyDescent="0.45">
      <c r="E162" t="s">
        <v>896</v>
      </c>
      <c r="G162" t="s">
        <v>149</v>
      </c>
      <c r="I162" t="s">
        <v>236</v>
      </c>
      <c r="J162" t="s">
        <v>1208</v>
      </c>
      <c r="K162">
        <v>1.8145782230319665E-5</v>
      </c>
      <c r="L162" t="s">
        <v>238</v>
      </c>
      <c r="N162" t="s">
        <v>346</v>
      </c>
      <c r="O162" t="s">
        <v>1208</v>
      </c>
      <c r="P162">
        <v>1.029282229631E-4</v>
      </c>
      <c r="Q162" t="s">
        <v>238</v>
      </c>
      <c r="S162" t="s">
        <v>347</v>
      </c>
      <c r="T162" t="s">
        <v>1208</v>
      </c>
      <c r="U162">
        <v>1.050498853398E-4</v>
      </c>
      <c r="V162" t="s">
        <v>238</v>
      </c>
      <c r="X162">
        <v>1.1415525114155251E-4</v>
      </c>
      <c r="Y162">
        <v>1.9060404909297337E-4</v>
      </c>
      <c r="Z162" t="s">
        <v>1208</v>
      </c>
      <c r="AA162" t="s">
        <v>25</v>
      </c>
      <c r="AC162" t="s">
        <v>22</v>
      </c>
      <c r="AD162" t="s">
        <v>1208</v>
      </c>
      <c r="AE162">
        <v>7.7296087857735112E-5</v>
      </c>
      <c r="AG162" t="s">
        <v>97</v>
      </c>
      <c r="AH162" t="s">
        <v>1208</v>
      </c>
      <c r="AI162">
        <v>0</v>
      </c>
    </row>
    <row r="163" spans="5:35" x14ac:dyDescent="0.45">
      <c r="E163" t="s">
        <v>897</v>
      </c>
      <c r="G163" t="s">
        <v>149</v>
      </c>
      <c r="I163" t="s">
        <v>236</v>
      </c>
      <c r="J163" t="s">
        <v>1209</v>
      </c>
      <c r="K163">
        <v>6.1412271325289995E-5</v>
      </c>
      <c r="L163" t="s">
        <v>238</v>
      </c>
      <c r="N163" t="s">
        <v>346</v>
      </c>
      <c r="O163" t="s">
        <v>1209</v>
      </c>
      <c r="P163">
        <v>1.019422080323E-4</v>
      </c>
      <c r="Q163" t="s">
        <v>238</v>
      </c>
      <c r="S163" t="s">
        <v>347</v>
      </c>
      <c r="T163" t="s">
        <v>1209</v>
      </c>
      <c r="U163">
        <v>9.3970344617655765E-5</v>
      </c>
      <c r="V163" t="s">
        <v>238</v>
      </c>
      <c r="X163">
        <v>1.1415525114155251E-4</v>
      </c>
      <c r="Y163">
        <v>1.4585353321897094E-4</v>
      </c>
      <c r="Z163" t="s">
        <v>1209</v>
      </c>
      <c r="AA163" t="s">
        <v>25</v>
      </c>
      <c r="AC163" t="s">
        <v>22</v>
      </c>
      <c r="AD163" t="s">
        <v>1209</v>
      </c>
      <c r="AE163">
        <v>8.9067854357057722E-5</v>
      </c>
      <c r="AG163" t="s">
        <v>97</v>
      </c>
      <c r="AH163" t="s">
        <v>1209</v>
      </c>
      <c r="AI163">
        <v>0</v>
      </c>
    </row>
    <row r="164" spans="5:35" x14ac:dyDescent="0.45">
      <c r="E164" t="s">
        <v>898</v>
      </c>
      <c r="G164" t="s">
        <v>149</v>
      </c>
      <c r="I164" t="s">
        <v>236</v>
      </c>
      <c r="J164" t="s">
        <v>1210</v>
      </c>
      <c r="K164">
        <v>1.1724731053380001E-4</v>
      </c>
      <c r="L164" t="s">
        <v>238</v>
      </c>
      <c r="N164" t="s">
        <v>346</v>
      </c>
      <c r="O164" t="s">
        <v>1210</v>
      </c>
      <c r="P164">
        <v>1.044870586194E-4</v>
      </c>
      <c r="Q164" t="s">
        <v>238</v>
      </c>
      <c r="S164" t="s">
        <v>347</v>
      </c>
      <c r="T164" t="s">
        <v>1210</v>
      </c>
      <c r="U164">
        <v>1.022456097214E-4</v>
      </c>
      <c r="V164" t="s">
        <v>238</v>
      </c>
      <c r="X164">
        <v>1.1415525114155251E-4</v>
      </c>
      <c r="Y164">
        <v>1.4452759200788939E-4</v>
      </c>
      <c r="Z164" t="s">
        <v>1210</v>
      </c>
      <c r="AA164" t="s">
        <v>25</v>
      </c>
      <c r="AC164" t="s">
        <v>22</v>
      </c>
      <c r="AD164" t="s">
        <v>1210</v>
      </c>
      <c r="AE164">
        <v>9.1492717872623079E-5</v>
      </c>
      <c r="AG164" t="s">
        <v>97</v>
      </c>
      <c r="AH164" t="s">
        <v>1210</v>
      </c>
      <c r="AI164">
        <v>0</v>
      </c>
    </row>
    <row r="165" spans="5:35" x14ac:dyDescent="0.45">
      <c r="E165" t="s">
        <v>899</v>
      </c>
      <c r="G165" t="s">
        <v>149</v>
      </c>
      <c r="I165" t="s">
        <v>236</v>
      </c>
      <c r="J165" t="s">
        <v>1211</v>
      </c>
      <c r="K165">
        <v>1.689985072378E-4</v>
      </c>
      <c r="L165" t="s">
        <v>238</v>
      </c>
      <c r="N165" t="s">
        <v>346</v>
      </c>
      <c r="O165" t="s">
        <v>1211</v>
      </c>
      <c r="P165">
        <v>1.138200012101E-4</v>
      </c>
      <c r="Q165" t="s">
        <v>238</v>
      </c>
      <c r="S165" t="s">
        <v>347</v>
      </c>
      <c r="T165" t="s">
        <v>1211</v>
      </c>
      <c r="U165">
        <v>1.176197191972E-4</v>
      </c>
      <c r="V165" t="s">
        <v>238</v>
      </c>
      <c r="X165">
        <v>1.1415525114155251E-4</v>
      </c>
      <c r="Y165">
        <v>1.408812536774151E-4</v>
      </c>
      <c r="Z165" t="s">
        <v>1211</v>
      </c>
      <c r="AA165" t="s">
        <v>25</v>
      </c>
      <c r="AC165" t="s">
        <v>22</v>
      </c>
      <c r="AD165" t="s">
        <v>1211</v>
      </c>
      <c r="AE165">
        <v>9.1452590107590076E-5</v>
      </c>
      <c r="AG165" t="s">
        <v>97</v>
      </c>
      <c r="AH165" t="s">
        <v>1211</v>
      </c>
      <c r="AI165">
        <v>0</v>
      </c>
    </row>
    <row r="166" spans="5:35" x14ac:dyDescent="0.45">
      <c r="E166" t="s">
        <v>900</v>
      </c>
      <c r="G166" t="s">
        <v>149</v>
      </c>
      <c r="I166" t="s">
        <v>236</v>
      </c>
      <c r="J166" t="s">
        <v>1212</v>
      </c>
      <c r="K166">
        <v>2.059176165696E-4</v>
      </c>
      <c r="L166" t="s">
        <v>238</v>
      </c>
      <c r="N166" t="s">
        <v>346</v>
      </c>
      <c r="O166" t="s">
        <v>1212</v>
      </c>
      <c r="P166">
        <v>1.1948258833250001E-4</v>
      </c>
      <c r="Q166" t="s">
        <v>238</v>
      </c>
      <c r="S166" t="s">
        <v>347</v>
      </c>
      <c r="T166" t="s">
        <v>1212</v>
      </c>
      <c r="U166">
        <v>1.4446210351909999E-4</v>
      </c>
      <c r="V166" t="s">
        <v>238</v>
      </c>
      <c r="X166">
        <v>1.1415525114155251E-4</v>
      </c>
      <c r="Y166">
        <v>1.4054976837464471E-4</v>
      </c>
      <c r="Z166" t="s">
        <v>1212</v>
      </c>
      <c r="AA166" t="s">
        <v>25</v>
      </c>
      <c r="AC166" t="s">
        <v>22</v>
      </c>
      <c r="AD166" t="s">
        <v>1212</v>
      </c>
      <c r="AE166">
        <v>9.1426793687211739E-5</v>
      </c>
      <c r="AG166" t="s">
        <v>97</v>
      </c>
      <c r="AH166" t="s">
        <v>1212</v>
      </c>
      <c r="AI166">
        <v>0</v>
      </c>
    </row>
    <row r="167" spans="5:35" x14ac:dyDescent="0.45">
      <c r="E167" t="s">
        <v>901</v>
      </c>
      <c r="G167" t="s">
        <v>149</v>
      </c>
      <c r="I167" t="s">
        <v>236</v>
      </c>
      <c r="J167" t="s">
        <v>1213</v>
      </c>
      <c r="K167">
        <v>2.01467970624E-4</v>
      </c>
      <c r="L167" t="s">
        <v>238</v>
      </c>
      <c r="N167" t="s">
        <v>346</v>
      </c>
      <c r="O167" t="s">
        <v>1213</v>
      </c>
      <c r="P167">
        <v>1.2713859064900001E-4</v>
      </c>
      <c r="Q167" t="s">
        <v>238</v>
      </c>
      <c r="S167" t="s">
        <v>347</v>
      </c>
      <c r="T167" t="s">
        <v>1213</v>
      </c>
      <c r="U167">
        <v>1.735977342316E-4</v>
      </c>
      <c r="V167" t="s">
        <v>238</v>
      </c>
      <c r="X167">
        <v>1.1415525114155251E-4</v>
      </c>
      <c r="Y167">
        <v>1.4253868019126702E-4</v>
      </c>
      <c r="Z167" t="s">
        <v>1213</v>
      </c>
      <c r="AA167" t="s">
        <v>25</v>
      </c>
      <c r="AC167" t="s">
        <v>22</v>
      </c>
      <c r="AD167" t="s">
        <v>1213</v>
      </c>
      <c r="AE167">
        <v>9.0836342287440507E-5</v>
      </c>
      <c r="AG167" t="s">
        <v>97</v>
      </c>
      <c r="AH167" t="s">
        <v>1213</v>
      </c>
      <c r="AI167">
        <v>0</v>
      </c>
    </row>
    <row r="168" spans="5:35" x14ac:dyDescent="0.45">
      <c r="E168" t="s">
        <v>902</v>
      </c>
      <c r="G168" t="s">
        <v>149</v>
      </c>
      <c r="I168" t="s">
        <v>236</v>
      </c>
      <c r="J168" t="s">
        <v>1214</v>
      </c>
      <c r="K168">
        <v>1.7926054171630001E-4</v>
      </c>
      <c r="L168" t="s">
        <v>238</v>
      </c>
      <c r="N168" t="s">
        <v>346</v>
      </c>
      <c r="O168" t="s">
        <v>1214</v>
      </c>
      <c r="P168">
        <v>1.3408980236779999E-4</v>
      </c>
      <c r="Q168" t="s">
        <v>238</v>
      </c>
      <c r="S168" t="s">
        <v>347</v>
      </c>
      <c r="T168" t="s">
        <v>1214</v>
      </c>
      <c r="U168">
        <v>1.949663599693E-4</v>
      </c>
      <c r="V168" t="s">
        <v>238</v>
      </c>
      <c r="X168">
        <v>1.1415525114155251E-4</v>
      </c>
      <c r="Y168">
        <v>1.4883690094390442E-4</v>
      </c>
      <c r="Z168" t="s">
        <v>1214</v>
      </c>
      <c r="AA168" t="s">
        <v>25</v>
      </c>
      <c r="AC168" t="s">
        <v>22</v>
      </c>
      <c r="AD168" t="s">
        <v>1214</v>
      </c>
      <c r="AE168">
        <v>9.0191431777981619E-5</v>
      </c>
      <c r="AG168" t="s">
        <v>97</v>
      </c>
      <c r="AH168" t="s">
        <v>1214</v>
      </c>
      <c r="AI168">
        <v>0</v>
      </c>
    </row>
    <row r="169" spans="5:35" x14ac:dyDescent="0.45">
      <c r="E169" t="s">
        <v>903</v>
      </c>
      <c r="G169" t="s">
        <v>149</v>
      </c>
      <c r="I169" t="s">
        <v>236</v>
      </c>
      <c r="J169" t="s">
        <v>1215</v>
      </c>
      <c r="K169">
        <v>1.6305325078290001E-4</v>
      </c>
      <c r="L169" t="s">
        <v>238</v>
      </c>
      <c r="N169" t="s">
        <v>346</v>
      </c>
      <c r="O169" t="s">
        <v>1215</v>
      </c>
      <c r="P169">
        <v>1.516139575098E-4</v>
      </c>
      <c r="Q169" t="s">
        <v>238</v>
      </c>
      <c r="S169" t="s">
        <v>347</v>
      </c>
      <c r="T169" t="s">
        <v>1215</v>
      </c>
      <c r="U169">
        <v>1.983960589349E-4</v>
      </c>
      <c r="V169" t="s">
        <v>238</v>
      </c>
      <c r="X169">
        <v>1.1415525114155251E-4</v>
      </c>
      <c r="Y169">
        <v>1.5049432745775637E-4</v>
      </c>
      <c r="Z169" t="s">
        <v>1215</v>
      </c>
      <c r="AA169" t="s">
        <v>25</v>
      </c>
      <c r="AC169" t="s">
        <v>22</v>
      </c>
      <c r="AD169" t="s">
        <v>1215</v>
      </c>
      <c r="AE169">
        <v>8.9268493182222721E-5</v>
      </c>
      <c r="AG169" t="s">
        <v>97</v>
      </c>
      <c r="AH169" t="s">
        <v>1215</v>
      </c>
      <c r="AI169">
        <v>0</v>
      </c>
    </row>
    <row r="170" spans="5:35" x14ac:dyDescent="0.45">
      <c r="E170" t="s">
        <v>904</v>
      </c>
      <c r="G170" t="s">
        <v>149</v>
      </c>
      <c r="I170" t="s">
        <v>236</v>
      </c>
      <c r="J170" t="s">
        <v>1216</v>
      </c>
      <c r="K170">
        <v>1.3035415042409999E-4</v>
      </c>
      <c r="L170" t="s">
        <v>238</v>
      </c>
      <c r="N170" t="s">
        <v>346</v>
      </c>
      <c r="O170" t="s">
        <v>1216</v>
      </c>
      <c r="P170">
        <v>1.495516962196E-4</v>
      </c>
      <c r="Q170" t="s">
        <v>238</v>
      </c>
      <c r="S170" t="s">
        <v>347</v>
      </c>
      <c r="T170" t="s">
        <v>1216</v>
      </c>
      <c r="U170">
        <v>1.968613901435E-4</v>
      </c>
      <c r="V170" t="s">
        <v>238</v>
      </c>
      <c r="X170">
        <v>1.1415525114155251E-4</v>
      </c>
      <c r="Y170">
        <v>1.7237235744060203E-4</v>
      </c>
      <c r="Z170" t="s">
        <v>1216</v>
      </c>
      <c r="AA170" t="s">
        <v>25</v>
      </c>
      <c r="AC170" t="s">
        <v>22</v>
      </c>
      <c r="AD170" t="s">
        <v>1216</v>
      </c>
      <c r="AE170">
        <v>8.9509259772420669E-5</v>
      </c>
      <c r="AG170" t="s">
        <v>97</v>
      </c>
      <c r="AH170" t="s">
        <v>1216</v>
      </c>
      <c r="AI170">
        <v>0</v>
      </c>
    </row>
    <row r="171" spans="5:35" x14ac:dyDescent="0.45">
      <c r="E171" t="s">
        <v>905</v>
      </c>
      <c r="G171" t="s">
        <v>149</v>
      </c>
      <c r="I171" t="s">
        <v>236</v>
      </c>
      <c r="J171" t="s">
        <v>1217</v>
      </c>
      <c r="K171">
        <v>1.013502645377E-4</v>
      </c>
      <c r="L171" t="s">
        <v>238</v>
      </c>
      <c r="N171" t="s">
        <v>346</v>
      </c>
      <c r="O171" t="s">
        <v>1217</v>
      </c>
      <c r="P171">
        <v>1.2407612474390001E-4</v>
      </c>
      <c r="Q171" t="s">
        <v>238</v>
      </c>
      <c r="S171" t="s">
        <v>347</v>
      </c>
      <c r="T171" t="s">
        <v>1217</v>
      </c>
      <c r="U171">
        <v>1.9415522785169999E-4</v>
      </c>
      <c r="V171" t="s">
        <v>238</v>
      </c>
      <c r="X171">
        <v>1.1415525114155251E-4</v>
      </c>
      <c r="Y171">
        <v>2.2209515285616027E-4</v>
      </c>
      <c r="Z171" t="s">
        <v>1217</v>
      </c>
      <c r="AA171" t="s">
        <v>25</v>
      </c>
      <c r="AC171" t="s">
        <v>22</v>
      </c>
      <c r="AD171" t="s">
        <v>1217</v>
      </c>
      <c r="AE171">
        <v>9.1214689786323029E-5</v>
      </c>
      <c r="AG171" t="s">
        <v>97</v>
      </c>
      <c r="AH171" t="s">
        <v>1217</v>
      </c>
      <c r="AI171">
        <v>0</v>
      </c>
    </row>
    <row r="172" spans="5:35" x14ac:dyDescent="0.45">
      <c r="E172" t="s">
        <v>906</v>
      </c>
      <c r="G172" t="s">
        <v>149</v>
      </c>
      <c r="I172" t="s">
        <v>236</v>
      </c>
      <c r="J172" t="s">
        <v>1218</v>
      </c>
      <c r="K172">
        <v>7.1683703403799181E-5</v>
      </c>
      <c r="L172" t="s">
        <v>238</v>
      </c>
      <c r="N172" t="s">
        <v>346</v>
      </c>
      <c r="O172" t="s">
        <v>1218</v>
      </c>
      <c r="P172">
        <v>1.150528304077E-4</v>
      </c>
      <c r="Q172" t="s">
        <v>238</v>
      </c>
      <c r="S172" t="s">
        <v>347</v>
      </c>
      <c r="T172" t="s">
        <v>1218</v>
      </c>
      <c r="U172">
        <v>1.9164342160990001E-4</v>
      </c>
      <c r="V172" t="s">
        <v>238</v>
      </c>
      <c r="X172">
        <v>1.1415525114155251E-4</v>
      </c>
      <c r="Y172">
        <v>2.2209515285616027E-4</v>
      </c>
      <c r="Z172" t="s">
        <v>1218</v>
      </c>
      <c r="AA172" t="s">
        <v>25</v>
      </c>
      <c r="AC172" t="s">
        <v>22</v>
      </c>
      <c r="AD172" t="s">
        <v>1218</v>
      </c>
      <c r="AE172">
        <v>9.1744949538544778E-5</v>
      </c>
      <c r="AG172" t="s">
        <v>97</v>
      </c>
      <c r="AH172" t="s">
        <v>1218</v>
      </c>
      <c r="AI172">
        <v>0</v>
      </c>
    </row>
    <row r="173" spans="5:35" x14ac:dyDescent="0.45">
      <c r="E173" t="s">
        <v>907</v>
      </c>
      <c r="G173" t="s">
        <v>149</v>
      </c>
      <c r="I173" t="s">
        <v>236</v>
      </c>
      <c r="J173" t="s">
        <v>1219</v>
      </c>
      <c r="K173">
        <v>2.2705637079533703E-5</v>
      </c>
      <c r="L173" t="s">
        <v>238</v>
      </c>
      <c r="N173" t="s">
        <v>346</v>
      </c>
      <c r="O173" t="s">
        <v>1219</v>
      </c>
      <c r="P173">
        <v>1.2227519312280001E-4</v>
      </c>
      <c r="Q173" t="s">
        <v>238</v>
      </c>
      <c r="S173" t="s">
        <v>347</v>
      </c>
      <c r="T173" t="s">
        <v>1219</v>
      </c>
      <c r="U173">
        <v>1.9213561560329999E-4</v>
      </c>
      <c r="V173" t="s">
        <v>238</v>
      </c>
      <c r="X173">
        <v>1.1415525114155251E-4</v>
      </c>
      <c r="Y173">
        <v>1.7237235744060203E-4</v>
      </c>
      <c r="Z173" t="s">
        <v>1219</v>
      </c>
      <c r="AA173" t="s">
        <v>25</v>
      </c>
      <c r="AC173" t="s">
        <v>22</v>
      </c>
      <c r="AD173" t="s">
        <v>1219</v>
      </c>
      <c r="AE173">
        <v>9.0681563765170379E-5</v>
      </c>
      <c r="AG173" t="s">
        <v>97</v>
      </c>
      <c r="AH173" t="s">
        <v>1219</v>
      </c>
      <c r="AI173">
        <v>0</v>
      </c>
    </row>
    <row r="174" spans="5:35" x14ac:dyDescent="0.45">
      <c r="E174" t="s">
        <v>908</v>
      </c>
      <c r="G174" t="s">
        <v>149</v>
      </c>
      <c r="I174" t="s">
        <v>236</v>
      </c>
      <c r="J174" t="s">
        <v>1220</v>
      </c>
      <c r="K174">
        <v>0</v>
      </c>
      <c r="L174" t="s">
        <v>238</v>
      </c>
      <c r="N174" t="s">
        <v>346</v>
      </c>
      <c r="O174" t="s">
        <v>1220</v>
      </c>
      <c r="P174">
        <v>1.4564283452540001E-4</v>
      </c>
      <c r="Q174" t="s">
        <v>238</v>
      </c>
      <c r="S174" t="s">
        <v>347</v>
      </c>
      <c r="T174" t="s">
        <v>1220</v>
      </c>
      <c r="U174">
        <v>1.918358235691E-4</v>
      </c>
      <c r="V174" t="s">
        <v>238</v>
      </c>
      <c r="X174">
        <v>1.1415525114155251E-4</v>
      </c>
      <c r="Y174">
        <v>1.5579809230208258E-4</v>
      </c>
      <c r="Z174" t="s">
        <v>1220</v>
      </c>
      <c r="AA174" t="s">
        <v>25</v>
      </c>
      <c r="AC174" t="s">
        <v>22</v>
      </c>
      <c r="AD174" t="s">
        <v>1220</v>
      </c>
      <c r="AE174">
        <v>9.1068510070845698E-5</v>
      </c>
      <c r="AG174" t="s">
        <v>97</v>
      </c>
      <c r="AH174" t="s">
        <v>1220</v>
      </c>
      <c r="AI174">
        <v>0</v>
      </c>
    </row>
    <row r="175" spans="5:35" x14ac:dyDescent="0.45">
      <c r="E175" t="s">
        <v>909</v>
      </c>
      <c r="G175" t="s">
        <v>149</v>
      </c>
      <c r="I175" t="s">
        <v>236</v>
      </c>
      <c r="J175" t="s">
        <v>1221</v>
      </c>
      <c r="K175">
        <v>0</v>
      </c>
      <c r="L175" t="s">
        <v>238</v>
      </c>
      <c r="N175" t="s">
        <v>346</v>
      </c>
      <c r="O175" t="s">
        <v>1221</v>
      </c>
      <c r="P175">
        <v>1.675792357986E-4</v>
      </c>
      <c r="Q175" t="s">
        <v>238</v>
      </c>
      <c r="S175" t="s">
        <v>347</v>
      </c>
      <c r="T175" t="s">
        <v>1221</v>
      </c>
      <c r="U175">
        <v>1.925935661397E-4</v>
      </c>
      <c r="V175" t="s">
        <v>238</v>
      </c>
      <c r="X175">
        <v>1.1415525114155251E-4</v>
      </c>
      <c r="Y175">
        <v>1.093901499142282E-4</v>
      </c>
      <c r="Z175" t="s">
        <v>1221</v>
      </c>
      <c r="AA175" t="s">
        <v>25</v>
      </c>
      <c r="AC175" t="s">
        <v>22</v>
      </c>
      <c r="AD175" t="s">
        <v>1221</v>
      </c>
      <c r="AE175">
        <v>9.0142705206155819E-5</v>
      </c>
      <c r="AG175" t="s">
        <v>97</v>
      </c>
      <c r="AH175" t="s">
        <v>1221</v>
      </c>
      <c r="AI175">
        <v>0</v>
      </c>
    </row>
    <row r="176" spans="5:35" x14ac:dyDescent="0.45">
      <c r="E176" t="s">
        <v>910</v>
      </c>
      <c r="G176" t="s">
        <v>149</v>
      </c>
      <c r="I176" t="s">
        <v>236</v>
      </c>
      <c r="J176" t="s">
        <v>1222</v>
      </c>
      <c r="K176">
        <v>0</v>
      </c>
      <c r="L176" t="s">
        <v>238</v>
      </c>
      <c r="N176" t="s">
        <v>346</v>
      </c>
      <c r="O176" t="s">
        <v>1222</v>
      </c>
      <c r="P176">
        <v>1.884670115092E-4</v>
      </c>
      <c r="Q176" t="s">
        <v>238</v>
      </c>
      <c r="S176" t="s">
        <v>347</v>
      </c>
      <c r="T176" t="s">
        <v>1222</v>
      </c>
      <c r="U176">
        <v>1.9540624198960001E-4</v>
      </c>
      <c r="V176" t="s">
        <v>238</v>
      </c>
      <c r="X176">
        <v>1.1415525114155251E-4</v>
      </c>
      <c r="Y176">
        <v>7.9556472664893237E-5</v>
      </c>
      <c r="Z176" t="s">
        <v>1222</v>
      </c>
      <c r="AA176" t="s">
        <v>25</v>
      </c>
      <c r="AC176" t="s">
        <v>22</v>
      </c>
      <c r="AD176" t="s">
        <v>1222</v>
      </c>
      <c r="AE176">
        <v>8.4994886206208575E-5</v>
      </c>
      <c r="AG176" t="s">
        <v>97</v>
      </c>
      <c r="AH176" t="s">
        <v>1222</v>
      </c>
      <c r="AI176">
        <v>0</v>
      </c>
    </row>
    <row r="177" spans="5:35" x14ac:dyDescent="0.45">
      <c r="E177" t="s">
        <v>911</v>
      </c>
      <c r="G177" t="s">
        <v>149</v>
      </c>
      <c r="I177" t="s">
        <v>236</v>
      </c>
      <c r="J177" t="s">
        <v>1223</v>
      </c>
      <c r="K177">
        <v>0</v>
      </c>
      <c r="L177" t="s">
        <v>238</v>
      </c>
      <c r="N177" t="s">
        <v>346</v>
      </c>
      <c r="O177" t="s">
        <v>1223</v>
      </c>
      <c r="P177">
        <v>2.1877234721170001E-4</v>
      </c>
      <c r="Q177" t="s">
        <v>238</v>
      </c>
      <c r="S177" t="s">
        <v>347</v>
      </c>
      <c r="T177" t="s">
        <v>1223</v>
      </c>
      <c r="U177">
        <v>1.98881992893E-4</v>
      </c>
      <c r="V177" t="s">
        <v>238</v>
      </c>
      <c r="X177">
        <v>1.1415525114155251E-4</v>
      </c>
      <c r="Y177">
        <v>5.6352501470966035E-5</v>
      </c>
      <c r="Z177" t="s">
        <v>1223</v>
      </c>
      <c r="AA177" t="s">
        <v>25</v>
      </c>
      <c r="AC177" t="s">
        <v>22</v>
      </c>
      <c r="AD177" t="s">
        <v>1223</v>
      </c>
      <c r="AE177">
        <v>8.6906687583137776E-5</v>
      </c>
      <c r="AG177" t="s">
        <v>97</v>
      </c>
      <c r="AH177" t="s">
        <v>1223</v>
      </c>
      <c r="AI177">
        <v>0</v>
      </c>
    </row>
    <row r="178" spans="5:35" x14ac:dyDescent="0.45">
      <c r="E178" t="s">
        <v>912</v>
      </c>
      <c r="G178" t="s">
        <v>149</v>
      </c>
      <c r="I178" t="s">
        <v>236</v>
      </c>
      <c r="J178" t="s">
        <v>1224</v>
      </c>
      <c r="K178">
        <v>0</v>
      </c>
      <c r="L178" t="s">
        <v>238</v>
      </c>
      <c r="N178" t="s">
        <v>346</v>
      </c>
      <c r="O178" t="s">
        <v>1224</v>
      </c>
      <c r="P178">
        <v>2.3951932748460001E-4</v>
      </c>
      <c r="Q178" t="s">
        <v>238</v>
      </c>
      <c r="S178" t="s">
        <v>347</v>
      </c>
      <c r="T178" t="s">
        <v>1224</v>
      </c>
      <c r="U178">
        <v>2.076005259795E-4</v>
      </c>
      <c r="V178" t="s">
        <v>238</v>
      </c>
      <c r="X178">
        <v>1.1415525114155251E-4</v>
      </c>
      <c r="Y178">
        <v>2.9833677249334962E-5</v>
      </c>
      <c r="Z178" t="s">
        <v>1224</v>
      </c>
      <c r="AA178" t="s">
        <v>25</v>
      </c>
      <c r="AC178" t="s">
        <v>22</v>
      </c>
      <c r="AD178" t="s">
        <v>1224</v>
      </c>
      <c r="AE178">
        <v>7.4624725214109911E-5</v>
      </c>
      <c r="AG178" t="s">
        <v>97</v>
      </c>
      <c r="AH178" t="s">
        <v>1224</v>
      </c>
      <c r="AI178">
        <v>0</v>
      </c>
    </row>
    <row r="179" spans="5:35" x14ac:dyDescent="0.45">
      <c r="E179" t="s">
        <v>913</v>
      </c>
      <c r="G179" t="s">
        <v>153</v>
      </c>
      <c r="I179" t="s">
        <v>236</v>
      </c>
      <c r="J179" t="s">
        <v>1225</v>
      </c>
      <c r="K179">
        <v>0</v>
      </c>
      <c r="L179" t="s">
        <v>238</v>
      </c>
      <c r="N179" t="s">
        <v>346</v>
      </c>
      <c r="O179" t="s">
        <v>1225</v>
      </c>
      <c r="P179">
        <v>2.451321925083E-4</v>
      </c>
      <c r="Q179" t="s">
        <v>238</v>
      </c>
      <c r="S179" t="s">
        <v>347</v>
      </c>
      <c r="T179" t="s">
        <v>1225</v>
      </c>
      <c r="U179">
        <v>2.091275840903E-4</v>
      </c>
      <c r="V179" t="s">
        <v>238</v>
      </c>
      <c r="X179">
        <v>1.1415525114155251E-4</v>
      </c>
      <c r="Y179">
        <v>2.1546544680075254E-5</v>
      </c>
      <c r="Z179" t="s">
        <v>1225</v>
      </c>
      <c r="AA179" t="s">
        <v>25</v>
      </c>
      <c r="AC179" t="s">
        <v>22</v>
      </c>
      <c r="AD179" t="s">
        <v>1225</v>
      </c>
      <c r="AE179">
        <v>6.6986118513185944E-5</v>
      </c>
      <c r="AG179" t="s">
        <v>97</v>
      </c>
      <c r="AH179" t="s">
        <v>1225</v>
      </c>
      <c r="AI179">
        <v>0</v>
      </c>
    </row>
    <row r="180" spans="5:35" x14ac:dyDescent="0.45">
      <c r="E180" t="s">
        <v>914</v>
      </c>
      <c r="G180" t="s">
        <v>153</v>
      </c>
      <c r="I180" t="s">
        <v>236</v>
      </c>
      <c r="J180" t="s">
        <v>1226</v>
      </c>
      <c r="K180">
        <v>0</v>
      </c>
      <c r="L180" t="s">
        <v>238</v>
      </c>
      <c r="N180" t="s">
        <v>346</v>
      </c>
      <c r="O180" t="s">
        <v>1226</v>
      </c>
      <c r="P180">
        <v>2.5108851372069999E-4</v>
      </c>
      <c r="Q180" t="s">
        <v>238</v>
      </c>
      <c r="S180" t="s">
        <v>347</v>
      </c>
      <c r="T180" t="s">
        <v>1226</v>
      </c>
      <c r="U180">
        <v>2.1110796299200001E-4</v>
      </c>
      <c r="V180" t="s">
        <v>238</v>
      </c>
      <c r="X180">
        <v>1.1415525114155251E-4</v>
      </c>
      <c r="Y180">
        <v>1.4916838624667481E-5</v>
      </c>
      <c r="Z180" t="s">
        <v>1226</v>
      </c>
      <c r="AA180" t="s">
        <v>25</v>
      </c>
      <c r="AC180" t="s">
        <v>22</v>
      </c>
      <c r="AD180" t="s">
        <v>1226</v>
      </c>
      <c r="AE180">
        <v>6.5713495107853776E-5</v>
      </c>
      <c r="AG180" t="s">
        <v>97</v>
      </c>
      <c r="AH180" t="s">
        <v>1226</v>
      </c>
      <c r="AI180">
        <v>0</v>
      </c>
    </row>
    <row r="181" spans="5:35" x14ac:dyDescent="0.45">
      <c r="E181" t="s">
        <v>915</v>
      </c>
      <c r="G181" t="s">
        <v>153</v>
      </c>
      <c r="I181" t="s">
        <v>236</v>
      </c>
      <c r="J181" t="s">
        <v>1227</v>
      </c>
      <c r="K181">
        <v>0</v>
      </c>
      <c r="L181" t="s">
        <v>238</v>
      </c>
      <c r="N181" t="s">
        <v>346</v>
      </c>
      <c r="O181" t="s">
        <v>1227</v>
      </c>
      <c r="P181">
        <v>2.5549230801500002E-4</v>
      </c>
      <c r="Q181" t="s">
        <v>238</v>
      </c>
      <c r="S181" t="s">
        <v>347</v>
      </c>
      <c r="T181" t="s">
        <v>1227</v>
      </c>
      <c r="U181">
        <v>2.1234987979339999E-4</v>
      </c>
      <c r="V181" t="s">
        <v>238</v>
      </c>
      <c r="X181">
        <v>1.1415525114155251E-4</v>
      </c>
      <c r="Y181">
        <v>1.6574265138519424E-5</v>
      </c>
      <c r="Z181" t="s">
        <v>1227</v>
      </c>
      <c r="AA181" t="s">
        <v>25</v>
      </c>
      <c r="AC181" t="s">
        <v>22</v>
      </c>
      <c r="AD181" t="s">
        <v>1227</v>
      </c>
      <c r="AE181">
        <v>6.5713495107853776E-5</v>
      </c>
      <c r="AG181" t="s">
        <v>97</v>
      </c>
      <c r="AH181" t="s">
        <v>1227</v>
      </c>
      <c r="AI181">
        <v>0</v>
      </c>
    </row>
    <row r="182" spans="5:35" x14ac:dyDescent="0.45">
      <c r="E182" t="s">
        <v>916</v>
      </c>
      <c r="G182" t="s">
        <v>153</v>
      </c>
      <c r="I182" t="s">
        <v>236</v>
      </c>
      <c r="J182" t="s">
        <v>1228</v>
      </c>
      <c r="K182">
        <v>0</v>
      </c>
      <c r="L182" t="s">
        <v>238</v>
      </c>
      <c r="N182" t="s">
        <v>346</v>
      </c>
      <c r="O182" t="s">
        <v>1228</v>
      </c>
      <c r="P182">
        <v>2.5216662776020001E-4</v>
      </c>
      <c r="Q182" t="s">
        <v>238</v>
      </c>
      <c r="S182" t="s">
        <v>347</v>
      </c>
      <c r="T182" t="s">
        <v>1228</v>
      </c>
      <c r="U182">
        <v>2.030549473141E-4</v>
      </c>
      <c r="V182" t="s">
        <v>238</v>
      </c>
      <c r="X182">
        <v>1.1415525114155251E-4</v>
      </c>
      <c r="Y182">
        <v>1.4585353321897093E-5</v>
      </c>
      <c r="Z182" t="s">
        <v>1228</v>
      </c>
      <c r="AA182" t="s">
        <v>25</v>
      </c>
      <c r="AC182" t="s">
        <v>22</v>
      </c>
      <c r="AD182" t="s">
        <v>1228</v>
      </c>
      <c r="AE182">
        <v>6.645872502989515E-5</v>
      </c>
      <c r="AG182" t="s">
        <v>97</v>
      </c>
      <c r="AH182" t="s">
        <v>1228</v>
      </c>
      <c r="AI182">
        <v>0</v>
      </c>
    </row>
    <row r="183" spans="5:35" x14ac:dyDescent="0.45">
      <c r="E183" t="s">
        <v>917</v>
      </c>
      <c r="G183" t="s">
        <v>153</v>
      </c>
      <c r="I183" t="s">
        <v>236</v>
      </c>
      <c r="J183" t="s">
        <v>1229</v>
      </c>
      <c r="K183">
        <v>0</v>
      </c>
      <c r="L183" t="s">
        <v>238</v>
      </c>
      <c r="N183" t="s">
        <v>346</v>
      </c>
      <c r="O183" t="s">
        <v>1229</v>
      </c>
      <c r="P183">
        <v>2.4449964029210001E-4</v>
      </c>
      <c r="Q183" t="s">
        <v>238</v>
      </c>
      <c r="S183" t="s">
        <v>347</v>
      </c>
      <c r="T183" t="s">
        <v>1229</v>
      </c>
      <c r="U183">
        <v>2.100862787515E-4</v>
      </c>
      <c r="V183" t="s">
        <v>238</v>
      </c>
      <c r="X183">
        <v>1.1415525114155251E-4</v>
      </c>
      <c r="Y183">
        <v>2.1215059377304864E-5</v>
      </c>
      <c r="Z183" t="s">
        <v>1229</v>
      </c>
      <c r="AA183" t="s">
        <v>25</v>
      </c>
      <c r="AC183" t="s">
        <v>22</v>
      </c>
      <c r="AD183" t="s">
        <v>1229</v>
      </c>
      <c r="AE183">
        <v>7.6163911630018418E-5</v>
      </c>
      <c r="AG183" t="s">
        <v>97</v>
      </c>
      <c r="AH183" t="s">
        <v>1229</v>
      </c>
      <c r="AI183">
        <v>0</v>
      </c>
    </row>
    <row r="184" spans="5:35" x14ac:dyDescent="0.45">
      <c r="E184" t="s">
        <v>918</v>
      </c>
      <c r="G184" t="s">
        <v>153</v>
      </c>
      <c r="I184" t="s">
        <v>236</v>
      </c>
      <c r="J184" t="s">
        <v>1230</v>
      </c>
      <c r="K184">
        <v>0</v>
      </c>
      <c r="L184" t="s">
        <v>238</v>
      </c>
      <c r="N184" t="s">
        <v>346</v>
      </c>
      <c r="O184" t="s">
        <v>1230</v>
      </c>
      <c r="P184">
        <v>2.3874672469510001E-4</v>
      </c>
      <c r="Q184" t="s">
        <v>238</v>
      </c>
      <c r="S184" t="s">
        <v>347</v>
      </c>
      <c r="T184" t="s">
        <v>1230</v>
      </c>
      <c r="U184">
        <v>2.168524621231E-4</v>
      </c>
      <c r="V184" t="s">
        <v>238</v>
      </c>
      <c r="X184">
        <v>1.1415525114155251E-4</v>
      </c>
      <c r="Y184">
        <v>5.7678442682047593E-5</v>
      </c>
      <c r="Z184" t="s">
        <v>1230</v>
      </c>
      <c r="AA184" t="s">
        <v>25</v>
      </c>
      <c r="AC184" t="s">
        <v>22</v>
      </c>
      <c r="AD184" t="s">
        <v>1230</v>
      </c>
      <c r="AE184">
        <v>9.6196265188276447E-5</v>
      </c>
      <c r="AG184" t="s">
        <v>97</v>
      </c>
      <c r="AH184" t="s">
        <v>1230</v>
      </c>
      <c r="AI184">
        <v>0</v>
      </c>
    </row>
    <row r="185" spans="5:35" x14ac:dyDescent="0.45">
      <c r="E185" t="s">
        <v>919</v>
      </c>
      <c r="G185" t="s">
        <v>153</v>
      </c>
      <c r="I185" t="s">
        <v>236</v>
      </c>
      <c r="J185" t="s">
        <v>1231</v>
      </c>
      <c r="K185">
        <v>1.0133578481788369E-6</v>
      </c>
      <c r="L185" t="s">
        <v>238</v>
      </c>
      <c r="N185" t="s">
        <v>346</v>
      </c>
      <c r="O185" t="s">
        <v>1231</v>
      </c>
      <c r="P185">
        <v>2.3632006656780001E-4</v>
      </c>
      <c r="Q185" t="s">
        <v>238</v>
      </c>
      <c r="S185" t="s">
        <v>347</v>
      </c>
      <c r="T185" t="s">
        <v>1231</v>
      </c>
      <c r="U185">
        <v>2.184376336708E-4</v>
      </c>
      <c r="V185" t="s">
        <v>238</v>
      </c>
      <c r="X185">
        <v>1.1415525114155251E-4</v>
      </c>
      <c r="Y185">
        <v>1.6905750441289813E-4</v>
      </c>
      <c r="Z185" t="s">
        <v>1231</v>
      </c>
      <c r="AA185" t="s">
        <v>25</v>
      </c>
      <c r="AC185" t="s">
        <v>22</v>
      </c>
      <c r="AD185" t="s">
        <v>1231</v>
      </c>
      <c r="AE185">
        <v>1.1174004160070072E-4</v>
      </c>
      <c r="AG185" t="s">
        <v>97</v>
      </c>
      <c r="AH185" t="s">
        <v>1231</v>
      </c>
      <c r="AI185">
        <v>0</v>
      </c>
    </row>
    <row r="186" spans="5:35" x14ac:dyDescent="0.45">
      <c r="E186" t="s">
        <v>920</v>
      </c>
      <c r="G186" t="s">
        <v>153</v>
      </c>
      <c r="I186" t="s">
        <v>236</v>
      </c>
      <c r="J186" t="s">
        <v>1232</v>
      </c>
      <c r="K186">
        <v>1.7838776138842043E-5</v>
      </c>
      <c r="L186" t="s">
        <v>238</v>
      </c>
      <c r="N186" t="s">
        <v>346</v>
      </c>
      <c r="O186" t="s">
        <v>1232</v>
      </c>
      <c r="P186">
        <v>2.4216014721549999E-4</v>
      </c>
      <c r="Q186" t="s">
        <v>238</v>
      </c>
      <c r="S186" t="s">
        <v>347</v>
      </c>
      <c r="T186" t="s">
        <v>1232</v>
      </c>
      <c r="U186">
        <v>2.2042252246560001E-4</v>
      </c>
      <c r="V186" t="s">
        <v>238</v>
      </c>
      <c r="X186">
        <v>1.1415525114155251E-4</v>
      </c>
      <c r="Y186">
        <v>1.9060404909297337E-4</v>
      </c>
      <c r="Z186" t="s">
        <v>1232</v>
      </c>
      <c r="AA186" t="s">
        <v>25</v>
      </c>
      <c r="AC186" t="s">
        <v>22</v>
      </c>
      <c r="AD186" t="s">
        <v>1232</v>
      </c>
      <c r="AE186">
        <v>1.218579709268777E-4</v>
      </c>
      <c r="AG186" t="s">
        <v>97</v>
      </c>
      <c r="AH186" t="s">
        <v>1232</v>
      </c>
      <c r="AI186">
        <v>0</v>
      </c>
    </row>
    <row r="187" spans="5:35" x14ac:dyDescent="0.45">
      <c r="E187" t="s">
        <v>921</v>
      </c>
      <c r="G187" t="s">
        <v>153</v>
      </c>
      <c r="I187" t="s">
        <v>236</v>
      </c>
      <c r="J187" t="s">
        <v>1233</v>
      </c>
      <c r="K187">
        <v>3.4190361615848773E-5</v>
      </c>
      <c r="L187" t="s">
        <v>238</v>
      </c>
      <c r="N187" t="s">
        <v>346</v>
      </c>
      <c r="O187" t="s">
        <v>1233</v>
      </c>
      <c r="P187">
        <v>2.4270935344209999E-4</v>
      </c>
      <c r="Q187" t="s">
        <v>238</v>
      </c>
      <c r="S187" t="s">
        <v>347</v>
      </c>
      <c r="T187" t="s">
        <v>1233</v>
      </c>
      <c r="U187">
        <v>2.205372595161E-4</v>
      </c>
      <c r="V187" t="s">
        <v>238</v>
      </c>
      <c r="X187">
        <v>1.1415525114155251E-4</v>
      </c>
      <c r="Y187">
        <v>1.4585353321897094E-4</v>
      </c>
      <c r="Z187" t="s">
        <v>1233</v>
      </c>
      <c r="AA187" t="s">
        <v>25</v>
      </c>
      <c r="AC187" t="s">
        <v>22</v>
      </c>
      <c r="AD187" t="s">
        <v>1233</v>
      </c>
      <c r="AE187">
        <v>1.2620610089509595E-4</v>
      </c>
      <c r="AG187" t="s">
        <v>97</v>
      </c>
      <c r="AH187" t="s">
        <v>1233</v>
      </c>
      <c r="AI187">
        <v>0</v>
      </c>
    </row>
    <row r="188" spans="5:35" x14ac:dyDescent="0.45">
      <c r="E188" t="s">
        <v>922</v>
      </c>
      <c r="G188" t="s">
        <v>153</v>
      </c>
      <c r="I188" t="s">
        <v>236</v>
      </c>
      <c r="J188" t="s">
        <v>1234</v>
      </c>
      <c r="K188">
        <v>5.4372889674411779E-5</v>
      </c>
      <c r="L188" t="s">
        <v>238</v>
      </c>
      <c r="N188" t="s">
        <v>346</v>
      </c>
      <c r="O188" t="s">
        <v>1234</v>
      </c>
      <c r="P188">
        <v>2.5265817050140001E-4</v>
      </c>
      <c r="Q188" t="s">
        <v>238</v>
      </c>
      <c r="S188" t="s">
        <v>347</v>
      </c>
      <c r="T188" t="s">
        <v>1234</v>
      </c>
      <c r="U188">
        <v>2.191068793728E-4</v>
      </c>
      <c r="V188" t="s">
        <v>238</v>
      </c>
      <c r="X188">
        <v>1.1415525114155251E-4</v>
      </c>
      <c r="Y188">
        <v>1.4452759200788939E-4</v>
      </c>
      <c r="Z188" t="s">
        <v>1234</v>
      </c>
      <c r="AA188" t="s">
        <v>25</v>
      </c>
      <c r="AC188" t="s">
        <v>22</v>
      </c>
      <c r="AD188" t="s">
        <v>1234</v>
      </c>
      <c r="AE188">
        <v>1.2618317074364853E-4</v>
      </c>
      <c r="AG188" t="s">
        <v>97</v>
      </c>
      <c r="AH188" t="s">
        <v>1234</v>
      </c>
      <c r="AI188">
        <v>0</v>
      </c>
    </row>
    <row r="189" spans="5:35" x14ac:dyDescent="0.45">
      <c r="E189" t="s">
        <v>923</v>
      </c>
      <c r="G189" t="s">
        <v>153</v>
      </c>
      <c r="I189" t="s">
        <v>236</v>
      </c>
      <c r="J189" t="s">
        <v>1235</v>
      </c>
      <c r="K189">
        <v>7.3862642162612031E-5</v>
      </c>
      <c r="L189" t="s">
        <v>238</v>
      </c>
      <c r="N189" t="s">
        <v>346</v>
      </c>
      <c r="O189" t="s">
        <v>1235</v>
      </c>
      <c r="P189">
        <v>2.264398695569E-4</v>
      </c>
      <c r="Q189" t="s">
        <v>238</v>
      </c>
      <c r="S189" t="s">
        <v>347</v>
      </c>
      <c r="T189" t="s">
        <v>1235</v>
      </c>
      <c r="U189">
        <v>2.167315597253E-4</v>
      </c>
      <c r="V189" t="s">
        <v>238</v>
      </c>
      <c r="X189">
        <v>1.1415525114155251E-4</v>
      </c>
      <c r="Y189">
        <v>1.408812536774151E-4</v>
      </c>
      <c r="Z189" t="s">
        <v>1235</v>
      </c>
      <c r="AA189" t="s">
        <v>25</v>
      </c>
      <c r="AC189" t="s">
        <v>22</v>
      </c>
      <c r="AD189" t="s">
        <v>1235</v>
      </c>
      <c r="AE189">
        <v>1.2602265968351657E-4</v>
      </c>
      <c r="AG189" t="s">
        <v>97</v>
      </c>
      <c r="AH189" t="s">
        <v>1235</v>
      </c>
      <c r="AI189">
        <v>0</v>
      </c>
    </row>
    <row r="190" spans="5:35" x14ac:dyDescent="0.45">
      <c r="E190" t="s">
        <v>924</v>
      </c>
      <c r="G190" t="s">
        <v>153</v>
      </c>
      <c r="I190" t="s">
        <v>236</v>
      </c>
      <c r="J190" t="s">
        <v>1236</v>
      </c>
      <c r="K190">
        <v>9.0587010185960045E-5</v>
      </c>
      <c r="L190" t="s">
        <v>238</v>
      </c>
      <c r="N190" t="s">
        <v>346</v>
      </c>
      <c r="O190" t="s">
        <v>1236</v>
      </c>
      <c r="P190">
        <v>2.410452365563E-4</v>
      </c>
      <c r="Q190" t="s">
        <v>238</v>
      </c>
      <c r="S190" t="s">
        <v>347</v>
      </c>
      <c r="T190" t="s">
        <v>1236</v>
      </c>
      <c r="U190">
        <v>2.167210280428E-4</v>
      </c>
      <c r="V190" t="s">
        <v>238</v>
      </c>
      <c r="X190">
        <v>1.1415525114155251E-4</v>
      </c>
      <c r="Y190">
        <v>1.4054976837464471E-4</v>
      </c>
      <c r="Z190" t="s">
        <v>1236</v>
      </c>
      <c r="AA190" t="s">
        <v>25</v>
      </c>
      <c r="AC190" t="s">
        <v>22</v>
      </c>
      <c r="AD190" t="s">
        <v>1236</v>
      </c>
      <c r="AE190">
        <v>1.2595960176703611E-4</v>
      </c>
      <c r="AG190" t="s">
        <v>97</v>
      </c>
      <c r="AH190" t="s">
        <v>1236</v>
      </c>
      <c r="AI190">
        <v>0</v>
      </c>
    </row>
    <row r="191" spans="5:35" x14ac:dyDescent="0.45">
      <c r="E191" t="s">
        <v>925</v>
      </c>
      <c r="G191" t="s">
        <v>153</v>
      </c>
      <c r="I191" t="s">
        <v>236</v>
      </c>
      <c r="J191" t="s">
        <v>1237</v>
      </c>
      <c r="K191">
        <v>9.3939656056002258E-5</v>
      </c>
      <c r="L191" t="s">
        <v>238</v>
      </c>
      <c r="N191" t="s">
        <v>346</v>
      </c>
      <c r="O191" t="s">
        <v>1237</v>
      </c>
      <c r="P191">
        <v>2.4438351366299997E-4</v>
      </c>
      <c r="Q191" t="s">
        <v>238</v>
      </c>
      <c r="S191" t="s">
        <v>347</v>
      </c>
      <c r="T191" t="s">
        <v>1237</v>
      </c>
      <c r="U191">
        <v>2.150860603761E-4</v>
      </c>
      <c r="V191" t="s">
        <v>238</v>
      </c>
      <c r="X191">
        <v>1.1415525114155251E-4</v>
      </c>
      <c r="Y191">
        <v>1.4253868019126702E-4</v>
      </c>
      <c r="Z191" t="s">
        <v>1237</v>
      </c>
      <c r="AA191" t="s">
        <v>25</v>
      </c>
      <c r="AC191" t="s">
        <v>22</v>
      </c>
      <c r="AD191" t="s">
        <v>1237</v>
      </c>
      <c r="AE191">
        <v>1.2569303875645978E-4</v>
      </c>
      <c r="AG191" t="s">
        <v>97</v>
      </c>
      <c r="AH191" t="s">
        <v>1237</v>
      </c>
      <c r="AI191">
        <v>0</v>
      </c>
    </row>
    <row r="192" spans="5:35" x14ac:dyDescent="0.45">
      <c r="E192" t="s">
        <v>926</v>
      </c>
      <c r="G192" t="s">
        <v>153</v>
      </c>
      <c r="I192" t="s">
        <v>236</v>
      </c>
      <c r="J192" t="s">
        <v>1238</v>
      </c>
      <c r="K192">
        <v>9.5612949550962536E-5</v>
      </c>
      <c r="L192" t="s">
        <v>238</v>
      </c>
      <c r="N192" t="s">
        <v>346</v>
      </c>
      <c r="O192" t="s">
        <v>1238</v>
      </c>
      <c r="P192">
        <v>2.3426070890630001E-4</v>
      </c>
      <c r="Q192" t="s">
        <v>238</v>
      </c>
      <c r="S192" t="s">
        <v>347</v>
      </c>
      <c r="T192" t="s">
        <v>1238</v>
      </c>
      <c r="U192">
        <v>2.137256906004E-4</v>
      </c>
      <c r="V192" t="s">
        <v>238</v>
      </c>
      <c r="X192">
        <v>1.1415525114155251E-4</v>
      </c>
      <c r="Y192">
        <v>1.4883690094390442E-4</v>
      </c>
      <c r="Z192" t="s">
        <v>1238</v>
      </c>
      <c r="AA192" t="s">
        <v>25</v>
      </c>
      <c r="AC192" t="s">
        <v>22</v>
      </c>
      <c r="AD192" t="s">
        <v>1238</v>
      </c>
      <c r="AE192">
        <v>1.2498220406158956E-4</v>
      </c>
      <c r="AG192" t="s">
        <v>97</v>
      </c>
      <c r="AH192" t="s">
        <v>1238</v>
      </c>
      <c r="AI192">
        <v>0</v>
      </c>
    </row>
    <row r="193" spans="5:35" x14ac:dyDescent="0.45">
      <c r="E193" t="s">
        <v>927</v>
      </c>
      <c r="G193" t="s">
        <v>153</v>
      </c>
      <c r="I193" t="s">
        <v>236</v>
      </c>
      <c r="J193" t="s">
        <v>1239</v>
      </c>
      <c r="K193">
        <v>7.9204020757858861E-5</v>
      </c>
      <c r="L193" t="s">
        <v>238</v>
      </c>
      <c r="N193" t="s">
        <v>346</v>
      </c>
      <c r="O193" t="s">
        <v>1239</v>
      </c>
      <c r="P193">
        <v>2.0452645313879999E-4</v>
      </c>
      <c r="Q193" t="s">
        <v>238</v>
      </c>
      <c r="S193" t="s">
        <v>347</v>
      </c>
      <c r="T193" t="s">
        <v>1239</v>
      </c>
      <c r="U193">
        <v>2.1067994621990001E-4</v>
      </c>
      <c r="V193" t="s">
        <v>238</v>
      </c>
      <c r="X193">
        <v>1.1415525114155251E-4</v>
      </c>
      <c r="Y193">
        <v>1.5049432745775637E-4</v>
      </c>
      <c r="Z193" t="s">
        <v>1239</v>
      </c>
      <c r="AA193" t="s">
        <v>25</v>
      </c>
      <c r="AC193" t="s">
        <v>22</v>
      </c>
      <c r="AD193" t="s">
        <v>1239</v>
      </c>
      <c r="AE193">
        <v>1.2342008749423363E-4</v>
      </c>
      <c r="AG193" t="s">
        <v>97</v>
      </c>
      <c r="AH193" t="s">
        <v>1239</v>
      </c>
      <c r="AI193">
        <v>0</v>
      </c>
    </row>
    <row r="194" spans="5:35" x14ac:dyDescent="0.45">
      <c r="E194" t="s">
        <v>928</v>
      </c>
      <c r="G194" t="s">
        <v>153</v>
      </c>
      <c r="I194" t="s">
        <v>236</v>
      </c>
      <c r="J194" t="s">
        <v>1240</v>
      </c>
      <c r="K194">
        <v>7.2254658244120428E-5</v>
      </c>
      <c r="L194" t="s">
        <v>238</v>
      </c>
      <c r="N194" t="s">
        <v>346</v>
      </c>
      <c r="O194" t="s">
        <v>1240</v>
      </c>
      <c r="P194">
        <v>1.9315503547380001E-4</v>
      </c>
      <c r="Q194" t="s">
        <v>238</v>
      </c>
      <c r="S194" t="s">
        <v>347</v>
      </c>
      <c r="T194" t="s">
        <v>1240</v>
      </c>
      <c r="U194">
        <v>2.07513612673E-4</v>
      </c>
      <c r="V194" t="s">
        <v>238</v>
      </c>
      <c r="X194">
        <v>1.1415525114155251E-4</v>
      </c>
      <c r="Y194">
        <v>1.7237235744060203E-4</v>
      </c>
      <c r="Z194" t="s">
        <v>1240</v>
      </c>
      <c r="AA194" t="s">
        <v>25</v>
      </c>
      <c r="AC194" t="s">
        <v>22</v>
      </c>
      <c r="AD194" t="s">
        <v>1240</v>
      </c>
      <c r="AE194">
        <v>1.2371531319411926E-4</v>
      </c>
      <c r="AG194" t="s">
        <v>97</v>
      </c>
      <c r="AH194" t="s">
        <v>1240</v>
      </c>
      <c r="AI194">
        <v>0</v>
      </c>
    </row>
    <row r="195" spans="5:35" x14ac:dyDescent="0.45">
      <c r="E195" t="s">
        <v>929</v>
      </c>
      <c r="G195" t="s">
        <v>153</v>
      </c>
      <c r="I195" t="s">
        <v>236</v>
      </c>
      <c r="J195" t="s">
        <v>1241</v>
      </c>
      <c r="K195">
        <v>5.8533089638620389E-5</v>
      </c>
      <c r="L195" t="s">
        <v>238</v>
      </c>
      <c r="N195" t="s">
        <v>346</v>
      </c>
      <c r="O195" t="s">
        <v>1241</v>
      </c>
      <c r="P195">
        <v>1.698253143422E-4</v>
      </c>
      <c r="Q195" t="s">
        <v>238</v>
      </c>
      <c r="S195" t="s">
        <v>347</v>
      </c>
      <c r="T195" t="s">
        <v>1241</v>
      </c>
      <c r="U195">
        <v>1.94865147397E-4</v>
      </c>
      <c r="V195" t="s">
        <v>238</v>
      </c>
      <c r="X195">
        <v>1.1415525114155251E-4</v>
      </c>
      <c r="Y195">
        <v>2.2209515285616027E-4</v>
      </c>
      <c r="Z195" t="s">
        <v>1241</v>
      </c>
      <c r="AA195" t="s">
        <v>25</v>
      </c>
      <c r="AC195" t="s">
        <v>22</v>
      </c>
      <c r="AD195" t="s">
        <v>1241</v>
      </c>
      <c r="AE195">
        <v>1.2437168877930184E-4</v>
      </c>
      <c r="AG195" t="s">
        <v>97</v>
      </c>
      <c r="AH195" t="s">
        <v>1241</v>
      </c>
      <c r="AI195">
        <v>0</v>
      </c>
    </row>
    <row r="196" spans="5:35" x14ac:dyDescent="0.45">
      <c r="E196" t="s">
        <v>930</v>
      </c>
      <c r="G196" t="s">
        <v>153</v>
      </c>
      <c r="I196" t="s">
        <v>236</v>
      </c>
      <c r="J196" t="s">
        <v>1242</v>
      </c>
      <c r="K196">
        <v>3.9011931171111331E-5</v>
      </c>
      <c r="L196" t="s">
        <v>238</v>
      </c>
      <c r="N196" t="s">
        <v>346</v>
      </c>
      <c r="O196" t="s">
        <v>1242</v>
      </c>
      <c r="P196">
        <v>1.3597239165519999E-4</v>
      </c>
      <c r="Q196" t="s">
        <v>238</v>
      </c>
      <c r="S196" t="s">
        <v>347</v>
      </c>
      <c r="T196" t="s">
        <v>1242</v>
      </c>
      <c r="U196">
        <v>1.722537005286E-4</v>
      </c>
      <c r="V196" t="s">
        <v>238</v>
      </c>
      <c r="X196">
        <v>1.1415525114155251E-4</v>
      </c>
      <c r="Y196">
        <v>2.2209515285616027E-4</v>
      </c>
      <c r="Z196" t="s">
        <v>1242</v>
      </c>
      <c r="AA196" t="s">
        <v>25</v>
      </c>
      <c r="AC196" t="s">
        <v>22</v>
      </c>
      <c r="AD196" t="s">
        <v>1242</v>
      </c>
      <c r="AE196">
        <v>1.2585068354766085E-4</v>
      </c>
      <c r="AG196" t="s">
        <v>97</v>
      </c>
      <c r="AH196" t="s">
        <v>1242</v>
      </c>
      <c r="AI196">
        <v>0</v>
      </c>
    </row>
    <row r="197" spans="5:35" x14ac:dyDescent="0.45">
      <c r="E197" t="s">
        <v>931</v>
      </c>
      <c r="G197" t="s">
        <v>153</v>
      </c>
      <c r="I197" t="s">
        <v>236</v>
      </c>
      <c r="J197" t="s">
        <v>1243</v>
      </c>
      <c r="K197">
        <v>1.2665002355265934E-5</v>
      </c>
      <c r="L197" t="s">
        <v>238</v>
      </c>
      <c r="N197" t="s">
        <v>346</v>
      </c>
      <c r="O197" t="s">
        <v>1243</v>
      </c>
      <c r="P197">
        <v>1.078260149524E-4</v>
      </c>
      <c r="Q197" t="s">
        <v>238</v>
      </c>
      <c r="S197" t="s">
        <v>347</v>
      </c>
      <c r="T197" t="s">
        <v>1243</v>
      </c>
      <c r="U197">
        <v>1.6329141862439999E-4</v>
      </c>
      <c r="V197" t="s">
        <v>238</v>
      </c>
      <c r="X197">
        <v>1.1415525114155251E-4</v>
      </c>
      <c r="Y197">
        <v>1.7237235744060203E-4</v>
      </c>
      <c r="Z197" t="s">
        <v>1243</v>
      </c>
      <c r="AA197" t="s">
        <v>25</v>
      </c>
      <c r="AC197" t="s">
        <v>22</v>
      </c>
      <c r="AD197" t="s">
        <v>1243</v>
      </c>
      <c r="AE197">
        <v>1.2573316652149277E-4</v>
      </c>
      <c r="AG197" t="s">
        <v>97</v>
      </c>
      <c r="AH197" t="s">
        <v>1243</v>
      </c>
      <c r="AI197">
        <v>0</v>
      </c>
    </row>
    <row r="198" spans="5:35" x14ac:dyDescent="0.45">
      <c r="E198" t="s">
        <v>932</v>
      </c>
      <c r="G198" t="s">
        <v>153</v>
      </c>
      <c r="I198" t="s">
        <v>236</v>
      </c>
      <c r="J198" t="s">
        <v>1244</v>
      </c>
      <c r="K198">
        <v>0</v>
      </c>
      <c r="L198" t="s">
        <v>238</v>
      </c>
      <c r="N198" t="s">
        <v>346</v>
      </c>
      <c r="O198" t="s">
        <v>1244</v>
      </c>
      <c r="P198">
        <v>9.9935355632499562E-5</v>
      </c>
      <c r="Q198" t="s">
        <v>238</v>
      </c>
      <c r="S198" t="s">
        <v>347</v>
      </c>
      <c r="T198" t="s">
        <v>1244</v>
      </c>
      <c r="U198">
        <v>1.632970288281E-4</v>
      </c>
      <c r="V198" t="s">
        <v>238</v>
      </c>
      <c r="X198">
        <v>1.1415525114155251E-4</v>
      </c>
      <c r="Y198">
        <v>1.5579809230208258E-4</v>
      </c>
      <c r="Z198" t="s">
        <v>1244</v>
      </c>
      <c r="AA198" t="s">
        <v>25</v>
      </c>
      <c r="AC198" t="s">
        <v>22</v>
      </c>
      <c r="AD198" t="s">
        <v>1244</v>
      </c>
      <c r="AE198">
        <v>1.2218472558500352E-4</v>
      </c>
      <c r="AG198" t="s">
        <v>97</v>
      </c>
      <c r="AH198" t="s">
        <v>1244</v>
      </c>
      <c r="AI198">
        <v>0</v>
      </c>
    </row>
    <row r="199" spans="5:35" x14ac:dyDescent="0.45">
      <c r="E199" t="s">
        <v>933</v>
      </c>
      <c r="G199" t="s">
        <v>153</v>
      </c>
      <c r="I199" t="s">
        <v>236</v>
      </c>
      <c r="J199" t="s">
        <v>1245</v>
      </c>
      <c r="K199">
        <v>0</v>
      </c>
      <c r="L199" t="s">
        <v>238</v>
      </c>
      <c r="N199" t="s">
        <v>346</v>
      </c>
      <c r="O199" t="s">
        <v>1245</v>
      </c>
      <c r="P199">
        <v>1.044496940675E-4</v>
      </c>
      <c r="Q199" t="s">
        <v>238</v>
      </c>
      <c r="S199" t="s">
        <v>347</v>
      </c>
      <c r="T199" t="s">
        <v>1245</v>
      </c>
      <c r="U199">
        <v>1.652554630581E-4</v>
      </c>
      <c r="V199" t="s">
        <v>238</v>
      </c>
      <c r="X199">
        <v>1.1415525114155251E-4</v>
      </c>
      <c r="Y199">
        <v>1.093901499142282E-4</v>
      </c>
      <c r="Z199" t="s">
        <v>1245</v>
      </c>
      <c r="AA199" t="s">
        <v>25</v>
      </c>
      <c r="AC199" t="s">
        <v>22</v>
      </c>
      <c r="AD199" t="s">
        <v>1245</v>
      </c>
      <c r="AE199">
        <v>1.0750942865865053E-4</v>
      </c>
      <c r="AG199" t="s">
        <v>97</v>
      </c>
      <c r="AH199" t="s">
        <v>1245</v>
      </c>
      <c r="AI199">
        <v>0</v>
      </c>
    </row>
    <row r="200" spans="5:35" x14ac:dyDescent="0.45">
      <c r="E200" t="s">
        <v>934</v>
      </c>
      <c r="G200" t="s">
        <v>153</v>
      </c>
      <c r="I200" t="s">
        <v>236</v>
      </c>
      <c r="J200" t="s">
        <v>1246</v>
      </c>
      <c r="K200">
        <v>0</v>
      </c>
      <c r="L200" t="s">
        <v>238</v>
      </c>
      <c r="N200" t="s">
        <v>346</v>
      </c>
      <c r="O200" t="s">
        <v>1246</v>
      </c>
      <c r="P200">
        <v>1.166304076815E-4</v>
      </c>
      <c r="Q200" t="s">
        <v>238</v>
      </c>
      <c r="S200" t="s">
        <v>347</v>
      </c>
      <c r="T200" t="s">
        <v>1246</v>
      </c>
      <c r="U200">
        <v>1.7608328912E-4</v>
      </c>
      <c r="V200" t="s">
        <v>238</v>
      </c>
      <c r="X200">
        <v>1.1415525114155251E-4</v>
      </c>
      <c r="Y200">
        <v>7.9556472664893237E-5</v>
      </c>
      <c r="Z200" t="s">
        <v>1246</v>
      </c>
      <c r="AA200" t="s">
        <v>25</v>
      </c>
      <c r="AC200" t="s">
        <v>22</v>
      </c>
      <c r="AD200" t="s">
        <v>1246</v>
      </c>
      <c r="AE200">
        <v>9.8033543573001526E-5</v>
      </c>
      <c r="AG200" t="s">
        <v>97</v>
      </c>
      <c r="AH200" t="s">
        <v>1246</v>
      </c>
      <c r="AI200">
        <v>0</v>
      </c>
    </row>
    <row r="201" spans="5:35" x14ac:dyDescent="0.45">
      <c r="E201" t="s">
        <v>935</v>
      </c>
      <c r="G201" t="s">
        <v>153</v>
      </c>
      <c r="I201" t="s">
        <v>236</v>
      </c>
      <c r="J201" t="s">
        <v>1247</v>
      </c>
      <c r="K201">
        <v>0</v>
      </c>
      <c r="L201" t="s">
        <v>238</v>
      </c>
      <c r="N201" t="s">
        <v>346</v>
      </c>
      <c r="O201" t="s">
        <v>1247</v>
      </c>
      <c r="P201">
        <v>1.3674496888519999E-4</v>
      </c>
      <c r="Q201" t="s">
        <v>238</v>
      </c>
      <c r="S201" t="s">
        <v>347</v>
      </c>
      <c r="T201" t="s">
        <v>1247</v>
      </c>
      <c r="U201">
        <v>1.9086647507529999E-4</v>
      </c>
      <c r="V201" t="s">
        <v>238</v>
      </c>
      <c r="X201">
        <v>1.1415525114155251E-4</v>
      </c>
      <c r="Y201">
        <v>5.6352501470966035E-5</v>
      </c>
      <c r="Z201" t="s">
        <v>1247</v>
      </c>
      <c r="AA201" t="s">
        <v>25</v>
      </c>
      <c r="AC201" t="s">
        <v>22</v>
      </c>
      <c r="AD201" t="s">
        <v>1247</v>
      </c>
      <c r="AE201">
        <v>8.7007006995720249E-5</v>
      </c>
      <c r="AG201" t="s">
        <v>97</v>
      </c>
      <c r="AH201" t="s">
        <v>1247</v>
      </c>
      <c r="AI201">
        <v>0</v>
      </c>
    </row>
    <row r="202" spans="5:35" x14ac:dyDescent="0.45">
      <c r="E202" t="s">
        <v>936</v>
      </c>
      <c r="G202" t="s">
        <v>153</v>
      </c>
      <c r="I202" t="s">
        <v>236</v>
      </c>
      <c r="J202" t="s">
        <v>1248</v>
      </c>
      <c r="K202">
        <v>0</v>
      </c>
      <c r="L202" t="s">
        <v>238</v>
      </c>
      <c r="N202" t="s">
        <v>346</v>
      </c>
      <c r="O202" t="s">
        <v>1248</v>
      </c>
      <c r="P202">
        <v>1.464061487015E-4</v>
      </c>
      <c r="Q202" t="s">
        <v>238</v>
      </c>
      <c r="S202" t="s">
        <v>347</v>
      </c>
      <c r="T202" t="s">
        <v>1248</v>
      </c>
      <c r="U202">
        <v>1.9094380516679999E-4</v>
      </c>
      <c r="V202" t="s">
        <v>238</v>
      </c>
      <c r="X202">
        <v>1.1415525114155251E-4</v>
      </c>
      <c r="Y202">
        <v>2.9833677249334962E-5</v>
      </c>
      <c r="Z202" t="s">
        <v>1248</v>
      </c>
      <c r="AA202" t="s">
        <v>25</v>
      </c>
      <c r="AC202" t="s">
        <v>22</v>
      </c>
      <c r="AD202" t="s">
        <v>1248</v>
      </c>
      <c r="AE202">
        <v>7.4326633245293353E-5</v>
      </c>
      <c r="AG202" t="s">
        <v>97</v>
      </c>
      <c r="AH202" t="s">
        <v>1248</v>
      </c>
      <c r="AI202">
        <v>0</v>
      </c>
    </row>
    <row r="203" spans="5:35" x14ac:dyDescent="0.45">
      <c r="E203" t="s">
        <v>937</v>
      </c>
      <c r="G203" t="s">
        <v>153</v>
      </c>
      <c r="I203" t="s">
        <v>236</v>
      </c>
      <c r="J203" t="s">
        <v>337</v>
      </c>
      <c r="K203">
        <v>0</v>
      </c>
      <c r="L203" t="s">
        <v>238</v>
      </c>
      <c r="N203" t="s">
        <v>346</v>
      </c>
      <c r="O203" t="s">
        <v>337</v>
      </c>
      <c r="P203">
        <v>2.8909414498237054E-2</v>
      </c>
      <c r="Q203" t="s">
        <v>238</v>
      </c>
      <c r="S203" t="s">
        <v>347</v>
      </c>
      <c r="T203" t="s">
        <v>337</v>
      </c>
      <c r="U203">
        <v>2.9483156555343473E-2</v>
      </c>
      <c r="V203" t="s">
        <v>238</v>
      </c>
      <c r="X203">
        <v>2.1232876712328767E-2</v>
      </c>
      <c r="Y203">
        <v>4.5420116185598634E-3</v>
      </c>
      <c r="Z203" t="s">
        <v>337</v>
      </c>
      <c r="AA203" t="s">
        <v>25</v>
      </c>
      <c r="AC203" t="s">
        <v>22</v>
      </c>
      <c r="AD203" t="s">
        <v>337</v>
      </c>
      <c r="AE203">
        <v>1.3658992641872411E-2</v>
      </c>
      <c r="AG203" t="s">
        <v>97</v>
      </c>
      <c r="AH203" t="s">
        <v>337</v>
      </c>
      <c r="AI203">
        <v>0.23019062309836835</v>
      </c>
    </row>
    <row r="204" spans="5:35" x14ac:dyDescent="0.45">
      <c r="E204" t="s">
        <v>938</v>
      </c>
      <c r="G204" t="s">
        <v>153</v>
      </c>
      <c r="I204" t="s">
        <v>236</v>
      </c>
      <c r="J204" t="s">
        <v>338</v>
      </c>
      <c r="K204">
        <v>5.6033372197025706E-5</v>
      </c>
      <c r="L204" t="s">
        <v>238</v>
      </c>
      <c r="N204" t="s">
        <v>346</v>
      </c>
      <c r="O204" t="s">
        <v>338</v>
      </c>
      <c r="P204">
        <v>4.9863244958236741E-3</v>
      </c>
      <c r="Q204" t="s">
        <v>238</v>
      </c>
      <c r="S204" t="s">
        <v>347</v>
      </c>
      <c r="T204" t="s">
        <v>338</v>
      </c>
      <c r="U204">
        <v>4.9133227358917463E-3</v>
      </c>
      <c r="V204" t="s">
        <v>238</v>
      </c>
      <c r="X204">
        <v>3.5388127853881279E-3</v>
      </c>
      <c r="Y204">
        <v>5.240782636799844E-3</v>
      </c>
      <c r="Z204" t="s">
        <v>338</v>
      </c>
      <c r="AA204" t="s">
        <v>25</v>
      </c>
      <c r="AC204" t="s">
        <v>22</v>
      </c>
      <c r="AD204" t="s">
        <v>338</v>
      </c>
      <c r="AE204">
        <v>3.2857435931835034E-3</v>
      </c>
      <c r="AG204" t="s">
        <v>97</v>
      </c>
      <c r="AH204" t="s">
        <v>338</v>
      </c>
      <c r="AI204">
        <v>0.10280664525087735</v>
      </c>
    </row>
    <row r="205" spans="5:35" x14ac:dyDescent="0.45">
      <c r="E205" t="s">
        <v>939</v>
      </c>
      <c r="G205" t="s">
        <v>153</v>
      </c>
      <c r="I205" t="s">
        <v>236</v>
      </c>
      <c r="J205" t="s">
        <v>339</v>
      </c>
      <c r="K205">
        <v>1.7358161277209615E-3</v>
      </c>
      <c r="L205" t="s">
        <v>238</v>
      </c>
      <c r="N205" t="s">
        <v>346</v>
      </c>
      <c r="O205" t="s">
        <v>339</v>
      </c>
      <c r="P205">
        <v>4.9955176435088934E-3</v>
      </c>
      <c r="Q205" t="s">
        <v>238</v>
      </c>
      <c r="S205" t="s">
        <v>347</v>
      </c>
      <c r="T205" t="s">
        <v>339</v>
      </c>
      <c r="U205">
        <v>4.8688456993293333E-3</v>
      </c>
      <c r="V205" t="s">
        <v>238</v>
      </c>
      <c r="X205">
        <v>3.5388127853881279E-3</v>
      </c>
      <c r="Y205">
        <v>5.9087255218821738E-3</v>
      </c>
      <c r="Z205" t="s">
        <v>339</v>
      </c>
      <c r="AA205" t="s">
        <v>25</v>
      </c>
      <c r="AC205" t="s">
        <v>22</v>
      </c>
      <c r="AD205" t="s">
        <v>339</v>
      </c>
      <c r="AE205">
        <v>3.6228082206538809E-3</v>
      </c>
      <c r="AG205" t="s">
        <v>97</v>
      </c>
      <c r="AH205" t="s">
        <v>339</v>
      </c>
      <c r="AI205">
        <v>9.32355162562164E-2</v>
      </c>
    </row>
    <row r="206" spans="5:35" x14ac:dyDescent="0.45">
      <c r="E206" t="s">
        <v>940</v>
      </c>
      <c r="G206" t="s">
        <v>153</v>
      </c>
      <c r="I206" t="s">
        <v>236</v>
      </c>
      <c r="J206" t="s">
        <v>340</v>
      </c>
      <c r="K206">
        <v>3.8950103412762269E-3</v>
      </c>
      <c r="L206" t="s">
        <v>238</v>
      </c>
      <c r="N206" t="s">
        <v>346</v>
      </c>
      <c r="O206" t="s">
        <v>340</v>
      </c>
      <c r="P206">
        <v>4.839721332818547E-3</v>
      </c>
      <c r="Q206" t="s">
        <v>238</v>
      </c>
      <c r="S206" t="s">
        <v>347</v>
      </c>
      <c r="T206" t="s">
        <v>340</v>
      </c>
      <c r="U206">
        <v>4.8296668167991767E-3</v>
      </c>
      <c r="V206" t="s">
        <v>238</v>
      </c>
      <c r="X206">
        <v>3.5388127853881279E-3</v>
      </c>
      <c r="Y206">
        <v>4.521459529788099E-3</v>
      </c>
      <c r="Z206" t="s">
        <v>340</v>
      </c>
      <c r="AA206" t="s">
        <v>25</v>
      </c>
      <c r="AC206" t="s">
        <v>22</v>
      </c>
      <c r="AD206" t="s">
        <v>340</v>
      </c>
      <c r="AE206">
        <v>3.7377885988180704E-3</v>
      </c>
      <c r="AG206" t="s">
        <v>97</v>
      </c>
      <c r="AH206" t="s">
        <v>340</v>
      </c>
      <c r="AI206">
        <v>6.8577638883885905E-2</v>
      </c>
    </row>
    <row r="207" spans="5:35" x14ac:dyDescent="0.45">
      <c r="E207" t="s">
        <v>941</v>
      </c>
      <c r="G207" t="s">
        <v>153</v>
      </c>
      <c r="I207" t="s">
        <v>236</v>
      </c>
      <c r="J207" t="s">
        <v>341</v>
      </c>
      <c r="K207">
        <v>5.0441372992410624E-2</v>
      </c>
      <c r="L207" t="s">
        <v>238</v>
      </c>
      <c r="N207" t="s">
        <v>346</v>
      </c>
      <c r="O207" t="s">
        <v>341</v>
      </c>
      <c r="P207">
        <v>3.1496325742995851E-2</v>
      </c>
      <c r="Q207" t="s">
        <v>238</v>
      </c>
      <c r="S207" t="s">
        <v>347</v>
      </c>
      <c r="T207" t="s">
        <v>341</v>
      </c>
      <c r="U207">
        <v>3.1768453793188337E-2</v>
      </c>
      <c r="V207" t="s">
        <v>238</v>
      </c>
      <c r="X207">
        <v>2.4771689497716895E-2</v>
      </c>
      <c r="Y207">
        <v>3.2246227282897846E-2</v>
      </c>
      <c r="Z207" t="s">
        <v>341</v>
      </c>
      <c r="AA207" t="s">
        <v>25</v>
      </c>
      <c r="AC207" t="s">
        <v>22</v>
      </c>
      <c r="AD207" t="s">
        <v>341</v>
      </c>
      <c r="AE207">
        <v>2.5727288063926965E-2</v>
      </c>
      <c r="AG207" t="s">
        <v>97</v>
      </c>
      <c r="AH207" t="s">
        <v>341</v>
      </c>
      <c r="AI207">
        <v>7.7407316400293524E-2</v>
      </c>
    </row>
    <row r="208" spans="5:35" x14ac:dyDescent="0.45">
      <c r="E208" t="s">
        <v>942</v>
      </c>
      <c r="G208" t="s">
        <v>153</v>
      </c>
      <c r="I208" t="s">
        <v>236</v>
      </c>
      <c r="J208" t="s">
        <v>342</v>
      </c>
      <c r="K208">
        <v>4.649078766568851E-3</v>
      </c>
      <c r="L208" t="s">
        <v>238</v>
      </c>
      <c r="N208" t="s">
        <v>346</v>
      </c>
      <c r="O208" t="s">
        <v>342</v>
      </c>
      <c r="P208">
        <v>4.629816677073427E-3</v>
      </c>
      <c r="Q208" t="s">
        <v>238</v>
      </c>
      <c r="S208" t="s">
        <v>347</v>
      </c>
      <c r="T208" t="s">
        <v>342</v>
      </c>
      <c r="U208">
        <v>4.6219954078906911E-3</v>
      </c>
      <c r="V208" t="s">
        <v>238</v>
      </c>
      <c r="X208">
        <v>3.5388127853881279E-3</v>
      </c>
      <c r="Y208">
        <v>6.8849497385409693E-3</v>
      </c>
      <c r="Z208" t="s">
        <v>342</v>
      </c>
      <c r="AA208" t="s">
        <v>25</v>
      </c>
      <c r="AC208" t="s">
        <v>22</v>
      </c>
      <c r="AD208" t="s">
        <v>342</v>
      </c>
      <c r="AE208">
        <v>3.6574098191880476E-3</v>
      </c>
      <c r="AG208" t="s">
        <v>97</v>
      </c>
      <c r="AH208" t="s">
        <v>342</v>
      </c>
      <c r="AI208">
        <v>6.6876894440602186E-2</v>
      </c>
    </row>
    <row r="209" spans="5:35" x14ac:dyDescent="0.45">
      <c r="E209" t="s">
        <v>943</v>
      </c>
      <c r="G209" t="s">
        <v>153</v>
      </c>
      <c r="I209" t="s">
        <v>236</v>
      </c>
      <c r="J209" t="s">
        <v>343</v>
      </c>
      <c r="K209">
        <v>1.9055976387654422E-3</v>
      </c>
      <c r="L209" t="s">
        <v>238</v>
      </c>
      <c r="N209" t="s">
        <v>346</v>
      </c>
      <c r="O209" t="s">
        <v>343</v>
      </c>
      <c r="P209">
        <v>4.7588677693370116E-3</v>
      </c>
      <c r="Q209" t="s">
        <v>238</v>
      </c>
      <c r="S209" t="s">
        <v>347</v>
      </c>
      <c r="T209" t="s">
        <v>343</v>
      </c>
      <c r="U209">
        <v>4.6465944418938882E-3</v>
      </c>
      <c r="V209" t="s">
        <v>238</v>
      </c>
      <c r="X209">
        <v>3.5388127853881279E-3</v>
      </c>
      <c r="Y209">
        <v>6.8849497385409693E-3</v>
      </c>
      <c r="Z209" t="s">
        <v>343</v>
      </c>
      <c r="AA209" t="s">
        <v>25</v>
      </c>
      <c r="AC209" t="s">
        <v>22</v>
      </c>
      <c r="AD209" t="s">
        <v>343</v>
      </c>
      <c r="AE209">
        <v>3.699423589177595E-3</v>
      </c>
      <c r="AG209" t="s">
        <v>97</v>
      </c>
      <c r="AH209" t="s">
        <v>343</v>
      </c>
      <c r="AI209">
        <v>7.1760966463736642E-2</v>
      </c>
    </row>
    <row r="210" spans="5:35" x14ac:dyDescent="0.45">
      <c r="E210" t="s">
        <v>944</v>
      </c>
      <c r="G210" t="s">
        <v>153</v>
      </c>
      <c r="I210" t="s">
        <v>236</v>
      </c>
      <c r="J210" t="s">
        <v>344</v>
      </c>
      <c r="K210">
        <v>1.9935928339835554E-4</v>
      </c>
      <c r="L210" t="s">
        <v>238</v>
      </c>
      <c r="N210" t="s">
        <v>346</v>
      </c>
      <c r="O210" t="s">
        <v>344</v>
      </c>
      <c r="P210">
        <v>2.9737143445545507E-2</v>
      </c>
      <c r="Q210" t="s">
        <v>238</v>
      </c>
      <c r="S210" t="s">
        <v>347</v>
      </c>
      <c r="T210" t="s">
        <v>344</v>
      </c>
      <c r="U210">
        <v>2.8928588159273592E-2</v>
      </c>
      <c r="V210" t="s">
        <v>238</v>
      </c>
      <c r="X210">
        <v>2.1232876712328767E-2</v>
      </c>
      <c r="Y210">
        <v>1.8702400782305319E-2</v>
      </c>
      <c r="Z210" t="s">
        <v>344</v>
      </c>
      <c r="AA210" t="s">
        <v>25</v>
      </c>
      <c r="AC210" t="s">
        <v>22</v>
      </c>
      <c r="AD210" t="s">
        <v>344</v>
      </c>
      <c r="AE210">
        <v>1.9077874694617563E-2</v>
      </c>
      <c r="AG210" t="s">
        <v>97</v>
      </c>
      <c r="AH210" t="s">
        <v>344</v>
      </c>
      <c r="AI210">
        <v>0.15890174715492855</v>
      </c>
    </row>
    <row r="211" spans="5:35" x14ac:dyDescent="0.45">
      <c r="E211" t="s">
        <v>945</v>
      </c>
      <c r="G211" t="s">
        <v>153</v>
      </c>
      <c r="I211" t="s">
        <v>236</v>
      </c>
      <c r="J211" t="s">
        <v>703</v>
      </c>
      <c r="K211">
        <v>0</v>
      </c>
      <c r="L211" t="s">
        <v>238</v>
      </c>
      <c r="N211" t="s">
        <v>346</v>
      </c>
      <c r="O211" t="s">
        <v>703</v>
      </c>
      <c r="P211">
        <v>1.9801638411489342E-2</v>
      </c>
      <c r="Q211" t="s">
        <v>238</v>
      </c>
      <c r="S211" t="s">
        <v>347</v>
      </c>
      <c r="T211" t="s">
        <v>703</v>
      </c>
      <c r="U211">
        <v>1.8752316451289237E-2</v>
      </c>
      <c r="V211" t="s">
        <v>238</v>
      </c>
      <c r="X211">
        <v>1.5753424657534248E-2</v>
      </c>
      <c r="Y211">
        <v>3.3698795879637689E-3</v>
      </c>
      <c r="Z211" t="s">
        <v>703</v>
      </c>
      <c r="AA211" t="s">
        <v>25</v>
      </c>
      <c r="AC211" t="s">
        <v>22</v>
      </c>
      <c r="AD211" t="s">
        <v>703</v>
      </c>
      <c r="AE211">
        <v>1.1713926933855584E-2</v>
      </c>
      <c r="AG211" t="s">
        <v>97</v>
      </c>
      <c r="AH211" t="s">
        <v>703</v>
      </c>
      <c r="AI211">
        <v>0.22896503250243705</v>
      </c>
    </row>
    <row r="212" spans="5:35" x14ac:dyDescent="0.45">
      <c r="E212" t="s">
        <v>946</v>
      </c>
      <c r="G212" t="s">
        <v>153</v>
      </c>
      <c r="I212" t="s">
        <v>236</v>
      </c>
      <c r="J212" t="s">
        <v>704</v>
      </c>
      <c r="K212">
        <v>0</v>
      </c>
      <c r="L212" t="s">
        <v>238</v>
      </c>
      <c r="N212" t="s">
        <v>346</v>
      </c>
      <c r="O212" t="s">
        <v>704</v>
      </c>
      <c r="P212">
        <v>3.2468474391796841E-3</v>
      </c>
      <c r="Q212" t="s">
        <v>238</v>
      </c>
      <c r="S212" t="s">
        <v>347</v>
      </c>
      <c r="T212" t="s">
        <v>704</v>
      </c>
      <c r="U212">
        <v>3.0158874846415414E-3</v>
      </c>
      <c r="V212" t="s">
        <v>238</v>
      </c>
      <c r="X212">
        <v>2.625570776255708E-3</v>
      </c>
      <c r="Y212">
        <v>3.8883226014966589E-3</v>
      </c>
      <c r="Z212" t="s">
        <v>704</v>
      </c>
      <c r="AA212" t="s">
        <v>25</v>
      </c>
      <c r="AC212" t="s">
        <v>22</v>
      </c>
      <c r="AD212" t="s">
        <v>704</v>
      </c>
      <c r="AE212">
        <v>2.7698355138530422E-3</v>
      </c>
      <c r="AG212" t="s">
        <v>97</v>
      </c>
      <c r="AH212" t="s">
        <v>704</v>
      </c>
      <c r="AI212">
        <v>0.1209722143793337</v>
      </c>
    </row>
    <row r="213" spans="5:35" x14ac:dyDescent="0.45">
      <c r="E213" t="s">
        <v>947</v>
      </c>
      <c r="G213" t="s">
        <v>153</v>
      </c>
      <c r="I213" t="s">
        <v>236</v>
      </c>
      <c r="J213" t="s">
        <v>705</v>
      </c>
      <c r="K213">
        <v>1.0476133313176833E-4</v>
      </c>
      <c r="L213" t="s">
        <v>238</v>
      </c>
      <c r="N213" t="s">
        <v>346</v>
      </c>
      <c r="O213" t="s">
        <v>705</v>
      </c>
      <c r="P213">
        <v>3.2308827418672009E-3</v>
      </c>
      <c r="Q213" t="s">
        <v>238</v>
      </c>
      <c r="S213" t="s">
        <v>347</v>
      </c>
      <c r="T213" t="s">
        <v>705</v>
      </c>
      <c r="U213">
        <v>3.0539833610433165E-3</v>
      </c>
      <c r="V213" t="s">
        <v>238</v>
      </c>
      <c r="X213">
        <v>2.625570776255708E-3</v>
      </c>
      <c r="Y213">
        <v>4.3838931291383864E-3</v>
      </c>
      <c r="Z213" t="s">
        <v>705</v>
      </c>
      <c r="AA213" t="s">
        <v>25</v>
      </c>
      <c r="AC213" t="s">
        <v>22</v>
      </c>
      <c r="AD213" t="s">
        <v>705</v>
      </c>
      <c r="AE213">
        <v>2.9329032858714157E-3</v>
      </c>
      <c r="AG213" t="s">
        <v>97</v>
      </c>
      <c r="AH213" t="s">
        <v>705</v>
      </c>
      <c r="AI213">
        <v>0.10246102170089522</v>
      </c>
    </row>
    <row r="214" spans="5:35" x14ac:dyDescent="0.45">
      <c r="E214" t="s">
        <v>948</v>
      </c>
      <c r="G214" t="s">
        <v>153</v>
      </c>
      <c r="I214" t="s">
        <v>236</v>
      </c>
      <c r="J214" t="s">
        <v>706</v>
      </c>
      <c r="K214">
        <v>1.0724460243077044E-3</v>
      </c>
      <c r="L214" t="s">
        <v>238</v>
      </c>
      <c r="N214" t="s">
        <v>346</v>
      </c>
      <c r="O214" t="s">
        <v>706</v>
      </c>
      <c r="P214">
        <v>3.1907028806639551E-3</v>
      </c>
      <c r="Q214" t="s">
        <v>238</v>
      </c>
      <c r="S214" t="s">
        <v>347</v>
      </c>
      <c r="T214" t="s">
        <v>706</v>
      </c>
      <c r="U214">
        <v>3.0804736131580497E-3</v>
      </c>
      <c r="V214" t="s">
        <v>238</v>
      </c>
      <c r="X214">
        <v>2.625570776255708E-3</v>
      </c>
      <c r="Y214">
        <v>3.3546312640363313E-3</v>
      </c>
      <c r="Z214" t="s">
        <v>706</v>
      </c>
      <c r="AA214" t="s">
        <v>25</v>
      </c>
      <c r="AC214" t="s">
        <v>22</v>
      </c>
      <c r="AD214" t="s">
        <v>706</v>
      </c>
      <c r="AE214">
        <v>3.086403452198351E-3</v>
      </c>
      <c r="AG214" t="s">
        <v>97</v>
      </c>
      <c r="AH214" t="s">
        <v>706</v>
      </c>
      <c r="AI214">
        <v>0.10460338098529065</v>
      </c>
    </row>
    <row r="215" spans="5:35" x14ac:dyDescent="0.45">
      <c r="E215" t="s">
        <v>949</v>
      </c>
      <c r="G215" t="s">
        <v>153</v>
      </c>
      <c r="I215" t="s">
        <v>236</v>
      </c>
      <c r="J215" t="s">
        <v>707</v>
      </c>
      <c r="K215">
        <v>2.1334229779004614E-2</v>
      </c>
      <c r="L215" t="s">
        <v>238</v>
      </c>
      <c r="N215" t="s">
        <v>346</v>
      </c>
      <c r="O215" t="s">
        <v>707</v>
      </c>
      <c r="P215">
        <v>2.1269721410464178E-2</v>
      </c>
      <c r="Q215" t="s">
        <v>238</v>
      </c>
      <c r="S215" t="s">
        <v>347</v>
      </c>
      <c r="T215" t="s">
        <v>707</v>
      </c>
      <c r="U215">
        <v>2.1320491903916029E-2</v>
      </c>
      <c r="V215" t="s">
        <v>238</v>
      </c>
      <c r="X215">
        <v>1.8378995433789954E-2</v>
      </c>
      <c r="Y215">
        <v>2.3924620242150019E-2</v>
      </c>
      <c r="Z215" t="s">
        <v>707</v>
      </c>
      <c r="AA215" t="s">
        <v>25</v>
      </c>
      <c r="AC215" t="s">
        <v>22</v>
      </c>
      <c r="AD215" t="s">
        <v>707</v>
      </c>
      <c r="AE215">
        <v>2.1616246247078204E-2</v>
      </c>
      <c r="AG215" t="s">
        <v>97</v>
      </c>
      <c r="AH215" t="s">
        <v>707</v>
      </c>
      <c r="AI215">
        <v>0.113833074096656</v>
      </c>
    </row>
    <row r="216" spans="5:35" x14ac:dyDescent="0.45">
      <c r="E216" t="s">
        <v>950</v>
      </c>
      <c r="G216" t="s">
        <v>153</v>
      </c>
      <c r="I216" t="s">
        <v>236</v>
      </c>
      <c r="J216" t="s">
        <v>708</v>
      </c>
      <c r="K216">
        <v>1.2994450656710437E-3</v>
      </c>
      <c r="L216" t="s">
        <v>238</v>
      </c>
      <c r="N216" t="s">
        <v>346</v>
      </c>
      <c r="O216" t="s">
        <v>708</v>
      </c>
      <c r="P216">
        <v>2.9763749122879561E-3</v>
      </c>
      <c r="Q216" t="s">
        <v>238</v>
      </c>
      <c r="S216" t="s">
        <v>347</v>
      </c>
      <c r="T216" t="s">
        <v>708</v>
      </c>
      <c r="U216">
        <v>3.0493262341227262E-3</v>
      </c>
      <c r="V216" t="s">
        <v>238</v>
      </c>
      <c r="X216">
        <v>2.625570776255708E-3</v>
      </c>
      <c r="Y216">
        <v>5.1081885156916869E-3</v>
      </c>
      <c r="Z216" t="s">
        <v>708</v>
      </c>
      <c r="AA216" t="s">
        <v>25</v>
      </c>
      <c r="AC216" t="s">
        <v>22</v>
      </c>
      <c r="AD216" t="s">
        <v>708</v>
      </c>
      <c r="AE216">
        <v>3.1494499036030504E-3</v>
      </c>
      <c r="AG216" t="s">
        <v>97</v>
      </c>
      <c r="AH216" t="s">
        <v>708</v>
      </c>
      <c r="AI216">
        <v>9.1392543587759834E-2</v>
      </c>
    </row>
    <row r="217" spans="5:35" x14ac:dyDescent="0.45">
      <c r="E217" t="s">
        <v>951</v>
      </c>
      <c r="G217" t="s">
        <v>153</v>
      </c>
      <c r="I217" t="s">
        <v>236</v>
      </c>
      <c r="J217" t="s">
        <v>709</v>
      </c>
      <c r="K217">
        <v>8.1893093857031315E-5</v>
      </c>
      <c r="L217" t="s">
        <v>238</v>
      </c>
      <c r="N217" t="s">
        <v>346</v>
      </c>
      <c r="O217" t="s">
        <v>709</v>
      </c>
      <c r="P217">
        <v>3.0014622306405551E-3</v>
      </c>
      <c r="Q217" t="s">
        <v>238</v>
      </c>
      <c r="S217" t="s">
        <v>347</v>
      </c>
      <c r="T217" t="s">
        <v>709</v>
      </c>
      <c r="U217">
        <v>3.0548080462160891E-3</v>
      </c>
      <c r="V217" t="s">
        <v>238</v>
      </c>
      <c r="X217">
        <v>2.625570776255708E-3</v>
      </c>
      <c r="Y217">
        <v>5.1081885156916869E-3</v>
      </c>
      <c r="Z217" t="s">
        <v>709</v>
      </c>
      <c r="AA217" t="s">
        <v>25</v>
      </c>
      <c r="AC217" t="s">
        <v>22</v>
      </c>
      <c r="AD217" t="s">
        <v>709</v>
      </c>
      <c r="AE217">
        <v>3.1773157701495357E-3</v>
      </c>
      <c r="AG217" t="s">
        <v>97</v>
      </c>
      <c r="AH217" t="s">
        <v>709</v>
      </c>
      <c r="AI217">
        <v>9.1401028989169131E-2</v>
      </c>
    </row>
    <row r="218" spans="5:35" x14ac:dyDescent="0.45">
      <c r="E218" t="s">
        <v>952</v>
      </c>
      <c r="G218" t="s">
        <v>153</v>
      </c>
      <c r="I218" t="s">
        <v>236</v>
      </c>
      <c r="J218" t="s">
        <v>710</v>
      </c>
      <c r="K218">
        <v>0</v>
      </c>
      <c r="L218" t="s">
        <v>238</v>
      </c>
      <c r="N218" t="s">
        <v>346</v>
      </c>
      <c r="O218" t="s">
        <v>710</v>
      </c>
      <c r="P218">
        <v>1.8771992003736058E-2</v>
      </c>
      <c r="Q218" t="s">
        <v>238</v>
      </c>
      <c r="S218" t="s">
        <v>347</v>
      </c>
      <c r="T218" t="s">
        <v>710</v>
      </c>
      <c r="U218">
        <v>1.9267116850904587E-2</v>
      </c>
      <c r="V218" t="s">
        <v>238</v>
      </c>
      <c r="X218">
        <v>1.5753424657534248E-2</v>
      </c>
      <c r="Y218">
        <v>1.387597477396846E-2</v>
      </c>
      <c r="Z218" t="s">
        <v>710</v>
      </c>
      <c r="AA218" t="s">
        <v>25</v>
      </c>
      <c r="AC218" t="s">
        <v>22</v>
      </c>
      <c r="AD218" t="s">
        <v>710</v>
      </c>
      <c r="AE218">
        <v>1.6485012144328421E-2</v>
      </c>
      <c r="AG218" t="s">
        <v>97</v>
      </c>
      <c r="AH218" t="s">
        <v>710</v>
      </c>
      <c r="AI218">
        <v>0.19651142757585371</v>
      </c>
    </row>
    <row r="219" spans="5:35" x14ac:dyDescent="0.45">
      <c r="E219" t="s">
        <v>953</v>
      </c>
      <c r="G219" t="s">
        <v>153</v>
      </c>
      <c r="I219" t="s">
        <v>236</v>
      </c>
      <c r="J219" t="s">
        <v>1249</v>
      </c>
      <c r="K219">
        <v>0</v>
      </c>
      <c r="L219" t="s">
        <v>238</v>
      </c>
      <c r="N219" t="s">
        <v>346</v>
      </c>
      <c r="O219" t="s">
        <v>1249</v>
      </c>
      <c r="P219">
        <v>1.3059100898600001E-4</v>
      </c>
      <c r="Q219" t="s">
        <v>238</v>
      </c>
      <c r="S219" t="s">
        <v>347</v>
      </c>
      <c r="T219" t="s">
        <v>1249</v>
      </c>
      <c r="U219">
        <v>1.2907165758050001E-4</v>
      </c>
      <c r="V219" t="s">
        <v>238</v>
      </c>
      <c r="X219">
        <v>1.1415525114155251E-4</v>
      </c>
      <c r="Y219">
        <v>2.1546544680075254E-5</v>
      </c>
      <c r="Z219" t="s">
        <v>1249</v>
      </c>
      <c r="AA219" t="s">
        <v>25</v>
      </c>
      <c r="AC219" t="s">
        <v>22</v>
      </c>
      <c r="AD219" t="s">
        <v>1249</v>
      </c>
      <c r="AE219">
        <v>8.5165544444925574E-5</v>
      </c>
      <c r="AG219" t="s">
        <v>97</v>
      </c>
      <c r="AH219" t="s">
        <v>1249</v>
      </c>
      <c r="AI219">
        <v>0</v>
      </c>
    </row>
    <row r="220" spans="5:35" x14ac:dyDescent="0.45">
      <c r="E220" t="s">
        <v>954</v>
      </c>
      <c r="G220" t="s">
        <v>153</v>
      </c>
      <c r="I220" t="s">
        <v>236</v>
      </c>
      <c r="J220" t="s">
        <v>1250</v>
      </c>
      <c r="K220">
        <v>0</v>
      </c>
      <c r="L220" t="s">
        <v>238</v>
      </c>
      <c r="N220" t="s">
        <v>346</v>
      </c>
      <c r="O220" t="s">
        <v>1250</v>
      </c>
      <c r="P220">
        <v>1.3309611380549999E-4</v>
      </c>
      <c r="Q220" t="s">
        <v>238</v>
      </c>
      <c r="S220" t="s">
        <v>347</v>
      </c>
      <c r="T220" t="s">
        <v>1250</v>
      </c>
      <c r="U220">
        <v>1.162887081417E-4</v>
      </c>
      <c r="V220" t="s">
        <v>238</v>
      </c>
      <c r="X220">
        <v>1.1415525114155251E-4</v>
      </c>
      <c r="Y220">
        <v>1.4916838624667481E-5</v>
      </c>
      <c r="Z220" t="s">
        <v>1250</v>
      </c>
      <c r="AA220" t="s">
        <v>25</v>
      </c>
      <c r="AC220" t="s">
        <v>22</v>
      </c>
      <c r="AD220" t="s">
        <v>1250</v>
      </c>
      <c r="AE220">
        <v>8.1144169134833141E-5</v>
      </c>
      <c r="AG220" t="s">
        <v>97</v>
      </c>
      <c r="AH220" t="s">
        <v>1250</v>
      </c>
      <c r="AI220">
        <v>0</v>
      </c>
    </row>
    <row r="221" spans="5:35" x14ac:dyDescent="0.45">
      <c r="E221" t="s">
        <v>955</v>
      </c>
      <c r="G221" t="s">
        <v>153</v>
      </c>
      <c r="I221" t="s">
        <v>236</v>
      </c>
      <c r="J221" t="s">
        <v>1251</v>
      </c>
      <c r="K221">
        <v>0</v>
      </c>
      <c r="L221" t="s">
        <v>238</v>
      </c>
      <c r="N221" t="s">
        <v>346</v>
      </c>
      <c r="O221" t="s">
        <v>1251</v>
      </c>
      <c r="P221">
        <v>1.2147276856739999E-4</v>
      </c>
      <c r="Q221" t="s">
        <v>238</v>
      </c>
      <c r="S221" t="s">
        <v>347</v>
      </c>
      <c r="T221" t="s">
        <v>1251</v>
      </c>
      <c r="U221">
        <v>1.015937126788E-4</v>
      </c>
      <c r="V221" t="s">
        <v>238</v>
      </c>
      <c r="X221">
        <v>1.1415525114155251E-4</v>
      </c>
      <c r="Y221">
        <v>1.6574265138519424E-5</v>
      </c>
      <c r="Z221" t="s">
        <v>1251</v>
      </c>
      <c r="AA221" t="s">
        <v>25</v>
      </c>
      <c r="AC221" t="s">
        <v>22</v>
      </c>
      <c r="AD221" t="s">
        <v>1251</v>
      </c>
      <c r="AE221">
        <v>8.0714228795193904E-5</v>
      </c>
      <c r="AG221" t="s">
        <v>97</v>
      </c>
      <c r="AH221" t="s">
        <v>1251</v>
      </c>
      <c r="AI221">
        <v>0</v>
      </c>
    </row>
    <row r="222" spans="5:35" x14ac:dyDescent="0.45">
      <c r="E222" t="s">
        <v>956</v>
      </c>
      <c r="G222" t="s">
        <v>153</v>
      </c>
      <c r="I222" t="s">
        <v>236</v>
      </c>
      <c r="J222" t="s">
        <v>1252</v>
      </c>
      <c r="K222">
        <v>0</v>
      </c>
      <c r="L222" t="s">
        <v>238</v>
      </c>
      <c r="N222" t="s">
        <v>346</v>
      </c>
      <c r="O222" t="s">
        <v>1252</v>
      </c>
      <c r="P222">
        <v>1.1587207555539999E-4</v>
      </c>
      <c r="Q222" t="s">
        <v>238</v>
      </c>
      <c r="S222" t="s">
        <v>347</v>
      </c>
      <c r="T222" t="s">
        <v>1252</v>
      </c>
      <c r="U222">
        <v>8.3886027093341449E-5</v>
      </c>
      <c r="V222" t="s">
        <v>238</v>
      </c>
      <c r="X222">
        <v>1.1415525114155251E-4</v>
      </c>
      <c r="Y222">
        <v>1.4585353321897093E-5</v>
      </c>
      <c r="Z222" t="s">
        <v>1252</v>
      </c>
      <c r="AA222" t="s">
        <v>25</v>
      </c>
      <c r="AC222" t="s">
        <v>22</v>
      </c>
      <c r="AD222" t="s">
        <v>1252</v>
      </c>
      <c r="AE222">
        <v>8.0714228795193904E-5</v>
      </c>
      <c r="AG222" t="s">
        <v>97</v>
      </c>
      <c r="AH222" t="s">
        <v>1252</v>
      </c>
      <c r="AI222">
        <v>0</v>
      </c>
    </row>
    <row r="223" spans="5:35" x14ac:dyDescent="0.45">
      <c r="E223" t="s">
        <v>957</v>
      </c>
      <c r="G223" t="s">
        <v>153</v>
      </c>
      <c r="I223" t="s">
        <v>236</v>
      </c>
      <c r="J223" t="s">
        <v>1253</v>
      </c>
      <c r="K223">
        <v>0</v>
      </c>
      <c r="L223" t="s">
        <v>238</v>
      </c>
      <c r="N223" t="s">
        <v>346</v>
      </c>
      <c r="O223" t="s">
        <v>1253</v>
      </c>
      <c r="P223">
        <v>1.1557470355050001E-4</v>
      </c>
      <c r="Q223" t="s">
        <v>238</v>
      </c>
      <c r="S223" t="s">
        <v>347</v>
      </c>
      <c r="T223" t="s">
        <v>1253</v>
      </c>
      <c r="U223">
        <v>6.9444737983114093E-5</v>
      </c>
      <c r="V223" t="s">
        <v>238</v>
      </c>
      <c r="X223">
        <v>1.1415525114155251E-4</v>
      </c>
      <c r="Y223">
        <v>2.1215059377304864E-5</v>
      </c>
      <c r="Z223" t="s">
        <v>1253</v>
      </c>
      <c r="AA223" t="s">
        <v>25</v>
      </c>
      <c r="AC223" t="s">
        <v>22</v>
      </c>
      <c r="AD223" t="s">
        <v>1253</v>
      </c>
      <c r="AE223">
        <v>8.6524155918185617E-5</v>
      </c>
      <c r="AG223" t="s">
        <v>97</v>
      </c>
      <c r="AH223" t="s">
        <v>1253</v>
      </c>
      <c r="AI223">
        <v>0</v>
      </c>
    </row>
    <row r="224" spans="5:35" x14ac:dyDescent="0.45">
      <c r="E224" t="s">
        <v>958</v>
      </c>
      <c r="G224" t="s">
        <v>153</v>
      </c>
      <c r="I224" t="s">
        <v>236</v>
      </c>
      <c r="J224" t="s">
        <v>1254</v>
      </c>
      <c r="K224">
        <v>0</v>
      </c>
      <c r="L224" t="s">
        <v>238</v>
      </c>
      <c r="N224" t="s">
        <v>346</v>
      </c>
      <c r="O224" t="s">
        <v>1254</v>
      </c>
      <c r="P224">
        <v>1.149884407416E-4</v>
      </c>
      <c r="Q224" t="s">
        <v>238</v>
      </c>
      <c r="S224" t="s">
        <v>347</v>
      </c>
      <c r="T224" t="s">
        <v>1254</v>
      </c>
      <c r="U224">
        <v>5.6292587081282211E-5</v>
      </c>
      <c r="V224" t="s">
        <v>238</v>
      </c>
      <c r="X224">
        <v>1.1415525114155251E-4</v>
      </c>
      <c r="Y224">
        <v>5.7678442682047593E-5</v>
      </c>
      <c r="Z224" t="s">
        <v>1254</v>
      </c>
      <c r="AA224" t="s">
        <v>25</v>
      </c>
      <c r="AC224" t="s">
        <v>22</v>
      </c>
      <c r="AD224" t="s">
        <v>1254</v>
      </c>
      <c r="AE224">
        <v>1.1434129589284494E-4</v>
      </c>
      <c r="AG224" t="s">
        <v>97</v>
      </c>
      <c r="AH224" t="s">
        <v>1254</v>
      </c>
      <c r="AI224">
        <v>0</v>
      </c>
    </row>
    <row r="225" spans="5:35" x14ac:dyDescent="0.45">
      <c r="E225" t="s">
        <v>959</v>
      </c>
      <c r="G225" t="s">
        <v>153</v>
      </c>
      <c r="I225" t="s">
        <v>236</v>
      </c>
      <c r="J225" t="s">
        <v>1255</v>
      </c>
      <c r="K225">
        <v>0</v>
      </c>
      <c r="L225" t="s">
        <v>238</v>
      </c>
      <c r="N225" t="s">
        <v>346</v>
      </c>
      <c r="O225" t="s">
        <v>1255</v>
      </c>
      <c r="P225">
        <v>1.082423458188E-4</v>
      </c>
      <c r="Q225" t="s">
        <v>238</v>
      </c>
      <c r="S225" t="s">
        <v>347</v>
      </c>
      <c r="T225" t="s">
        <v>1255</v>
      </c>
      <c r="U225">
        <v>4.7646034337835348E-5</v>
      </c>
      <c r="V225" t="s">
        <v>238</v>
      </c>
      <c r="X225">
        <v>1.1415525114155251E-4</v>
      </c>
      <c r="Y225">
        <v>1.6905750441289813E-4</v>
      </c>
      <c r="Z225" t="s">
        <v>1255</v>
      </c>
      <c r="AA225" t="s">
        <v>25</v>
      </c>
      <c r="AC225" t="s">
        <v>22</v>
      </c>
      <c r="AD225" t="s">
        <v>1255</v>
      </c>
      <c r="AE225">
        <v>1.3545996537592481E-4</v>
      </c>
      <c r="AG225" t="s">
        <v>97</v>
      </c>
      <c r="AH225" t="s">
        <v>1255</v>
      </c>
      <c r="AI225">
        <v>0</v>
      </c>
    </row>
    <row r="226" spans="5:35" x14ac:dyDescent="0.45">
      <c r="E226" t="s">
        <v>960</v>
      </c>
      <c r="G226" t="s">
        <v>153</v>
      </c>
      <c r="I226" t="s">
        <v>236</v>
      </c>
      <c r="J226" t="s">
        <v>1256</v>
      </c>
      <c r="K226">
        <v>0</v>
      </c>
      <c r="L226" t="s">
        <v>238</v>
      </c>
      <c r="N226" t="s">
        <v>346</v>
      </c>
      <c r="O226" t="s">
        <v>1256</v>
      </c>
      <c r="P226">
        <v>1.0202070006539999E-4</v>
      </c>
      <c r="Q226" t="s">
        <v>238</v>
      </c>
      <c r="S226" t="s">
        <v>347</v>
      </c>
      <c r="T226" t="s">
        <v>1256</v>
      </c>
      <c r="U226">
        <v>4.3289233068396951E-5</v>
      </c>
      <c r="V226" t="s">
        <v>238</v>
      </c>
      <c r="X226">
        <v>1.1415525114155251E-4</v>
      </c>
      <c r="Y226">
        <v>1.9060404909297337E-4</v>
      </c>
      <c r="Z226" t="s">
        <v>1256</v>
      </c>
      <c r="AA226" t="s">
        <v>25</v>
      </c>
      <c r="AC226" t="s">
        <v>22</v>
      </c>
      <c r="AD226" t="s">
        <v>1256</v>
      </c>
      <c r="AE226">
        <v>1.4221576124612287E-4</v>
      </c>
      <c r="AG226" t="s">
        <v>97</v>
      </c>
      <c r="AH226" t="s">
        <v>1256</v>
      </c>
      <c r="AI226">
        <v>0</v>
      </c>
    </row>
    <row r="227" spans="5:35" x14ac:dyDescent="0.45">
      <c r="E227" t="s">
        <v>961</v>
      </c>
      <c r="G227" t="s">
        <v>153</v>
      </c>
      <c r="I227" t="s">
        <v>236</v>
      </c>
      <c r="J227" t="s">
        <v>1257</v>
      </c>
      <c r="K227">
        <v>1.7359385990498581E-5</v>
      </c>
      <c r="L227" t="s">
        <v>238</v>
      </c>
      <c r="N227" t="s">
        <v>346</v>
      </c>
      <c r="O227" t="s">
        <v>1257</v>
      </c>
      <c r="P227">
        <v>9.5886082737354114E-5</v>
      </c>
      <c r="Q227" t="s">
        <v>238</v>
      </c>
      <c r="S227" t="s">
        <v>347</v>
      </c>
      <c r="T227" t="s">
        <v>1257</v>
      </c>
      <c r="U227">
        <v>4.5314898350546242E-5</v>
      </c>
      <c r="V227" t="s">
        <v>238</v>
      </c>
      <c r="X227">
        <v>1.1415525114155251E-4</v>
      </c>
      <c r="Y227">
        <v>1.4585353321897094E-4</v>
      </c>
      <c r="Z227" t="s">
        <v>1257</v>
      </c>
      <c r="AA227" t="s">
        <v>25</v>
      </c>
      <c r="AC227" t="s">
        <v>22</v>
      </c>
      <c r="AD227" t="s">
        <v>1257</v>
      </c>
      <c r="AE227">
        <v>1.4668140824050917E-4</v>
      </c>
      <c r="AG227" t="s">
        <v>97</v>
      </c>
      <c r="AH227" t="s">
        <v>1257</v>
      </c>
      <c r="AI227">
        <v>0</v>
      </c>
    </row>
    <row r="228" spans="5:35" x14ac:dyDescent="0.45">
      <c r="E228" t="s">
        <v>962</v>
      </c>
      <c r="G228" t="s">
        <v>153</v>
      </c>
      <c r="I228" t="s">
        <v>236</v>
      </c>
      <c r="J228" t="s">
        <v>1258</v>
      </c>
      <c r="K228">
        <v>7.7566193901810172E-5</v>
      </c>
      <c r="L228" t="s">
        <v>238</v>
      </c>
      <c r="N228" t="s">
        <v>346</v>
      </c>
      <c r="O228" t="s">
        <v>1258</v>
      </c>
      <c r="P228">
        <v>8.7088062817043522E-5</v>
      </c>
      <c r="Q228" t="s">
        <v>238</v>
      </c>
      <c r="S228" t="s">
        <v>347</v>
      </c>
      <c r="T228" t="s">
        <v>1258</v>
      </c>
      <c r="U228">
        <v>5.7750452209810472E-5</v>
      </c>
      <c r="V228" t="s">
        <v>238</v>
      </c>
      <c r="X228">
        <v>1.1415525114155251E-4</v>
      </c>
      <c r="Y228">
        <v>1.4452759200788939E-4</v>
      </c>
      <c r="Z228" t="s">
        <v>1258</v>
      </c>
      <c r="AA228" t="s">
        <v>25</v>
      </c>
      <c r="AC228" t="s">
        <v>22</v>
      </c>
      <c r="AD228" t="s">
        <v>1258</v>
      </c>
      <c r="AE228">
        <v>1.475040274236856E-4</v>
      </c>
      <c r="AG228" t="s">
        <v>97</v>
      </c>
      <c r="AH228" t="s">
        <v>1258</v>
      </c>
      <c r="AI228">
        <v>0</v>
      </c>
    </row>
    <row r="229" spans="5:35" x14ac:dyDescent="0.45">
      <c r="E229" t="s">
        <v>963</v>
      </c>
      <c r="G229" t="s">
        <v>153</v>
      </c>
      <c r="I229" t="s">
        <v>236</v>
      </c>
      <c r="J229" t="s">
        <v>1259</v>
      </c>
      <c r="K229">
        <v>1.2215253087560001E-4</v>
      </c>
      <c r="L229" t="s">
        <v>238</v>
      </c>
      <c r="N229" t="s">
        <v>346</v>
      </c>
      <c r="O229" t="s">
        <v>1259</v>
      </c>
      <c r="P229">
        <v>7.7779522737182305E-5</v>
      </c>
      <c r="Q229" t="s">
        <v>238</v>
      </c>
      <c r="S229" t="s">
        <v>347</v>
      </c>
      <c r="T229" t="s">
        <v>1259</v>
      </c>
      <c r="U229">
        <v>9.873198643910904E-5</v>
      </c>
      <c r="V229" t="s">
        <v>238</v>
      </c>
      <c r="X229">
        <v>1.1415525114155251E-4</v>
      </c>
      <c r="Y229">
        <v>1.408812536774151E-4</v>
      </c>
      <c r="Z229" t="s">
        <v>1259</v>
      </c>
      <c r="AA229" t="s">
        <v>25</v>
      </c>
      <c r="AC229" t="s">
        <v>22</v>
      </c>
      <c r="AD229" t="s">
        <v>1259</v>
      </c>
      <c r="AE229">
        <v>1.4531419796045636E-4</v>
      </c>
      <c r="AG229" t="s">
        <v>97</v>
      </c>
      <c r="AH229" t="s">
        <v>1259</v>
      </c>
      <c r="AI229">
        <v>0</v>
      </c>
    </row>
    <row r="230" spans="5:35" x14ac:dyDescent="0.45">
      <c r="E230" t="s">
        <v>964</v>
      </c>
      <c r="G230" t="s">
        <v>153</v>
      </c>
      <c r="I230" t="s">
        <v>236</v>
      </c>
      <c r="J230" t="s">
        <v>1260</v>
      </c>
      <c r="K230">
        <v>1.3140106622079999E-4</v>
      </c>
      <c r="L230" t="s">
        <v>238</v>
      </c>
      <c r="N230" t="s">
        <v>346</v>
      </c>
      <c r="O230" t="s">
        <v>1260</v>
      </c>
      <c r="P230">
        <v>6.3058283380179001E-5</v>
      </c>
      <c r="Q230" t="s">
        <v>238</v>
      </c>
      <c r="S230" t="s">
        <v>347</v>
      </c>
      <c r="T230" t="s">
        <v>1260</v>
      </c>
      <c r="U230">
        <v>1.133336145287E-4</v>
      </c>
      <c r="V230" t="s">
        <v>238</v>
      </c>
      <c r="X230">
        <v>1.1415525114155251E-4</v>
      </c>
      <c r="Y230">
        <v>1.4054976837464471E-4</v>
      </c>
      <c r="Z230" t="s">
        <v>1260</v>
      </c>
      <c r="AA230" t="s">
        <v>25</v>
      </c>
      <c r="AC230" t="s">
        <v>22</v>
      </c>
      <c r="AD230" t="s">
        <v>1260</v>
      </c>
      <c r="AE230">
        <v>1.4481833343540576E-4</v>
      </c>
      <c r="AG230" t="s">
        <v>97</v>
      </c>
      <c r="AH230" t="s">
        <v>1260</v>
      </c>
      <c r="AI230">
        <v>0</v>
      </c>
    </row>
    <row r="231" spans="5:35" x14ac:dyDescent="0.45">
      <c r="E231" t="s">
        <v>965</v>
      </c>
      <c r="G231" t="s">
        <v>153</v>
      </c>
      <c r="I231" t="s">
        <v>236</v>
      </c>
      <c r="J231" t="s">
        <v>1261</v>
      </c>
      <c r="K231">
        <v>1.2853981123359999E-4</v>
      </c>
      <c r="L231" t="s">
        <v>238</v>
      </c>
      <c r="N231" t="s">
        <v>346</v>
      </c>
      <c r="O231" t="s">
        <v>1261</v>
      </c>
      <c r="P231">
        <v>5.4516521721976213E-5</v>
      </c>
      <c r="Q231" t="s">
        <v>238</v>
      </c>
      <c r="S231" t="s">
        <v>347</v>
      </c>
      <c r="T231" t="s">
        <v>1261</v>
      </c>
      <c r="U231">
        <v>1.2277624511000001E-4</v>
      </c>
      <c r="V231" t="s">
        <v>238</v>
      </c>
      <c r="X231">
        <v>1.1415525114155251E-4</v>
      </c>
      <c r="Y231">
        <v>1.4253868019126702E-4</v>
      </c>
      <c r="Z231" t="s">
        <v>1261</v>
      </c>
      <c r="AA231" t="s">
        <v>25</v>
      </c>
      <c r="AC231" t="s">
        <v>22</v>
      </c>
      <c r="AD231" t="s">
        <v>1261</v>
      </c>
      <c r="AE231">
        <v>1.4503903614308724E-4</v>
      </c>
      <c r="AG231" t="s">
        <v>97</v>
      </c>
      <c r="AH231" t="s">
        <v>1261</v>
      </c>
      <c r="AI231">
        <v>0</v>
      </c>
    </row>
    <row r="232" spans="5:35" x14ac:dyDescent="0.45">
      <c r="E232" t="s">
        <v>966</v>
      </c>
      <c r="G232" t="s">
        <v>153</v>
      </c>
      <c r="I232" t="s">
        <v>236</v>
      </c>
      <c r="J232" t="s">
        <v>1262</v>
      </c>
      <c r="K232">
        <v>1.170519599992E-4</v>
      </c>
      <c r="L232" t="s">
        <v>238</v>
      </c>
      <c r="N232" t="s">
        <v>346</v>
      </c>
      <c r="O232" t="s">
        <v>1262</v>
      </c>
      <c r="P232">
        <v>5.3611693189920089E-5</v>
      </c>
      <c r="Q232" t="s">
        <v>238</v>
      </c>
      <c r="S232" t="s">
        <v>347</v>
      </c>
      <c r="T232" t="s">
        <v>1262</v>
      </c>
      <c r="U232">
        <v>1.2746442331829999E-4</v>
      </c>
      <c r="V232" t="s">
        <v>238</v>
      </c>
      <c r="X232">
        <v>1.1415525114155251E-4</v>
      </c>
      <c r="Y232">
        <v>1.4883690094390442E-4</v>
      </c>
      <c r="Z232" t="s">
        <v>1262</v>
      </c>
      <c r="AA232" t="s">
        <v>25</v>
      </c>
      <c r="AC232" t="s">
        <v>22</v>
      </c>
      <c r="AD232" t="s">
        <v>1262</v>
      </c>
      <c r="AE232">
        <v>1.4503903614308724E-4</v>
      </c>
      <c r="AG232" t="s">
        <v>97</v>
      </c>
      <c r="AH232" t="s">
        <v>1262</v>
      </c>
      <c r="AI232">
        <v>0</v>
      </c>
    </row>
    <row r="233" spans="5:35" x14ac:dyDescent="0.45">
      <c r="E233" t="s">
        <v>967</v>
      </c>
      <c r="G233" t="s">
        <v>153</v>
      </c>
      <c r="I233" t="s">
        <v>236</v>
      </c>
      <c r="J233" t="s">
        <v>1263</v>
      </c>
      <c r="K233">
        <v>8.4099518779670476E-5</v>
      </c>
      <c r="L233" t="s">
        <v>238</v>
      </c>
      <c r="N233" t="s">
        <v>346</v>
      </c>
      <c r="O233" t="s">
        <v>1263</v>
      </c>
      <c r="P233">
        <v>5.4421042415040169E-5</v>
      </c>
      <c r="Q233" t="s">
        <v>238</v>
      </c>
      <c r="S233" t="s">
        <v>347</v>
      </c>
      <c r="T233" t="s">
        <v>1263</v>
      </c>
      <c r="U233">
        <v>1.2233497506290001E-4</v>
      </c>
      <c r="V233" t="s">
        <v>238</v>
      </c>
      <c r="X233">
        <v>1.1415525114155251E-4</v>
      </c>
      <c r="Y233">
        <v>1.5049432745775637E-4</v>
      </c>
      <c r="Z233" t="s">
        <v>1263</v>
      </c>
      <c r="AA233" t="s">
        <v>25</v>
      </c>
      <c r="AC233" t="s">
        <v>22</v>
      </c>
      <c r="AD233" t="s">
        <v>1263</v>
      </c>
      <c r="AE233">
        <v>1.4422788203563453E-4</v>
      </c>
      <c r="AG233" t="s">
        <v>97</v>
      </c>
      <c r="AH233" t="s">
        <v>1263</v>
      </c>
      <c r="AI233">
        <v>0</v>
      </c>
    </row>
    <row r="234" spans="5:35" x14ac:dyDescent="0.45">
      <c r="E234" t="s">
        <v>968</v>
      </c>
      <c r="G234" t="s">
        <v>153</v>
      </c>
      <c r="I234" t="s">
        <v>236</v>
      </c>
      <c r="J234" t="s">
        <v>1264</v>
      </c>
      <c r="K234">
        <v>5.0159943156103502E-5</v>
      </c>
      <c r="L234" t="s">
        <v>238</v>
      </c>
      <c r="N234" t="s">
        <v>346</v>
      </c>
      <c r="O234" t="s">
        <v>1264</v>
      </c>
      <c r="P234">
        <v>5.7210284219692611E-5</v>
      </c>
      <c r="Q234" t="s">
        <v>238</v>
      </c>
      <c r="S234" t="s">
        <v>347</v>
      </c>
      <c r="T234" t="s">
        <v>1264</v>
      </c>
      <c r="U234">
        <v>1.208247536847E-4</v>
      </c>
      <c r="V234" t="s">
        <v>238</v>
      </c>
      <c r="X234">
        <v>1.1415525114155251E-4</v>
      </c>
      <c r="Y234">
        <v>1.7237235744060203E-4</v>
      </c>
      <c r="Z234" t="s">
        <v>1264</v>
      </c>
      <c r="AA234" t="s">
        <v>25</v>
      </c>
      <c r="AC234" t="s">
        <v>22</v>
      </c>
      <c r="AD234" t="s">
        <v>1264</v>
      </c>
      <c r="AE234">
        <v>1.4481833343540576E-4</v>
      </c>
      <c r="AG234" t="s">
        <v>97</v>
      </c>
      <c r="AH234" t="s">
        <v>1264</v>
      </c>
      <c r="AI234">
        <v>0</v>
      </c>
    </row>
    <row r="235" spans="5:35" x14ac:dyDescent="0.45">
      <c r="E235" t="s">
        <v>969</v>
      </c>
      <c r="G235" t="s">
        <v>153</v>
      </c>
      <c r="I235" t="s">
        <v>236</v>
      </c>
      <c r="J235" t="s">
        <v>1265</v>
      </c>
      <c r="K235">
        <v>1.3387366692160403E-5</v>
      </c>
      <c r="L235" t="s">
        <v>238</v>
      </c>
      <c r="N235" t="s">
        <v>346</v>
      </c>
      <c r="O235" t="s">
        <v>1265</v>
      </c>
      <c r="P235">
        <v>6.2543957780542445E-5</v>
      </c>
      <c r="Q235" t="s">
        <v>238</v>
      </c>
      <c r="S235" t="s">
        <v>347</v>
      </c>
      <c r="T235" t="s">
        <v>1265</v>
      </c>
      <c r="U235">
        <v>1.059505366268E-4</v>
      </c>
      <c r="V235" t="s">
        <v>238</v>
      </c>
      <c r="X235">
        <v>1.1415525114155251E-4</v>
      </c>
      <c r="Y235">
        <v>2.2209515285616027E-4</v>
      </c>
      <c r="Z235" t="s">
        <v>1265</v>
      </c>
      <c r="AA235" t="s">
        <v>25</v>
      </c>
      <c r="AC235" t="s">
        <v>22</v>
      </c>
      <c r="AD235" t="s">
        <v>1265</v>
      </c>
      <c r="AE235">
        <v>1.4516515197604812E-4</v>
      </c>
      <c r="AG235" t="s">
        <v>97</v>
      </c>
      <c r="AH235" t="s">
        <v>1265</v>
      </c>
      <c r="AI235">
        <v>0</v>
      </c>
    </row>
    <row r="236" spans="5:35" x14ac:dyDescent="0.45">
      <c r="E236" t="s">
        <v>970</v>
      </c>
      <c r="G236" t="s">
        <v>153</v>
      </c>
      <c r="I236" t="s">
        <v>236</v>
      </c>
      <c r="J236" t="s">
        <v>1266</v>
      </c>
      <c r="K236">
        <v>0</v>
      </c>
      <c r="L236" t="s">
        <v>238</v>
      </c>
      <c r="N236" t="s">
        <v>346</v>
      </c>
      <c r="O236" t="s">
        <v>1266</v>
      </c>
      <c r="P236">
        <v>7.2384563835304025E-5</v>
      </c>
      <c r="Q236" t="s">
        <v>238</v>
      </c>
      <c r="S236" t="s">
        <v>347</v>
      </c>
      <c r="T236" t="s">
        <v>1266</v>
      </c>
      <c r="U236">
        <v>9.886679073798438E-5</v>
      </c>
      <c r="V236" t="s">
        <v>238</v>
      </c>
      <c r="X236">
        <v>1.1415525114155251E-4</v>
      </c>
      <c r="Y236">
        <v>2.2209515285616027E-4</v>
      </c>
      <c r="Z236" t="s">
        <v>1266</v>
      </c>
      <c r="AA236" t="s">
        <v>25</v>
      </c>
      <c r="AC236" t="s">
        <v>22</v>
      </c>
      <c r="AD236" t="s">
        <v>1266</v>
      </c>
      <c r="AE236">
        <v>1.4513648928673881E-4</v>
      </c>
      <c r="AG236" t="s">
        <v>97</v>
      </c>
      <c r="AH236" t="s">
        <v>1266</v>
      </c>
      <c r="AI236">
        <v>0</v>
      </c>
    </row>
    <row r="237" spans="5:35" x14ac:dyDescent="0.45">
      <c r="E237" t="s">
        <v>971</v>
      </c>
      <c r="G237" t="s">
        <v>153</v>
      </c>
      <c r="I237" t="s">
        <v>236</v>
      </c>
      <c r="J237" t="s">
        <v>1267</v>
      </c>
      <c r="K237">
        <v>0</v>
      </c>
      <c r="L237" t="s">
        <v>238</v>
      </c>
      <c r="N237" t="s">
        <v>346</v>
      </c>
      <c r="O237" t="s">
        <v>1267</v>
      </c>
      <c r="P237">
        <v>7.1119869775113431E-5</v>
      </c>
      <c r="Q237" t="s">
        <v>238</v>
      </c>
      <c r="S237" t="s">
        <v>347</v>
      </c>
      <c r="T237" t="s">
        <v>1267</v>
      </c>
      <c r="U237">
        <v>9.7828393846906679E-5</v>
      </c>
      <c r="V237" t="s">
        <v>238</v>
      </c>
      <c r="X237">
        <v>1.1415525114155251E-4</v>
      </c>
      <c r="Y237">
        <v>1.7237235744060203E-4</v>
      </c>
      <c r="Z237" t="s">
        <v>1267</v>
      </c>
      <c r="AA237" t="s">
        <v>25</v>
      </c>
      <c r="AC237" t="s">
        <v>22</v>
      </c>
      <c r="AD237" t="s">
        <v>1267</v>
      </c>
      <c r="AE237">
        <v>1.4513648928673881E-4</v>
      </c>
      <c r="AG237" t="s">
        <v>97</v>
      </c>
      <c r="AH237" t="s">
        <v>1267</v>
      </c>
      <c r="AI237">
        <v>0</v>
      </c>
    </row>
    <row r="238" spans="5:35" x14ac:dyDescent="0.45">
      <c r="E238" t="s">
        <v>972</v>
      </c>
      <c r="G238" t="s">
        <v>153</v>
      </c>
      <c r="I238" t="s">
        <v>236</v>
      </c>
      <c r="J238" t="s">
        <v>1268</v>
      </c>
      <c r="K238">
        <v>0</v>
      </c>
      <c r="L238" t="s">
        <v>238</v>
      </c>
      <c r="N238" t="s">
        <v>346</v>
      </c>
      <c r="O238" t="s">
        <v>1268</v>
      </c>
      <c r="P238">
        <v>6.2947799134967895E-5</v>
      </c>
      <c r="Q238" t="s">
        <v>238</v>
      </c>
      <c r="S238" t="s">
        <v>347</v>
      </c>
      <c r="T238" t="s">
        <v>1268</v>
      </c>
      <c r="U238">
        <v>7.6101033112951666E-5</v>
      </c>
      <c r="V238" t="s">
        <v>238</v>
      </c>
      <c r="X238">
        <v>1.1415525114155251E-4</v>
      </c>
      <c r="Y238">
        <v>1.5579809230208258E-4</v>
      </c>
      <c r="Z238" t="s">
        <v>1268</v>
      </c>
      <c r="AA238" t="s">
        <v>25</v>
      </c>
      <c r="AC238" t="s">
        <v>22</v>
      </c>
      <c r="AD238" t="s">
        <v>1268</v>
      </c>
      <c r="AE238">
        <v>1.4122116592709072E-4</v>
      </c>
      <c r="AG238" t="s">
        <v>97</v>
      </c>
      <c r="AH238" t="s">
        <v>1268</v>
      </c>
      <c r="AI238">
        <v>0</v>
      </c>
    </row>
    <row r="239" spans="5:35" x14ac:dyDescent="0.45">
      <c r="E239" t="s">
        <v>973</v>
      </c>
      <c r="G239" t="s">
        <v>153</v>
      </c>
      <c r="I239" t="s">
        <v>236</v>
      </c>
      <c r="J239" t="s">
        <v>1269</v>
      </c>
      <c r="K239">
        <v>0</v>
      </c>
      <c r="L239" t="s">
        <v>238</v>
      </c>
      <c r="N239" t="s">
        <v>346</v>
      </c>
      <c r="O239" t="s">
        <v>1269</v>
      </c>
      <c r="P239">
        <v>6.2611351699031742E-5</v>
      </c>
      <c r="Q239" t="s">
        <v>238</v>
      </c>
      <c r="S239" t="s">
        <v>347</v>
      </c>
      <c r="T239" t="s">
        <v>1269</v>
      </c>
      <c r="U239">
        <v>5.4157830195997976E-5</v>
      </c>
      <c r="V239" t="s">
        <v>238</v>
      </c>
      <c r="X239">
        <v>1.1415525114155251E-4</v>
      </c>
      <c r="Y239">
        <v>1.093901499142282E-4</v>
      </c>
      <c r="Z239" t="s">
        <v>1269</v>
      </c>
      <c r="AA239" t="s">
        <v>25</v>
      </c>
      <c r="AC239" t="s">
        <v>22</v>
      </c>
      <c r="AD239" t="s">
        <v>1269</v>
      </c>
      <c r="AE239">
        <v>1.3143285752797049E-4</v>
      </c>
      <c r="AG239" t="s">
        <v>97</v>
      </c>
      <c r="AH239" t="s">
        <v>1269</v>
      </c>
      <c r="AI239">
        <v>0</v>
      </c>
    </row>
    <row r="240" spans="5:35" x14ac:dyDescent="0.45">
      <c r="E240" t="s">
        <v>974</v>
      </c>
      <c r="G240" t="s">
        <v>153</v>
      </c>
      <c r="I240" t="s">
        <v>236</v>
      </c>
      <c r="J240" t="s">
        <v>1270</v>
      </c>
      <c r="K240">
        <v>0</v>
      </c>
      <c r="L240" t="s">
        <v>238</v>
      </c>
      <c r="N240" t="s">
        <v>346</v>
      </c>
      <c r="O240" t="s">
        <v>1270</v>
      </c>
      <c r="P240">
        <v>6.4956920579784609E-5</v>
      </c>
      <c r="Q240" t="s">
        <v>238</v>
      </c>
      <c r="S240" t="s">
        <v>347</v>
      </c>
      <c r="T240" t="s">
        <v>1270</v>
      </c>
      <c r="U240">
        <v>3.3971813682048887E-5</v>
      </c>
      <c r="V240" t="s">
        <v>238</v>
      </c>
      <c r="X240">
        <v>1.1415525114155251E-4</v>
      </c>
      <c r="Y240">
        <v>7.9556472664893237E-5</v>
      </c>
      <c r="Z240" t="s">
        <v>1270</v>
      </c>
      <c r="AA240" t="s">
        <v>25</v>
      </c>
      <c r="AC240" t="s">
        <v>22</v>
      </c>
      <c r="AD240" t="s">
        <v>1270</v>
      </c>
      <c r="AE240">
        <v>1.182938807485951E-4</v>
      </c>
      <c r="AG240" t="s">
        <v>97</v>
      </c>
      <c r="AH240" t="s">
        <v>1270</v>
      </c>
      <c r="AI240">
        <v>0</v>
      </c>
    </row>
    <row r="241" spans="5:35" x14ac:dyDescent="0.45">
      <c r="E241" t="s">
        <v>975</v>
      </c>
      <c r="G241" t="s">
        <v>153</v>
      </c>
      <c r="I241" t="s">
        <v>236</v>
      </c>
      <c r="J241" t="s">
        <v>1271</v>
      </c>
      <c r="K241">
        <v>0</v>
      </c>
      <c r="L241" t="s">
        <v>238</v>
      </c>
      <c r="N241" t="s">
        <v>346</v>
      </c>
      <c r="O241" t="s">
        <v>1271</v>
      </c>
      <c r="P241">
        <v>6.4519302109707934E-5</v>
      </c>
      <c r="Q241" t="s">
        <v>238</v>
      </c>
      <c r="S241" t="s">
        <v>347</v>
      </c>
      <c r="T241" t="s">
        <v>1271</v>
      </c>
      <c r="U241">
        <v>3.1909905907363422E-5</v>
      </c>
      <c r="V241" t="s">
        <v>238</v>
      </c>
      <c r="X241">
        <v>1.1415525114155251E-4</v>
      </c>
      <c r="Y241">
        <v>5.6352501470966035E-5</v>
      </c>
      <c r="Z241" t="s">
        <v>1271</v>
      </c>
      <c r="AA241" t="s">
        <v>25</v>
      </c>
      <c r="AC241" t="s">
        <v>22</v>
      </c>
      <c r="AD241" t="s">
        <v>1271</v>
      </c>
      <c r="AE241">
        <v>1.100447587653834E-4</v>
      </c>
      <c r="AG241" t="s">
        <v>97</v>
      </c>
      <c r="AH241" t="s">
        <v>1271</v>
      </c>
      <c r="AI241">
        <v>0</v>
      </c>
    </row>
    <row r="242" spans="5:35" x14ac:dyDescent="0.45">
      <c r="E242" t="s">
        <v>976</v>
      </c>
      <c r="G242" t="s">
        <v>153</v>
      </c>
      <c r="I242" t="s">
        <v>236</v>
      </c>
      <c r="J242" t="s">
        <v>1272</v>
      </c>
      <c r="K242">
        <v>0</v>
      </c>
      <c r="L242" t="s">
        <v>238</v>
      </c>
      <c r="N242" t="s">
        <v>346</v>
      </c>
      <c r="O242" t="s">
        <v>1272</v>
      </c>
      <c r="P242">
        <v>6.2066057076837165E-5</v>
      </c>
      <c r="Q242" t="s">
        <v>238</v>
      </c>
      <c r="S242" t="s">
        <v>347</v>
      </c>
      <c r="T242" t="s">
        <v>1272</v>
      </c>
      <c r="U242">
        <v>3.3086767466139849E-5</v>
      </c>
      <c r="V242" t="s">
        <v>238</v>
      </c>
      <c r="X242">
        <v>1.1415525114155251E-4</v>
      </c>
      <c r="Y242">
        <v>2.9833677249334962E-5</v>
      </c>
      <c r="Z242" t="s">
        <v>1272</v>
      </c>
      <c r="AA242" t="s">
        <v>25</v>
      </c>
      <c r="AC242" t="s">
        <v>22</v>
      </c>
      <c r="AD242" t="s">
        <v>1272</v>
      </c>
      <c r="AE242">
        <v>9.2941732054534115E-5</v>
      </c>
      <c r="AG242" t="s">
        <v>97</v>
      </c>
      <c r="AH242" t="s">
        <v>1272</v>
      </c>
      <c r="AI242">
        <v>0</v>
      </c>
    </row>
    <row r="243" spans="5:35" x14ac:dyDescent="0.45">
      <c r="E243" t="s">
        <v>977</v>
      </c>
      <c r="G243" t="s">
        <v>153</v>
      </c>
      <c r="I243" t="s">
        <v>236</v>
      </c>
      <c r="J243" t="s">
        <v>1273</v>
      </c>
      <c r="K243">
        <v>0</v>
      </c>
      <c r="L243" t="s">
        <v>238</v>
      </c>
      <c r="N243" t="s">
        <v>346</v>
      </c>
      <c r="O243" t="s">
        <v>1273</v>
      </c>
      <c r="P243">
        <v>6.6901851474040759E-5</v>
      </c>
      <c r="Q243" t="s">
        <v>238</v>
      </c>
      <c r="S243" t="s">
        <v>347</v>
      </c>
      <c r="T243" t="s">
        <v>1273</v>
      </c>
      <c r="U243">
        <v>3.632149763625018E-5</v>
      </c>
      <c r="V243" t="s">
        <v>238</v>
      </c>
      <c r="X243">
        <v>1.1415525114155251E-4</v>
      </c>
      <c r="Y243">
        <v>2.1546544680075254E-5</v>
      </c>
      <c r="Z243" t="s">
        <v>1273</v>
      </c>
      <c r="AA243" t="s">
        <v>25</v>
      </c>
      <c r="AC243" t="s">
        <v>22</v>
      </c>
      <c r="AD243" t="s">
        <v>1273</v>
      </c>
      <c r="AE243">
        <v>8.5122550410961643E-5</v>
      </c>
      <c r="AG243" t="s">
        <v>97</v>
      </c>
      <c r="AH243" t="s">
        <v>1273</v>
      </c>
      <c r="AI243">
        <v>0</v>
      </c>
    </row>
    <row r="244" spans="5:35" x14ac:dyDescent="0.45">
      <c r="E244" t="s">
        <v>978</v>
      </c>
      <c r="G244" t="s">
        <v>153</v>
      </c>
      <c r="I244" t="s">
        <v>236</v>
      </c>
      <c r="J244" t="s">
        <v>1274</v>
      </c>
      <c r="K244">
        <v>0</v>
      </c>
      <c r="L244" t="s">
        <v>238</v>
      </c>
      <c r="N244" t="s">
        <v>346</v>
      </c>
      <c r="O244" t="s">
        <v>1274</v>
      </c>
      <c r="P244">
        <v>6.6892616563714129E-5</v>
      </c>
      <c r="Q244" t="s">
        <v>238</v>
      </c>
      <c r="S244" t="s">
        <v>347</v>
      </c>
      <c r="T244" t="s">
        <v>1274</v>
      </c>
      <c r="U244">
        <v>3.3562492970621459E-5</v>
      </c>
      <c r="V244" t="s">
        <v>238</v>
      </c>
      <c r="X244">
        <v>1.1415525114155251E-4</v>
      </c>
      <c r="Y244">
        <v>1.4916838624667481E-5</v>
      </c>
      <c r="Z244" t="s">
        <v>1274</v>
      </c>
      <c r="AA244" t="s">
        <v>25</v>
      </c>
      <c r="AC244" t="s">
        <v>22</v>
      </c>
      <c r="AD244" t="s">
        <v>1274</v>
      </c>
      <c r="AE244">
        <v>8.1144169134833141E-5</v>
      </c>
      <c r="AG244" t="s">
        <v>97</v>
      </c>
      <c r="AH244" t="s">
        <v>1274</v>
      </c>
      <c r="AI244">
        <v>0</v>
      </c>
    </row>
    <row r="245" spans="5:35" x14ac:dyDescent="0.45">
      <c r="E245" t="s">
        <v>979</v>
      </c>
      <c r="G245" t="s">
        <v>153</v>
      </c>
      <c r="I245" t="s">
        <v>236</v>
      </c>
      <c r="J245" t="s">
        <v>1275</v>
      </c>
      <c r="K245">
        <v>0</v>
      </c>
      <c r="L245" t="s">
        <v>238</v>
      </c>
      <c r="N245" t="s">
        <v>346</v>
      </c>
      <c r="O245" t="s">
        <v>1275</v>
      </c>
      <c r="P245">
        <v>6.3950443496285509E-5</v>
      </c>
      <c r="Q245" t="s">
        <v>238</v>
      </c>
      <c r="S245" t="s">
        <v>347</v>
      </c>
      <c r="T245" t="s">
        <v>1275</v>
      </c>
      <c r="U245">
        <v>2.4334101260100864E-5</v>
      </c>
      <c r="V245" t="s">
        <v>238</v>
      </c>
      <c r="X245">
        <v>1.1415525114155251E-4</v>
      </c>
      <c r="Y245">
        <v>1.6574265138519424E-5</v>
      </c>
      <c r="Z245" t="s">
        <v>1275</v>
      </c>
      <c r="AA245" t="s">
        <v>25</v>
      </c>
      <c r="AC245" t="s">
        <v>22</v>
      </c>
      <c r="AD245" t="s">
        <v>1275</v>
      </c>
      <c r="AE245">
        <v>8.0906268813566066E-5</v>
      </c>
      <c r="AG245" t="s">
        <v>97</v>
      </c>
      <c r="AH245" t="s">
        <v>1275</v>
      </c>
      <c r="AI245">
        <v>0</v>
      </c>
    </row>
    <row r="246" spans="5:35" x14ac:dyDescent="0.45">
      <c r="E246" t="s">
        <v>980</v>
      </c>
      <c r="G246" t="s">
        <v>153</v>
      </c>
      <c r="I246" t="s">
        <v>236</v>
      </c>
      <c r="J246" t="s">
        <v>1276</v>
      </c>
      <c r="K246">
        <v>0</v>
      </c>
      <c r="L246" t="s">
        <v>238</v>
      </c>
      <c r="N246" t="s">
        <v>346</v>
      </c>
      <c r="O246" t="s">
        <v>1276</v>
      </c>
      <c r="P246">
        <v>6.0411952385774792E-5</v>
      </c>
      <c r="Q246" t="s">
        <v>238</v>
      </c>
      <c r="S246" t="s">
        <v>347</v>
      </c>
      <c r="T246" t="s">
        <v>1276</v>
      </c>
      <c r="U246">
        <v>1.7090400438937327E-5</v>
      </c>
      <c r="V246" t="s">
        <v>238</v>
      </c>
      <c r="X246">
        <v>1.1415525114155251E-4</v>
      </c>
      <c r="Y246">
        <v>1.4585353321897093E-5</v>
      </c>
      <c r="Z246" t="s">
        <v>1276</v>
      </c>
      <c r="AA246" t="s">
        <v>25</v>
      </c>
      <c r="AC246" t="s">
        <v>22</v>
      </c>
      <c r="AD246" t="s">
        <v>1276</v>
      </c>
      <c r="AE246">
        <v>8.193812562870026E-5</v>
      </c>
      <c r="AG246" t="s">
        <v>97</v>
      </c>
      <c r="AH246" t="s">
        <v>1276</v>
      </c>
      <c r="AI246">
        <v>0</v>
      </c>
    </row>
    <row r="247" spans="5:35" x14ac:dyDescent="0.45">
      <c r="E247" t="s">
        <v>981</v>
      </c>
      <c r="G247" t="s">
        <v>153</v>
      </c>
      <c r="I247" t="s">
        <v>236</v>
      </c>
      <c r="J247" t="s">
        <v>1277</v>
      </c>
      <c r="K247">
        <v>0</v>
      </c>
      <c r="L247" t="s">
        <v>238</v>
      </c>
      <c r="N247" t="s">
        <v>346</v>
      </c>
      <c r="O247" t="s">
        <v>1277</v>
      </c>
      <c r="P247">
        <v>5.8370641008167388E-5</v>
      </c>
      <c r="Q247" t="s">
        <v>238</v>
      </c>
      <c r="S247" t="s">
        <v>347</v>
      </c>
      <c r="T247" t="s">
        <v>1277</v>
      </c>
      <c r="U247">
        <v>1.4874510167237532E-5</v>
      </c>
      <c r="V247" t="s">
        <v>238</v>
      </c>
      <c r="X247">
        <v>1.1415525114155251E-4</v>
      </c>
      <c r="Y247">
        <v>2.1215059377304864E-5</v>
      </c>
      <c r="Z247" t="s">
        <v>1277</v>
      </c>
      <c r="AA247" t="s">
        <v>25</v>
      </c>
      <c r="AC247" t="s">
        <v>22</v>
      </c>
      <c r="AD247" t="s">
        <v>1277</v>
      </c>
      <c r="AE247">
        <v>8.8166528015607511E-5</v>
      </c>
      <c r="AG247" t="s">
        <v>97</v>
      </c>
      <c r="AH247" t="s">
        <v>1277</v>
      </c>
      <c r="AI247">
        <v>0</v>
      </c>
    </row>
    <row r="248" spans="5:35" x14ac:dyDescent="0.45">
      <c r="E248" t="s">
        <v>982</v>
      </c>
      <c r="G248" t="s">
        <v>153</v>
      </c>
      <c r="I248" t="s">
        <v>236</v>
      </c>
      <c r="J248" t="s">
        <v>1278</v>
      </c>
      <c r="K248">
        <v>0</v>
      </c>
      <c r="L248" t="s">
        <v>238</v>
      </c>
      <c r="N248" t="s">
        <v>346</v>
      </c>
      <c r="O248" t="s">
        <v>1278</v>
      </c>
      <c r="P248">
        <v>5.6153248026938562E-5</v>
      </c>
      <c r="Q248" t="s">
        <v>238</v>
      </c>
      <c r="S248" t="s">
        <v>347</v>
      </c>
      <c r="T248" t="s">
        <v>1278</v>
      </c>
      <c r="U248">
        <v>1.6483902967053581E-5</v>
      </c>
      <c r="V248" t="s">
        <v>238</v>
      </c>
      <c r="X248">
        <v>1.1415525114155251E-4</v>
      </c>
      <c r="Y248">
        <v>5.7678442682047593E-5</v>
      </c>
      <c r="Z248" t="s">
        <v>1278</v>
      </c>
      <c r="AA248" t="s">
        <v>25</v>
      </c>
      <c r="AC248" t="s">
        <v>22</v>
      </c>
      <c r="AD248" t="s">
        <v>1278</v>
      </c>
      <c r="AE248">
        <v>1.2007096748577064E-4</v>
      </c>
      <c r="AG248" t="s">
        <v>97</v>
      </c>
      <c r="AH248" t="s">
        <v>1278</v>
      </c>
      <c r="AI248">
        <v>0</v>
      </c>
    </row>
    <row r="249" spans="5:35" x14ac:dyDescent="0.45">
      <c r="E249" t="s">
        <v>983</v>
      </c>
      <c r="G249" t="s">
        <v>153</v>
      </c>
      <c r="I249" t="s">
        <v>236</v>
      </c>
      <c r="J249" t="s">
        <v>1279</v>
      </c>
      <c r="K249">
        <v>0</v>
      </c>
      <c r="L249" t="s">
        <v>238</v>
      </c>
      <c r="N249" t="s">
        <v>346</v>
      </c>
      <c r="O249" t="s">
        <v>1279</v>
      </c>
      <c r="P249">
        <v>5.793927960593958E-5</v>
      </c>
      <c r="Q249" t="s">
        <v>238</v>
      </c>
      <c r="S249" t="s">
        <v>347</v>
      </c>
      <c r="T249" t="s">
        <v>1279</v>
      </c>
      <c r="U249">
        <v>2.128908485554129E-5</v>
      </c>
      <c r="V249" t="s">
        <v>238</v>
      </c>
      <c r="X249">
        <v>1.1415525114155251E-4</v>
      </c>
      <c r="Y249">
        <v>1.6905750441289813E-4</v>
      </c>
      <c r="Z249" t="s">
        <v>1279</v>
      </c>
      <c r="AA249" t="s">
        <v>25</v>
      </c>
      <c r="AC249" t="s">
        <v>22</v>
      </c>
      <c r="AD249" t="s">
        <v>1279</v>
      </c>
      <c r="AE249">
        <v>1.3987688579848533E-4</v>
      </c>
      <c r="AG249" t="s">
        <v>97</v>
      </c>
      <c r="AH249" t="s">
        <v>1279</v>
      </c>
      <c r="AI249">
        <v>0</v>
      </c>
    </row>
    <row r="250" spans="5:35" x14ac:dyDescent="0.45">
      <c r="E250" t="s">
        <v>984</v>
      </c>
      <c r="G250" t="s">
        <v>153</v>
      </c>
      <c r="I250" t="s">
        <v>236</v>
      </c>
      <c r="J250" t="s">
        <v>1280</v>
      </c>
      <c r="K250">
        <v>0</v>
      </c>
      <c r="L250" t="s">
        <v>238</v>
      </c>
      <c r="N250" t="s">
        <v>346</v>
      </c>
      <c r="O250" t="s">
        <v>1280</v>
      </c>
      <c r="P250">
        <v>5.3969543358044665E-5</v>
      </c>
      <c r="Q250" t="s">
        <v>238</v>
      </c>
      <c r="S250" t="s">
        <v>347</v>
      </c>
      <c r="T250" t="s">
        <v>1280</v>
      </c>
      <c r="U250">
        <v>3.3803611787988442E-5</v>
      </c>
      <c r="V250" t="s">
        <v>238</v>
      </c>
      <c r="X250">
        <v>1.1415525114155251E-4</v>
      </c>
      <c r="Y250">
        <v>1.9060404909297337E-4</v>
      </c>
      <c r="Z250" t="s">
        <v>1280</v>
      </c>
      <c r="AA250" t="s">
        <v>25</v>
      </c>
      <c r="AC250" t="s">
        <v>22</v>
      </c>
      <c r="AD250" t="s">
        <v>1280</v>
      </c>
      <c r="AE250">
        <v>1.4483839731792224E-4</v>
      </c>
      <c r="AG250" t="s">
        <v>97</v>
      </c>
      <c r="AH250" t="s">
        <v>1280</v>
      </c>
      <c r="AI250">
        <v>0</v>
      </c>
    </row>
    <row r="251" spans="5:35" x14ac:dyDescent="0.45">
      <c r="E251" t="s">
        <v>985</v>
      </c>
      <c r="G251" t="s">
        <v>153</v>
      </c>
      <c r="I251" t="s">
        <v>236</v>
      </c>
      <c r="J251" t="s">
        <v>1281</v>
      </c>
      <c r="K251">
        <v>8.2757767048904296E-6</v>
      </c>
      <c r="L251" t="s">
        <v>238</v>
      </c>
      <c r="N251" t="s">
        <v>346</v>
      </c>
      <c r="O251" t="s">
        <v>1281</v>
      </c>
      <c r="P251">
        <v>4.6260393564574797E-5</v>
      </c>
      <c r="Q251" t="s">
        <v>238</v>
      </c>
      <c r="S251" t="s">
        <v>347</v>
      </c>
      <c r="T251" t="s">
        <v>1281</v>
      </c>
      <c r="U251">
        <v>5.1037408019091583E-5</v>
      </c>
      <c r="V251" t="s">
        <v>238</v>
      </c>
      <c r="X251">
        <v>1.1415525114155251E-4</v>
      </c>
      <c r="Y251">
        <v>1.4585353321897094E-4</v>
      </c>
      <c r="Z251" t="s">
        <v>1281</v>
      </c>
      <c r="AA251" t="s">
        <v>25</v>
      </c>
      <c r="AC251" t="s">
        <v>22</v>
      </c>
      <c r="AD251" t="s">
        <v>1281</v>
      </c>
      <c r="AE251">
        <v>1.5040755785071595E-4</v>
      </c>
      <c r="AG251" t="s">
        <v>97</v>
      </c>
      <c r="AH251" t="s">
        <v>1281</v>
      </c>
      <c r="AI251">
        <v>0</v>
      </c>
    </row>
    <row r="252" spans="5:35" x14ac:dyDescent="0.45">
      <c r="E252" t="s">
        <v>986</v>
      </c>
      <c r="G252" t="s">
        <v>153</v>
      </c>
      <c r="I252" t="s">
        <v>236</v>
      </c>
      <c r="J252" t="s">
        <v>1282</v>
      </c>
      <c r="K252">
        <v>3.3328414543041959E-5</v>
      </c>
      <c r="L252" t="s">
        <v>238</v>
      </c>
      <c r="N252" t="s">
        <v>346</v>
      </c>
      <c r="O252" t="s">
        <v>1282</v>
      </c>
      <c r="P252">
        <v>4.5500531646064406E-5</v>
      </c>
      <c r="Q252" t="s">
        <v>238</v>
      </c>
      <c r="S252" t="s">
        <v>347</v>
      </c>
      <c r="T252" t="s">
        <v>1282</v>
      </c>
      <c r="U252">
        <v>7.5538203138049168E-5</v>
      </c>
      <c r="V252" t="s">
        <v>238</v>
      </c>
      <c r="X252">
        <v>1.1415525114155251E-4</v>
      </c>
      <c r="Y252">
        <v>1.4452759200788939E-4</v>
      </c>
      <c r="Z252" t="s">
        <v>1282</v>
      </c>
      <c r="AA252" t="s">
        <v>25</v>
      </c>
      <c r="AC252" t="s">
        <v>22</v>
      </c>
      <c r="AD252" t="s">
        <v>1282</v>
      </c>
      <c r="AE252">
        <v>1.5301299630892981E-4</v>
      </c>
      <c r="AG252" t="s">
        <v>97</v>
      </c>
      <c r="AH252" t="s">
        <v>1282</v>
      </c>
      <c r="AI252">
        <v>0</v>
      </c>
    </row>
    <row r="253" spans="5:35" x14ac:dyDescent="0.45">
      <c r="E253" t="s">
        <v>987</v>
      </c>
      <c r="G253" t="s">
        <v>153</v>
      </c>
      <c r="I253" t="s">
        <v>236</v>
      </c>
      <c r="J253" t="s">
        <v>1283</v>
      </c>
      <c r="K253">
        <v>6.54793778140373E-5</v>
      </c>
      <c r="L253" t="s">
        <v>238</v>
      </c>
      <c r="N253" t="s">
        <v>346</v>
      </c>
      <c r="O253" t="s">
        <v>1283</v>
      </c>
      <c r="P253">
        <v>5.1455857141248421E-5</v>
      </c>
      <c r="Q253" t="s">
        <v>238</v>
      </c>
      <c r="S253" t="s">
        <v>347</v>
      </c>
      <c r="T253" t="s">
        <v>1283</v>
      </c>
      <c r="U253">
        <v>1.0200377336E-4</v>
      </c>
      <c r="V253" t="s">
        <v>238</v>
      </c>
      <c r="X253">
        <v>1.1415525114155251E-4</v>
      </c>
      <c r="Y253">
        <v>1.408812536774151E-4</v>
      </c>
      <c r="Z253" t="s">
        <v>1283</v>
      </c>
      <c r="AA253" t="s">
        <v>25</v>
      </c>
      <c r="AC253" t="s">
        <v>22</v>
      </c>
      <c r="AD253" t="s">
        <v>1283</v>
      </c>
      <c r="AE253">
        <v>1.5052507487688403E-4</v>
      </c>
      <c r="AG253" t="s">
        <v>97</v>
      </c>
      <c r="AH253" t="s">
        <v>1283</v>
      </c>
      <c r="AI253">
        <v>0</v>
      </c>
    </row>
    <row r="254" spans="5:35" x14ac:dyDescent="0.45">
      <c r="E254" t="s">
        <v>988</v>
      </c>
      <c r="G254" t="s">
        <v>153</v>
      </c>
      <c r="I254" t="s">
        <v>236</v>
      </c>
      <c r="J254" t="s">
        <v>1284</v>
      </c>
      <c r="K254">
        <v>6.7607873980169315E-5</v>
      </c>
      <c r="L254" t="s">
        <v>238</v>
      </c>
      <c r="N254" t="s">
        <v>346</v>
      </c>
      <c r="O254" t="s">
        <v>1284</v>
      </c>
      <c r="P254">
        <v>5.2755228212974789E-5</v>
      </c>
      <c r="Q254" t="s">
        <v>238</v>
      </c>
      <c r="S254" t="s">
        <v>347</v>
      </c>
      <c r="T254" t="s">
        <v>1284</v>
      </c>
      <c r="U254">
        <v>1.2323906374029999E-4</v>
      </c>
      <c r="V254" t="s">
        <v>238</v>
      </c>
      <c r="X254">
        <v>1.1415525114155251E-4</v>
      </c>
      <c r="Y254">
        <v>1.4054976837464471E-4</v>
      </c>
      <c r="Z254" t="s">
        <v>1284</v>
      </c>
      <c r="AA254" t="s">
        <v>25</v>
      </c>
      <c r="AC254" t="s">
        <v>22</v>
      </c>
      <c r="AD254" t="s">
        <v>1284</v>
      </c>
      <c r="AE254">
        <v>1.4858174454171466E-4</v>
      </c>
      <c r="AG254" t="s">
        <v>97</v>
      </c>
      <c r="AH254" t="s">
        <v>1284</v>
      </c>
      <c r="AI254">
        <v>0</v>
      </c>
    </row>
    <row r="255" spans="5:35" x14ac:dyDescent="0.45">
      <c r="E255" t="s">
        <v>989</v>
      </c>
      <c r="G255" t="s">
        <v>153</v>
      </c>
      <c r="I255" t="s">
        <v>236</v>
      </c>
      <c r="J255" t="s">
        <v>1285</v>
      </c>
      <c r="K255">
        <v>7.7468693792535301E-5</v>
      </c>
      <c r="L255" t="s">
        <v>238</v>
      </c>
      <c r="N255" t="s">
        <v>346</v>
      </c>
      <c r="O255" t="s">
        <v>1285</v>
      </c>
      <c r="P255">
        <v>5.0634700089872613E-5</v>
      </c>
      <c r="Q255" t="s">
        <v>238</v>
      </c>
      <c r="S255" t="s">
        <v>347</v>
      </c>
      <c r="T255" t="s">
        <v>1285</v>
      </c>
      <c r="U255">
        <v>1.2570197961680001E-4</v>
      </c>
      <c r="V255" t="s">
        <v>238</v>
      </c>
      <c r="X255">
        <v>1.1415525114155251E-4</v>
      </c>
      <c r="Y255">
        <v>1.4253868019126702E-4</v>
      </c>
      <c r="Z255" t="s">
        <v>1285</v>
      </c>
      <c r="AA255" t="s">
        <v>25</v>
      </c>
      <c r="AC255" t="s">
        <v>22</v>
      </c>
      <c r="AD255" t="s">
        <v>1285</v>
      </c>
      <c r="AE255">
        <v>1.4777059043426192E-4</v>
      </c>
      <c r="AG255" t="s">
        <v>97</v>
      </c>
      <c r="AH255" t="s">
        <v>1285</v>
      </c>
      <c r="AI255">
        <v>0</v>
      </c>
    </row>
    <row r="256" spans="5:35" x14ac:dyDescent="0.45">
      <c r="E256" t="s">
        <v>990</v>
      </c>
      <c r="G256" t="s">
        <v>153</v>
      </c>
      <c r="I256" t="s">
        <v>236</v>
      </c>
      <c r="J256" t="s">
        <v>1286</v>
      </c>
      <c r="K256">
        <v>7.5551428161115675E-5</v>
      </c>
      <c r="L256" t="s">
        <v>238</v>
      </c>
      <c r="N256" t="s">
        <v>346</v>
      </c>
      <c r="O256" t="s">
        <v>1286</v>
      </c>
      <c r="P256">
        <v>4.9560271742362322E-5</v>
      </c>
      <c r="Q256" t="s">
        <v>238</v>
      </c>
      <c r="S256" t="s">
        <v>347</v>
      </c>
      <c r="T256" t="s">
        <v>1286</v>
      </c>
      <c r="U256">
        <v>1.2417966175750001E-4</v>
      </c>
      <c r="V256" t="s">
        <v>238</v>
      </c>
      <c r="X256">
        <v>1.1415525114155251E-4</v>
      </c>
      <c r="Y256">
        <v>1.4883690094390442E-4</v>
      </c>
      <c r="Z256" t="s">
        <v>1286</v>
      </c>
      <c r="AA256" t="s">
        <v>25</v>
      </c>
      <c r="AC256" t="s">
        <v>22</v>
      </c>
      <c r="AD256" t="s">
        <v>1286</v>
      </c>
      <c r="AE256">
        <v>1.4770753251778151E-4</v>
      </c>
      <c r="AG256" t="s">
        <v>97</v>
      </c>
      <c r="AH256" t="s">
        <v>1286</v>
      </c>
      <c r="AI256">
        <v>0</v>
      </c>
    </row>
    <row r="257" spans="5:35" x14ac:dyDescent="0.45">
      <c r="E257" t="s">
        <v>991</v>
      </c>
      <c r="G257" t="s">
        <v>153</v>
      </c>
      <c r="I257" t="s">
        <v>236</v>
      </c>
      <c r="J257" t="s">
        <v>1287</v>
      </c>
      <c r="K257">
        <v>6.6163541092601209E-5</v>
      </c>
      <c r="L257" t="s">
        <v>238</v>
      </c>
      <c r="N257" t="s">
        <v>346</v>
      </c>
      <c r="O257" t="s">
        <v>1287</v>
      </c>
      <c r="P257">
        <v>5.3245159145655512E-5</v>
      </c>
      <c r="Q257" t="s">
        <v>238</v>
      </c>
      <c r="S257" t="s">
        <v>347</v>
      </c>
      <c r="T257" t="s">
        <v>1287</v>
      </c>
      <c r="U257">
        <v>1.196139921366E-4</v>
      </c>
      <c r="V257" t="s">
        <v>238</v>
      </c>
      <c r="X257">
        <v>1.1415525114155251E-4</v>
      </c>
      <c r="Y257">
        <v>1.5049432745775637E-4</v>
      </c>
      <c r="Z257" t="s">
        <v>1287</v>
      </c>
      <c r="AA257" t="s">
        <v>25</v>
      </c>
      <c r="AC257" t="s">
        <v>22</v>
      </c>
      <c r="AD257" t="s">
        <v>1287</v>
      </c>
      <c r="AE257">
        <v>1.4777059043426192E-4</v>
      </c>
      <c r="AG257" t="s">
        <v>97</v>
      </c>
      <c r="AH257" t="s">
        <v>1287</v>
      </c>
      <c r="AI257">
        <v>0</v>
      </c>
    </row>
    <row r="258" spans="5:35" x14ac:dyDescent="0.45">
      <c r="E258" t="s">
        <v>992</v>
      </c>
      <c r="G258" t="s">
        <v>153</v>
      </c>
      <c r="I258" t="s">
        <v>236</v>
      </c>
      <c r="J258" t="s">
        <v>1288</v>
      </c>
      <c r="K258">
        <v>4.5139386847795845E-5</v>
      </c>
      <c r="L258" t="s">
        <v>238</v>
      </c>
      <c r="N258" t="s">
        <v>346</v>
      </c>
      <c r="O258" t="s">
        <v>1288</v>
      </c>
      <c r="P258">
        <v>5.6966393348366862E-5</v>
      </c>
      <c r="Q258" t="s">
        <v>238</v>
      </c>
      <c r="S258" t="s">
        <v>347</v>
      </c>
      <c r="T258" t="s">
        <v>1288</v>
      </c>
      <c r="U258">
        <v>1.1172519502930001E-4</v>
      </c>
      <c r="V258" t="s">
        <v>238</v>
      </c>
      <c r="X258">
        <v>1.1415525114155251E-4</v>
      </c>
      <c r="Y258">
        <v>1.7237235744060203E-4</v>
      </c>
      <c r="Z258" t="s">
        <v>1288</v>
      </c>
      <c r="AA258" t="s">
        <v>25</v>
      </c>
      <c r="AC258" t="s">
        <v>22</v>
      </c>
      <c r="AD258" t="s">
        <v>1288</v>
      </c>
      <c r="AE258">
        <v>1.4831518153113831E-4</v>
      </c>
      <c r="AG258" t="s">
        <v>97</v>
      </c>
      <c r="AH258" t="s">
        <v>1288</v>
      </c>
      <c r="AI258">
        <v>0</v>
      </c>
    </row>
    <row r="259" spans="5:35" x14ac:dyDescent="0.45">
      <c r="E259" t="s">
        <v>993</v>
      </c>
      <c r="G259" t="s">
        <v>153</v>
      </c>
      <c r="I259" t="s">
        <v>236</v>
      </c>
      <c r="J259" t="s">
        <v>1289</v>
      </c>
      <c r="K259">
        <v>9.7072757527229362E-6</v>
      </c>
      <c r="L259" t="s">
        <v>238</v>
      </c>
      <c r="N259" t="s">
        <v>346</v>
      </c>
      <c r="O259" t="s">
        <v>1289</v>
      </c>
      <c r="P259">
        <v>6.4359875306469678E-5</v>
      </c>
      <c r="Q259" t="s">
        <v>238</v>
      </c>
      <c r="S259" t="s">
        <v>347</v>
      </c>
      <c r="T259" t="s">
        <v>1289</v>
      </c>
      <c r="U259">
        <v>1.2230353624310001E-4</v>
      </c>
      <c r="V259" t="s">
        <v>238</v>
      </c>
      <c r="X259">
        <v>1.1415525114155251E-4</v>
      </c>
      <c r="Y259">
        <v>2.2209515285616027E-4</v>
      </c>
      <c r="Z259" t="s">
        <v>1289</v>
      </c>
      <c r="AA259" t="s">
        <v>25</v>
      </c>
      <c r="AC259" t="s">
        <v>22</v>
      </c>
      <c r="AD259" t="s">
        <v>1289</v>
      </c>
      <c r="AE259">
        <v>1.5110979373879343E-4</v>
      </c>
      <c r="AG259" t="s">
        <v>97</v>
      </c>
      <c r="AH259" t="s">
        <v>1289</v>
      </c>
      <c r="AI259">
        <v>0</v>
      </c>
    </row>
    <row r="260" spans="5:35" x14ac:dyDescent="0.45">
      <c r="E260" t="s">
        <v>994</v>
      </c>
      <c r="G260" t="s">
        <v>153</v>
      </c>
      <c r="I260" t="s">
        <v>236</v>
      </c>
      <c r="J260" t="s">
        <v>1290</v>
      </c>
      <c r="K260">
        <v>0</v>
      </c>
      <c r="L260" t="s">
        <v>238</v>
      </c>
      <c r="N260" t="s">
        <v>346</v>
      </c>
      <c r="O260" t="s">
        <v>1290</v>
      </c>
      <c r="P260">
        <v>7.0763791468487821E-5</v>
      </c>
      <c r="Q260" t="s">
        <v>238</v>
      </c>
      <c r="S260" t="s">
        <v>347</v>
      </c>
      <c r="T260" t="s">
        <v>1290</v>
      </c>
      <c r="U260">
        <v>1.3540617998480001E-4</v>
      </c>
      <c r="V260" t="s">
        <v>238</v>
      </c>
      <c r="X260">
        <v>1.1415525114155251E-4</v>
      </c>
      <c r="Y260">
        <v>2.2209515285616027E-4</v>
      </c>
      <c r="Z260" t="s">
        <v>1290</v>
      </c>
      <c r="AA260" t="s">
        <v>25</v>
      </c>
      <c r="AC260" t="s">
        <v>22</v>
      </c>
      <c r="AD260" t="s">
        <v>1290</v>
      </c>
      <c r="AE260">
        <v>1.514824086998141E-4</v>
      </c>
      <c r="AG260" t="s">
        <v>97</v>
      </c>
      <c r="AH260" t="s">
        <v>1290</v>
      </c>
      <c r="AI260">
        <v>0</v>
      </c>
    </row>
    <row r="261" spans="5:35" x14ac:dyDescent="0.45">
      <c r="E261" t="s">
        <v>995</v>
      </c>
      <c r="G261" t="s">
        <v>153</v>
      </c>
      <c r="I261" t="s">
        <v>236</v>
      </c>
      <c r="J261" t="s">
        <v>1291</v>
      </c>
      <c r="K261">
        <v>0</v>
      </c>
      <c r="L261" t="s">
        <v>238</v>
      </c>
      <c r="N261" t="s">
        <v>346</v>
      </c>
      <c r="O261" t="s">
        <v>1291</v>
      </c>
      <c r="P261">
        <v>7.6395868503179628E-5</v>
      </c>
      <c r="Q261" t="s">
        <v>238</v>
      </c>
      <c r="S261" t="s">
        <v>347</v>
      </c>
      <c r="T261" t="s">
        <v>1291</v>
      </c>
      <c r="U261">
        <v>1.3623199990139999E-4</v>
      </c>
      <c r="V261" t="s">
        <v>238</v>
      </c>
      <c r="X261">
        <v>1.1415525114155251E-4</v>
      </c>
      <c r="Y261">
        <v>1.7237235744060203E-4</v>
      </c>
      <c r="Z261" t="s">
        <v>1291</v>
      </c>
      <c r="AA261" t="s">
        <v>25</v>
      </c>
      <c r="AC261" t="s">
        <v>22</v>
      </c>
      <c r="AD261" t="s">
        <v>1291</v>
      </c>
      <c r="AE261">
        <v>1.5267191030614939E-4</v>
      </c>
      <c r="AG261" t="s">
        <v>97</v>
      </c>
      <c r="AH261" t="s">
        <v>1291</v>
      </c>
      <c r="AI261">
        <v>0</v>
      </c>
    </row>
    <row r="262" spans="5:35" x14ac:dyDescent="0.45">
      <c r="E262" t="s">
        <v>996</v>
      </c>
      <c r="G262" t="s">
        <v>153</v>
      </c>
      <c r="I262" t="s">
        <v>236</v>
      </c>
      <c r="J262" t="s">
        <v>1292</v>
      </c>
      <c r="K262">
        <v>0</v>
      </c>
      <c r="L262" t="s">
        <v>238</v>
      </c>
      <c r="N262" t="s">
        <v>346</v>
      </c>
      <c r="O262" t="s">
        <v>1292</v>
      </c>
      <c r="P262">
        <v>7.3897730287647399E-5</v>
      </c>
      <c r="Q262" t="s">
        <v>238</v>
      </c>
      <c r="S262" t="s">
        <v>347</v>
      </c>
      <c r="T262" t="s">
        <v>1292</v>
      </c>
      <c r="U262">
        <v>1.248489321664E-4</v>
      </c>
      <c r="V262" t="s">
        <v>238</v>
      </c>
      <c r="X262">
        <v>1.1415525114155251E-4</v>
      </c>
      <c r="Y262">
        <v>1.5579809230208258E-4</v>
      </c>
      <c r="Z262" t="s">
        <v>1292</v>
      </c>
      <c r="AA262" t="s">
        <v>25</v>
      </c>
      <c r="AC262" t="s">
        <v>22</v>
      </c>
      <c r="AD262" t="s">
        <v>1292</v>
      </c>
      <c r="AE262">
        <v>1.4938716611130549E-4</v>
      </c>
      <c r="AG262" t="s">
        <v>97</v>
      </c>
      <c r="AH262" t="s">
        <v>1292</v>
      </c>
      <c r="AI262">
        <v>0</v>
      </c>
    </row>
    <row r="263" spans="5:35" x14ac:dyDescent="0.45">
      <c r="E263" t="s">
        <v>997</v>
      </c>
      <c r="G263" t="s">
        <v>153</v>
      </c>
      <c r="I263" t="s">
        <v>236</v>
      </c>
      <c r="J263" t="s">
        <v>1293</v>
      </c>
      <c r="K263">
        <v>0</v>
      </c>
      <c r="L263" t="s">
        <v>238</v>
      </c>
      <c r="N263" t="s">
        <v>346</v>
      </c>
      <c r="O263" t="s">
        <v>1293</v>
      </c>
      <c r="P263">
        <v>7.0780939248193337E-5</v>
      </c>
      <c r="Q263" t="s">
        <v>238</v>
      </c>
      <c r="S263" t="s">
        <v>347</v>
      </c>
      <c r="T263" t="s">
        <v>1293</v>
      </c>
      <c r="U263">
        <v>1.1266907915430001E-4</v>
      </c>
      <c r="V263" t="s">
        <v>238</v>
      </c>
      <c r="X263">
        <v>1.1415525114155251E-4</v>
      </c>
      <c r="Y263">
        <v>1.093901499142282E-4</v>
      </c>
      <c r="Z263" t="s">
        <v>1293</v>
      </c>
      <c r="AA263" t="s">
        <v>25</v>
      </c>
      <c r="AC263" t="s">
        <v>22</v>
      </c>
      <c r="AD263" t="s">
        <v>1293</v>
      </c>
      <c r="AE263">
        <v>1.393666899287801E-4</v>
      </c>
      <c r="AG263" t="s">
        <v>97</v>
      </c>
      <c r="AH263" t="s">
        <v>1293</v>
      </c>
      <c r="AI263">
        <v>0</v>
      </c>
    </row>
    <row r="264" spans="5:35" x14ac:dyDescent="0.45">
      <c r="E264" t="s">
        <v>998</v>
      </c>
      <c r="G264" t="s">
        <v>153</v>
      </c>
      <c r="I264" t="s">
        <v>236</v>
      </c>
      <c r="J264" t="s">
        <v>1294</v>
      </c>
      <c r="K264">
        <v>0</v>
      </c>
      <c r="L264" t="s">
        <v>238</v>
      </c>
      <c r="N264" t="s">
        <v>346</v>
      </c>
      <c r="O264" t="s">
        <v>1294</v>
      </c>
      <c r="P264">
        <v>6.6115051498441755E-5</v>
      </c>
      <c r="Q264" t="s">
        <v>238</v>
      </c>
      <c r="S264" t="s">
        <v>347</v>
      </c>
      <c r="T264" t="s">
        <v>1294</v>
      </c>
      <c r="U264">
        <v>9.7615662296915776E-5</v>
      </c>
      <c r="V264" t="s">
        <v>238</v>
      </c>
      <c r="X264">
        <v>1.1415525114155251E-4</v>
      </c>
      <c r="Y264">
        <v>7.9556472664893237E-5</v>
      </c>
      <c r="Z264" t="s">
        <v>1294</v>
      </c>
      <c r="AA264" t="s">
        <v>25</v>
      </c>
      <c r="AC264" t="s">
        <v>22</v>
      </c>
      <c r="AD264" t="s">
        <v>1294</v>
      </c>
      <c r="AE264">
        <v>1.2654013646287588E-4</v>
      </c>
      <c r="AG264" t="s">
        <v>97</v>
      </c>
      <c r="AH264" t="s">
        <v>1294</v>
      </c>
      <c r="AI264">
        <v>0</v>
      </c>
    </row>
    <row r="265" spans="5:35" x14ac:dyDescent="0.45">
      <c r="E265" t="s">
        <v>999</v>
      </c>
      <c r="G265" t="s">
        <v>153</v>
      </c>
      <c r="I265" t="s">
        <v>236</v>
      </c>
      <c r="J265" t="s">
        <v>1295</v>
      </c>
      <c r="K265">
        <v>0</v>
      </c>
      <c r="L265" t="s">
        <v>238</v>
      </c>
      <c r="N265" t="s">
        <v>346</v>
      </c>
      <c r="O265" t="s">
        <v>1295</v>
      </c>
      <c r="P265">
        <v>7.2258545598042058E-5</v>
      </c>
      <c r="Q265" t="s">
        <v>238</v>
      </c>
      <c r="S265" t="s">
        <v>347</v>
      </c>
      <c r="T265" t="s">
        <v>1295</v>
      </c>
      <c r="U265">
        <v>8.9244741452267789E-5</v>
      </c>
      <c r="V265" t="s">
        <v>238</v>
      </c>
      <c r="X265">
        <v>1.1415525114155251E-4</v>
      </c>
      <c r="Y265">
        <v>5.6352501470966035E-5</v>
      </c>
      <c r="Z265" t="s">
        <v>1295</v>
      </c>
      <c r="AA265" t="s">
        <v>25</v>
      </c>
      <c r="AC265" t="s">
        <v>22</v>
      </c>
      <c r="AD265" t="s">
        <v>1295</v>
      </c>
      <c r="AE265">
        <v>1.1514958373136672E-4</v>
      </c>
      <c r="AG265" t="s">
        <v>97</v>
      </c>
      <c r="AH265" t="s">
        <v>1295</v>
      </c>
      <c r="AI265">
        <v>0</v>
      </c>
    </row>
    <row r="266" spans="5:35" x14ac:dyDescent="0.45">
      <c r="E266" t="s">
        <v>1000</v>
      </c>
      <c r="G266" t="s">
        <v>153</v>
      </c>
      <c r="I266" t="s">
        <v>236</v>
      </c>
      <c r="J266" t="s">
        <v>1296</v>
      </c>
      <c r="K266">
        <v>0</v>
      </c>
      <c r="L266" t="s">
        <v>238</v>
      </c>
      <c r="N266" t="s">
        <v>346</v>
      </c>
      <c r="O266" t="s">
        <v>1296</v>
      </c>
      <c r="P266">
        <v>7.2701158079195927E-5</v>
      </c>
      <c r="Q266" t="s">
        <v>238</v>
      </c>
      <c r="S266" t="s">
        <v>347</v>
      </c>
      <c r="T266" t="s">
        <v>1296</v>
      </c>
      <c r="U266">
        <v>9.684530840155306E-5</v>
      </c>
      <c r="V266" t="s">
        <v>238</v>
      </c>
      <c r="X266">
        <v>1.1415525114155251E-4</v>
      </c>
      <c r="Y266">
        <v>2.9833677249334962E-5</v>
      </c>
      <c r="Z266" t="s">
        <v>1296</v>
      </c>
      <c r="AA266" t="s">
        <v>25</v>
      </c>
      <c r="AC266" t="s">
        <v>22</v>
      </c>
      <c r="AD266" t="s">
        <v>1296</v>
      </c>
      <c r="AE266">
        <v>9.2239496166456657E-5</v>
      </c>
      <c r="AG266" t="s">
        <v>97</v>
      </c>
      <c r="AH266" t="s">
        <v>1296</v>
      </c>
      <c r="AI266">
        <v>0</v>
      </c>
    </row>
    <row r="267" spans="5:35" x14ac:dyDescent="0.45">
      <c r="E267" t="s">
        <v>1001</v>
      </c>
      <c r="G267" t="s">
        <v>153</v>
      </c>
      <c r="I267" t="s">
        <v>236</v>
      </c>
      <c r="J267" t="s">
        <v>1297</v>
      </c>
      <c r="K267">
        <v>0</v>
      </c>
      <c r="L267" t="s">
        <v>238</v>
      </c>
      <c r="N267" t="s">
        <v>346</v>
      </c>
      <c r="O267" t="s">
        <v>1297</v>
      </c>
      <c r="P267">
        <v>7.6641290712109198E-5</v>
      </c>
      <c r="Q267" t="s">
        <v>238</v>
      </c>
      <c r="S267" t="s">
        <v>347</v>
      </c>
      <c r="T267" t="s">
        <v>1297</v>
      </c>
      <c r="U267">
        <v>1.105019798187E-4</v>
      </c>
      <c r="V267" t="s">
        <v>238</v>
      </c>
      <c r="X267">
        <v>1.1415525114155251E-4</v>
      </c>
      <c r="Y267">
        <v>2.1546544680075254E-5</v>
      </c>
      <c r="Z267" t="s">
        <v>1297</v>
      </c>
      <c r="AA267" t="s">
        <v>25</v>
      </c>
      <c r="AC267" t="s">
        <v>22</v>
      </c>
      <c r="AD267" t="s">
        <v>1297</v>
      </c>
      <c r="AE267">
        <v>8.6653138020077367E-5</v>
      </c>
      <c r="AG267" t="s">
        <v>97</v>
      </c>
      <c r="AH267" t="s">
        <v>1297</v>
      </c>
      <c r="AI267">
        <v>0</v>
      </c>
    </row>
    <row r="268" spans="5:35" x14ac:dyDescent="0.45">
      <c r="E268" t="s">
        <v>1002</v>
      </c>
      <c r="G268" t="s">
        <v>153</v>
      </c>
      <c r="I268" t="s">
        <v>236</v>
      </c>
      <c r="J268" t="s">
        <v>1298</v>
      </c>
      <c r="K268">
        <v>0</v>
      </c>
      <c r="L268" t="s">
        <v>238</v>
      </c>
      <c r="N268" t="s">
        <v>346</v>
      </c>
      <c r="O268" t="s">
        <v>1298</v>
      </c>
      <c r="P268">
        <v>7.8611726275537212E-5</v>
      </c>
      <c r="Q268" t="s">
        <v>238</v>
      </c>
      <c r="S268" t="s">
        <v>347</v>
      </c>
      <c r="T268" t="s">
        <v>1298</v>
      </c>
      <c r="U268">
        <v>1.158285920657E-4</v>
      </c>
      <c r="V268" t="s">
        <v>238</v>
      </c>
      <c r="X268">
        <v>1.1415525114155251E-4</v>
      </c>
      <c r="Y268">
        <v>1.4916838624667481E-5</v>
      </c>
      <c r="Z268" t="s">
        <v>1298</v>
      </c>
      <c r="AA268" t="s">
        <v>25</v>
      </c>
      <c r="AC268" t="s">
        <v>22</v>
      </c>
      <c r="AD268" t="s">
        <v>1298</v>
      </c>
      <c r="AE268">
        <v>8.3119028428242739E-5</v>
      </c>
      <c r="AG268" t="s">
        <v>97</v>
      </c>
      <c r="AH268" t="s">
        <v>1298</v>
      </c>
      <c r="AI268">
        <v>0</v>
      </c>
    </row>
    <row r="269" spans="5:35" x14ac:dyDescent="0.45">
      <c r="E269" t="s">
        <v>1003</v>
      </c>
      <c r="G269" t="s">
        <v>153</v>
      </c>
      <c r="I269" t="s">
        <v>236</v>
      </c>
      <c r="J269" t="s">
        <v>1299</v>
      </c>
      <c r="K269">
        <v>0</v>
      </c>
      <c r="L269" t="s">
        <v>238</v>
      </c>
      <c r="N269" t="s">
        <v>346</v>
      </c>
      <c r="O269" t="s">
        <v>1299</v>
      </c>
      <c r="P269">
        <v>7.7857031080621133E-5</v>
      </c>
      <c r="Q269" t="s">
        <v>238</v>
      </c>
      <c r="S269" t="s">
        <v>347</v>
      </c>
      <c r="T269" t="s">
        <v>1299</v>
      </c>
      <c r="U269">
        <v>1.1176284193660001E-4</v>
      </c>
      <c r="V269" t="s">
        <v>238</v>
      </c>
      <c r="X269">
        <v>1.1415525114155251E-4</v>
      </c>
      <c r="Y269">
        <v>1.6574265138519424E-5</v>
      </c>
      <c r="Z269" t="s">
        <v>1299</v>
      </c>
      <c r="AA269" t="s">
        <v>25</v>
      </c>
      <c r="AC269" t="s">
        <v>22</v>
      </c>
      <c r="AD269" t="s">
        <v>1299</v>
      </c>
      <c r="AE269">
        <v>8.2691954357534431E-5</v>
      </c>
      <c r="AG269" t="s">
        <v>97</v>
      </c>
      <c r="AH269" t="s">
        <v>1299</v>
      </c>
      <c r="AI269">
        <v>0</v>
      </c>
    </row>
    <row r="270" spans="5:35" x14ac:dyDescent="0.45">
      <c r="E270" t="s">
        <v>1004</v>
      </c>
      <c r="G270" t="s">
        <v>153</v>
      </c>
      <c r="I270" t="s">
        <v>236</v>
      </c>
      <c r="J270" t="s">
        <v>1300</v>
      </c>
      <c r="K270">
        <v>0</v>
      </c>
      <c r="L270" t="s">
        <v>238</v>
      </c>
      <c r="N270" t="s">
        <v>346</v>
      </c>
      <c r="O270" t="s">
        <v>1300</v>
      </c>
      <c r="P270">
        <v>7.0211400269788583E-5</v>
      </c>
      <c r="Q270" t="s">
        <v>238</v>
      </c>
      <c r="S270" t="s">
        <v>347</v>
      </c>
      <c r="T270" t="s">
        <v>1300</v>
      </c>
      <c r="U270">
        <v>9.9151568061283722E-5</v>
      </c>
      <c r="V270" t="s">
        <v>238</v>
      </c>
      <c r="X270">
        <v>1.1415525114155251E-4</v>
      </c>
      <c r="Y270">
        <v>1.4585353321897093E-5</v>
      </c>
      <c r="Z270" t="s">
        <v>1300</v>
      </c>
      <c r="AA270" t="s">
        <v>25</v>
      </c>
      <c r="AC270" t="s">
        <v>22</v>
      </c>
      <c r="AD270" t="s">
        <v>1300</v>
      </c>
      <c r="AE270">
        <v>8.3055970511762328E-5</v>
      </c>
      <c r="AG270" t="s">
        <v>97</v>
      </c>
      <c r="AH270" t="s">
        <v>1300</v>
      </c>
      <c r="AI270">
        <v>0</v>
      </c>
    </row>
    <row r="271" spans="5:35" x14ac:dyDescent="0.45">
      <c r="E271" t="s">
        <v>1005</v>
      </c>
      <c r="G271" t="s">
        <v>153</v>
      </c>
      <c r="I271" t="s">
        <v>236</v>
      </c>
      <c r="J271" t="s">
        <v>1301</v>
      </c>
      <c r="K271">
        <v>0</v>
      </c>
      <c r="L271" t="s">
        <v>238</v>
      </c>
      <c r="N271" t="s">
        <v>346</v>
      </c>
      <c r="O271" t="s">
        <v>1301</v>
      </c>
      <c r="P271">
        <v>6.0157215240770811E-5</v>
      </c>
      <c r="Q271" t="s">
        <v>238</v>
      </c>
      <c r="S271" t="s">
        <v>347</v>
      </c>
      <c r="T271" t="s">
        <v>1301</v>
      </c>
      <c r="U271">
        <v>8.2322044768066928E-5</v>
      </c>
      <c r="V271" t="s">
        <v>238</v>
      </c>
      <c r="X271">
        <v>1.1415525114155251E-4</v>
      </c>
      <c r="Y271">
        <v>2.1215059377304864E-5</v>
      </c>
      <c r="Z271" t="s">
        <v>1301</v>
      </c>
      <c r="AA271" t="s">
        <v>25</v>
      </c>
      <c r="AC271" t="s">
        <v>22</v>
      </c>
      <c r="AD271" t="s">
        <v>1301</v>
      </c>
      <c r="AE271">
        <v>9.0319095982734673E-5</v>
      </c>
      <c r="AG271" t="s">
        <v>97</v>
      </c>
      <c r="AH271" t="s">
        <v>1301</v>
      </c>
      <c r="AI271">
        <v>0</v>
      </c>
    </row>
    <row r="272" spans="5:35" x14ac:dyDescent="0.45">
      <c r="E272" t="s">
        <v>1006</v>
      </c>
      <c r="G272" t="s">
        <v>153</v>
      </c>
      <c r="I272" t="s">
        <v>236</v>
      </c>
      <c r="J272" t="s">
        <v>1302</v>
      </c>
      <c r="K272">
        <v>0</v>
      </c>
      <c r="L272" t="s">
        <v>238</v>
      </c>
      <c r="N272" t="s">
        <v>346</v>
      </c>
      <c r="O272" t="s">
        <v>1302</v>
      </c>
      <c r="P272">
        <v>5.3603146510798531E-5</v>
      </c>
      <c r="Q272" t="s">
        <v>238</v>
      </c>
      <c r="S272" t="s">
        <v>347</v>
      </c>
      <c r="T272" t="s">
        <v>1302</v>
      </c>
      <c r="U272">
        <v>6.5391832885522443E-5</v>
      </c>
      <c r="V272" t="s">
        <v>238</v>
      </c>
      <c r="X272">
        <v>1.1415525114155251E-4</v>
      </c>
      <c r="Y272">
        <v>5.7678442682047593E-5</v>
      </c>
      <c r="Z272" t="s">
        <v>1302</v>
      </c>
      <c r="AA272" t="s">
        <v>25</v>
      </c>
      <c r="AC272" t="s">
        <v>22</v>
      </c>
      <c r="AD272" t="s">
        <v>1302</v>
      </c>
      <c r="AE272">
        <v>1.208047323320883E-4</v>
      </c>
      <c r="AG272" t="s">
        <v>97</v>
      </c>
      <c r="AH272" t="s">
        <v>1302</v>
      </c>
      <c r="AI272">
        <v>0</v>
      </c>
    </row>
    <row r="273" spans="5:35" x14ac:dyDescent="0.45">
      <c r="E273" t="s">
        <v>1007</v>
      </c>
      <c r="G273" t="s">
        <v>153</v>
      </c>
      <c r="I273" t="s">
        <v>236</v>
      </c>
      <c r="J273" t="s">
        <v>1303</v>
      </c>
      <c r="K273">
        <v>0</v>
      </c>
      <c r="L273" t="s">
        <v>238</v>
      </c>
      <c r="N273" t="s">
        <v>346</v>
      </c>
      <c r="O273" t="s">
        <v>1303</v>
      </c>
      <c r="P273">
        <v>5.0105528283675779E-5</v>
      </c>
      <c r="Q273" t="s">
        <v>238</v>
      </c>
      <c r="S273" t="s">
        <v>347</v>
      </c>
      <c r="T273" t="s">
        <v>1303</v>
      </c>
      <c r="U273">
        <v>5.1595455482836821E-5</v>
      </c>
      <c r="V273" t="s">
        <v>238</v>
      </c>
      <c r="X273">
        <v>1.1415525114155251E-4</v>
      </c>
      <c r="Y273">
        <v>1.6905750441289813E-4</v>
      </c>
      <c r="Z273" t="s">
        <v>1303</v>
      </c>
      <c r="AA273" t="s">
        <v>25</v>
      </c>
      <c r="AC273" t="s">
        <v>22</v>
      </c>
      <c r="AD273" t="s">
        <v>1303</v>
      </c>
      <c r="AE273">
        <v>1.4220716243933007E-4</v>
      </c>
      <c r="AG273" t="s">
        <v>97</v>
      </c>
      <c r="AH273" t="s">
        <v>1303</v>
      </c>
      <c r="AI273">
        <v>0</v>
      </c>
    </row>
    <row r="274" spans="5:35" x14ac:dyDescent="0.45">
      <c r="E274" t="s">
        <v>1008</v>
      </c>
      <c r="G274" t="s">
        <v>153</v>
      </c>
      <c r="I274" t="s">
        <v>236</v>
      </c>
      <c r="J274" t="s">
        <v>1304</v>
      </c>
      <c r="K274">
        <v>0</v>
      </c>
      <c r="L274" t="s">
        <v>238</v>
      </c>
      <c r="N274" t="s">
        <v>346</v>
      </c>
      <c r="O274" t="s">
        <v>1304</v>
      </c>
      <c r="P274">
        <v>4.6708808723328506E-5</v>
      </c>
      <c r="Q274" t="s">
        <v>238</v>
      </c>
      <c r="S274" t="s">
        <v>347</v>
      </c>
      <c r="T274" t="s">
        <v>1304</v>
      </c>
      <c r="U274">
        <v>4.3160053479630114E-5</v>
      </c>
      <c r="V274" t="s">
        <v>238</v>
      </c>
      <c r="X274">
        <v>1.1415525114155251E-4</v>
      </c>
      <c r="Y274">
        <v>1.9060404909297337E-4</v>
      </c>
      <c r="Z274" t="s">
        <v>1304</v>
      </c>
      <c r="AA274" t="s">
        <v>25</v>
      </c>
      <c r="AC274" t="s">
        <v>22</v>
      </c>
      <c r="AD274" t="s">
        <v>1304</v>
      </c>
      <c r="AE274">
        <v>1.4677886138416075E-4</v>
      </c>
      <c r="AG274" t="s">
        <v>97</v>
      </c>
      <c r="AH274" t="s">
        <v>1304</v>
      </c>
      <c r="AI274">
        <v>0</v>
      </c>
    </row>
    <row r="275" spans="5:35" x14ac:dyDescent="0.45">
      <c r="E275" t="s">
        <v>1009</v>
      </c>
      <c r="G275" t="s">
        <v>153</v>
      </c>
      <c r="I275" t="s">
        <v>236</v>
      </c>
      <c r="J275" t="s">
        <v>1305</v>
      </c>
      <c r="K275">
        <v>2.307537648163357E-5</v>
      </c>
      <c r="L275" t="s">
        <v>238</v>
      </c>
      <c r="N275" t="s">
        <v>346</v>
      </c>
      <c r="O275" t="s">
        <v>1305</v>
      </c>
      <c r="P275">
        <v>4.3639427945222201E-5</v>
      </c>
      <c r="Q275" t="s">
        <v>238</v>
      </c>
      <c r="S275" t="s">
        <v>347</v>
      </c>
      <c r="T275" t="s">
        <v>1305</v>
      </c>
      <c r="U275">
        <v>3.9752603021341372E-5</v>
      </c>
      <c r="V275" t="s">
        <v>238</v>
      </c>
      <c r="X275">
        <v>1.1415525114155251E-4</v>
      </c>
      <c r="Y275">
        <v>1.4585353321897094E-4</v>
      </c>
      <c r="Z275" t="s">
        <v>1305</v>
      </c>
      <c r="AA275" t="s">
        <v>25</v>
      </c>
      <c r="AC275" t="s">
        <v>22</v>
      </c>
      <c r="AD275" t="s">
        <v>1305</v>
      </c>
      <c r="AE275">
        <v>1.5328529185736802E-4</v>
      </c>
      <c r="AG275" t="s">
        <v>97</v>
      </c>
      <c r="AH275" t="s">
        <v>1305</v>
      </c>
      <c r="AI275">
        <v>0</v>
      </c>
    </row>
    <row r="276" spans="5:35" x14ac:dyDescent="0.45">
      <c r="E276" t="s">
        <v>1010</v>
      </c>
      <c r="G276" t="s">
        <v>153</v>
      </c>
      <c r="I276" t="s">
        <v>236</v>
      </c>
      <c r="J276" t="s">
        <v>1306</v>
      </c>
      <c r="K276">
        <v>9.7034973017806958E-5</v>
      </c>
      <c r="L276" t="s">
        <v>238</v>
      </c>
      <c r="N276" t="s">
        <v>346</v>
      </c>
      <c r="O276" t="s">
        <v>1306</v>
      </c>
      <c r="P276">
        <v>3.7390450243989728E-5</v>
      </c>
      <c r="Q276" t="s">
        <v>238</v>
      </c>
      <c r="S276" t="s">
        <v>347</v>
      </c>
      <c r="T276" t="s">
        <v>1306</v>
      </c>
      <c r="U276">
        <v>3.73569575254029E-5</v>
      </c>
      <c r="V276" t="s">
        <v>238</v>
      </c>
      <c r="X276">
        <v>1.1415525114155251E-4</v>
      </c>
      <c r="Y276">
        <v>1.4452759200788939E-4</v>
      </c>
      <c r="Z276" t="s">
        <v>1306</v>
      </c>
      <c r="AA276" t="s">
        <v>25</v>
      </c>
      <c r="AC276" t="s">
        <v>22</v>
      </c>
      <c r="AD276" t="s">
        <v>1306</v>
      </c>
      <c r="AE276">
        <v>1.5692545339964699E-4</v>
      </c>
      <c r="AG276" t="s">
        <v>97</v>
      </c>
      <c r="AH276" t="s">
        <v>1306</v>
      </c>
      <c r="AI276">
        <v>0</v>
      </c>
    </row>
    <row r="277" spans="5:35" x14ac:dyDescent="0.45">
      <c r="E277" t="s">
        <v>1011</v>
      </c>
      <c r="G277" t="s">
        <v>153</v>
      </c>
      <c r="I277" t="s">
        <v>236</v>
      </c>
      <c r="J277" t="s">
        <v>1307</v>
      </c>
      <c r="K277">
        <v>1.1908646755789999E-4</v>
      </c>
      <c r="L277" t="s">
        <v>238</v>
      </c>
      <c r="N277" t="s">
        <v>346</v>
      </c>
      <c r="O277" t="s">
        <v>1307</v>
      </c>
      <c r="P277">
        <v>2.6394789448917328E-5</v>
      </c>
      <c r="Q277" t="s">
        <v>238</v>
      </c>
      <c r="S277" t="s">
        <v>347</v>
      </c>
      <c r="T277" t="s">
        <v>1307</v>
      </c>
      <c r="U277">
        <v>2.8105888861407302E-5</v>
      </c>
      <c r="V277" t="s">
        <v>238</v>
      </c>
      <c r="X277">
        <v>1.1415525114155251E-4</v>
      </c>
      <c r="Y277">
        <v>1.408812536774151E-4</v>
      </c>
      <c r="Z277" t="s">
        <v>1307</v>
      </c>
      <c r="AA277" t="s">
        <v>25</v>
      </c>
      <c r="AC277" t="s">
        <v>22</v>
      </c>
      <c r="AD277" t="s">
        <v>1307</v>
      </c>
      <c r="AE277">
        <v>1.5437447405112077E-4</v>
      </c>
      <c r="AG277" t="s">
        <v>97</v>
      </c>
      <c r="AH277" t="s">
        <v>1307</v>
      </c>
      <c r="AI277">
        <v>0</v>
      </c>
    </row>
    <row r="278" spans="5:35" x14ac:dyDescent="0.45">
      <c r="E278" t="s">
        <v>1012</v>
      </c>
      <c r="G278" t="s">
        <v>153</v>
      </c>
      <c r="I278" t="s">
        <v>236</v>
      </c>
      <c r="J278" t="s">
        <v>1308</v>
      </c>
      <c r="K278">
        <v>1.167533743804E-4</v>
      </c>
      <c r="L278" t="s">
        <v>238</v>
      </c>
      <c r="N278" t="s">
        <v>346</v>
      </c>
      <c r="O278" t="s">
        <v>1308</v>
      </c>
      <c r="P278">
        <v>2.2885727807945667E-5</v>
      </c>
      <c r="Q278" t="s">
        <v>238</v>
      </c>
      <c r="S278" t="s">
        <v>347</v>
      </c>
      <c r="T278" t="s">
        <v>1308</v>
      </c>
      <c r="U278">
        <v>2.411474452335011E-5</v>
      </c>
      <c r="V278" t="s">
        <v>238</v>
      </c>
      <c r="X278">
        <v>1.1415525114155251E-4</v>
      </c>
      <c r="Y278">
        <v>1.4054976837464471E-4</v>
      </c>
      <c r="Z278" t="s">
        <v>1308</v>
      </c>
      <c r="AA278" t="s">
        <v>25</v>
      </c>
      <c r="AC278" t="s">
        <v>22</v>
      </c>
      <c r="AD278" t="s">
        <v>1308</v>
      </c>
      <c r="AE278">
        <v>1.5138208928723162E-4</v>
      </c>
      <c r="AG278" t="s">
        <v>97</v>
      </c>
      <c r="AH278" t="s">
        <v>1308</v>
      </c>
      <c r="AI278">
        <v>0</v>
      </c>
    </row>
    <row r="279" spans="5:35" x14ac:dyDescent="0.45">
      <c r="E279" t="s">
        <v>1013</v>
      </c>
      <c r="G279" t="s">
        <v>153</v>
      </c>
      <c r="I279" t="s">
        <v>236</v>
      </c>
      <c r="J279" t="s">
        <v>1309</v>
      </c>
      <c r="K279">
        <v>1.07028453334E-4</v>
      </c>
      <c r="L279" t="s">
        <v>238</v>
      </c>
      <c r="N279" t="s">
        <v>346</v>
      </c>
      <c r="O279" t="s">
        <v>1309</v>
      </c>
      <c r="P279">
        <v>2.33143012053801E-5</v>
      </c>
      <c r="Q279" t="s">
        <v>238</v>
      </c>
      <c r="S279" t="s">
        <v>347</v>
      </c>
      <c r="T279" t="s">
        <v>1309</v>
      </c>
      <c r="U279">
        <v>2.1352179904385451E-5</v>
      </c>
      <c r="V279" t="s">
        <v>238</v>
      </c>
      <c r="X279">
        <v>1.1415525114155251E-4</v>
      </c>
      <c r="Y279">
        <v>1.4253868019126702E-4</v>
      </c>
      <c r="Z279" t="s">
        <v>1309</v>
      </c>
      <c r="AA279" t="s">
        <v>25</v>
      </c>
      <c r="AC279" t="s">
        <v>22</v>
      </c>
      <c r="AD279" t="s">
        <v>1309</v>
      </c>
      <c r="AE279">
        <v>1.5078877161852947E-4</v>
      </c>
      <c r="AG279" t="s">
        <v>97</v>
      </c>
      <c r="AH279" t="s">
        <v>1309</v>
      </c>
      <c r="AI279">
        <v>0</v>
      </c>
    </row>
    <row r="280" spans="5:35" x14ac:dyDescent="0.45">
      <c r="E280" t="s">
        <v>1014</v>
      </c>
      <c r="G280" t="s">
        <v>153</v>
      </c>
      <c r="I280" t="s">
        <v>236</v>
      </c>
      <c r="J280" t="s">
        <v>1310</v>
      </c>
      <c r="K280">
        <v>9.2067062745539245E-5</v>
      </c>
      <c r="L280" t="s">
        <v>238</v>
      </c>
      <c r="N280" t="s">
        <v>346</v>
      </c>
      <c r="O280" t="s">
        <v>1310</v>
      </c>
      <c r="P280">
        <v>2.77506775118522E-5</v>
      </c>
      <c r="Q280" t="s">
        <v>238</v>
      </c>
      <c r="S280" t="s">
        <v>347</v>
      </c>
      <c r="T280" t="s">
        <v>1310</v>
      </c>
      <c r="U280">
        <v>2.2195929517815748E-5</v>
      </c>
      <c r="V280" t="s">
        <v>238</v>
      </c>
      <c r="X280">
        <v>1.1415525114155251E-4</v>
      </c>
      <c r="Y280">
        <v>1.4883690094390442E-4</v>
      </c>
      <c r="Z280" t="s">
        <v>1310</v>
      </c>
      <c r="AA280" t="s">
        <v>25</v>
      </c>
      <c r="AC280" t="s">
        <v>22</v>
      </c>
      <c r="AD280" t="s">
        <v>1310</v>
      </c>
      <c r="AE280">
        <v>1.5078877161852947E-4</v>
      </c>
      <c r="AG280" t="s">
        <v>97</v>
      </c>
      <c r="AH280" t="s">
        <v>1310</v>
      </c>
      <c r="AI280">
        <v>0</v>
      </c>
    </row>
    <row r="281" spans="5:35" x14ac:dyDescent="0.45">
      <c r="E281" t="s">
        <v>1015</v>
      </c>
      <c r="G281" t="s">
        <v>153</v>
      </c>
      <c r="I281" t="s">
        <v>236</v>
      </c>
      <c r="J281" t="s">
        <v>1311</v>
      </c>
      <c r="K281">
        <v>7.3770308553724299E-5</v>
      </c>
      <c r="L281" t="s">
        <v>238</v>
      </c>
      <c r="N281" t="s">
        <v>346</v>
      </c>
      <c r="O281" t="s">
        <v>1311</v>
      </c>
      <c r="P281">
        <v>3.3036551645917125E-5</v>
      </c>
      <c r="Q281" t="s">
        <v>238</v>
      </c>
      <c r="S281" t="s">
        <v>347</v>
      </c>
      <c r="T281" t="s">
        <v>1311</v>
      </c>
      <c r="U281">
        <v>2.6106063261932131E-5</v>
      </c>
      <c r="V281" t="s">
        <v>238</v>
      </c>
      <c r="X281">
        <v>1.1415525114155251E-4</v>
      </c>
      <c r="Y281">
        <v>1.5049432745775637E-4</v>
      </c>
      <c r="Z281" t="s">
        <v>1311</v>
      </c>
      <c r="AA281" t="s">
        <v>25</v>
      </c>
      <c r="AC281" t="s">
        <v>22</v>
      </c>
      <c r="AD281" t="s">
        <v>1311</v>
      </c>
      <c r="AE281">
        <v>1.5078877161852947E-4</v>
      </c>
      <c r="AG281" t="s">
        <v>97</v>
      </c>
      <c r="AH281" t="s">
        <v>1311</v>
      </c>
      <c r="AI281">
        <v>0</v>
      </c>
    </row>
    <row r="282" spans="5:35" x14ac:dyDescent="0.45">
      <c r="E282" t="s">
        <v>1016</v>
      </c>
      <c r="G282" t="s">
        <v>153</v>
      </c>
      <c r="I282" t="s">
        <v>236</v>
      </c>
      <c r="J282" t="s">
        <v>1312</v>
      </c>
      <c r="K282">
        <v>4.1156089365569283E-5</v>
      </c>
      <c r="L282" t="s">
        <v>238</v>
      </c>
      <c r="N282" t="s">
        <v>346</v>
      </c>
      <c r="O282" t="s">
        <v>1312</v>
      </c>
      <c r="P282">
        <v>4.4586165871760408E-5</v>
      </c>
      <c r="Q282" t="s">
        <v>238</v>
      </c>
      <c r="S282" t="s">
        <v>347</v>
      </c>
      <c r="T282" t="s">
        <v>1312</v>
      </c>
      <c r="U282">
        <v>3.36701317534725E-5</v>
      </c>
      <c r="V282" t="s">
        <v>238</v>
      </c>
      <c r="X282">
        <v>1.1415525114155251E-4</v>
      </c>
      <c r="Y282">
        <v>1.7237235744060203E-4</v>
      </c>
      <c r="Z282" t="s">
        <v>1312</v>
      </c>
      <c r="AA282" t="s">
        <v>25</v>
      </c>
      <c r="AC282" t="s">
        <v>22</v>
      </c>
      <c r="AD282" t="s">
        <v>1312</v>
      </c>
      <c r="AE282">
        <v>1.5222190608399363E-4</v>
      </c>
      <c r="AG282" t="s">
        <v>97</v>
      </c>
      <c r="AH282" t="s">
        <v>1312</v>
      </c>
      <c r="AI282">
        <v>0</v>
      </c>
    </row>
    <row r="283" spans="5:35" x14ac:dyDescent="0.45">
      <c r="E283" t="s">
        <v>1017</v>
      </c>
      <c r="G283" t="s">
        <v>153</v>
      </c>
      <c r="I283" t="s">
        <v>236</v>
      </c>
      <c r="J283" t="s">
        <v>1313</v>
      </c>
      <c r="K283">
        <v>1.0641576113631736E-5</v>
      </c>
      <c r="L283" t="s">
        <v>238</v>
      </c>
      <c r="N283" t="s">
        <v>346</v>
      </c>
      <c r="O283" t="s">
        <v>1313</v>
      </c>
      <c r="P283">
        <v>5.3260523641172437E-5</v>
      </c>
      <c r="Q283" t="s">
        <v>238</v>
      </c>
      <c r="S283" t="s">
        <v>347</v>
      </c>
      <c r="T283" t="s">
        <v>1313</v>
      </c>
      <c r="U283">
        <v>4.7603337271248125E-5</v>
      </c>
      <c r="V283" t="s">
        <v>238</v>
      </c>
      <c r="X283">
        <v>1.1415525114155251E-4</v>
      </c>
      <c r="Y283">
        <v>2.2209515285616027E-4</v>
      </c>
      <c r="Z283" t="s">
        <v>1313</v>
      </c>
      <c r="AA283" t="s">
        <v>25</v>
      </c>
      <c r="AC283" t="s">
        <v>22</v>
      </c>
      <c r="AD283" t="s">
        <v>1313</v>
      </c>
      <c r="AE283">
        <v>1.5570728910400245E-4</v>
      </c>
      <c r="AG283" t="s">
        <v>97</v>
      </c>
      <c r="AH283" t="s">
        <v>1313</v>
      </c>
      <c r="AI283">
        <v>0</v>
      </c>
    </row>
    <row r="284" spans="5:35" x14ac:dyDescent="0.45">
      <c r="E284" t="s">
        <v>1018</v>
      </c>
      <c r="G284" t="s">
        <v>153</v>
      </c>
      <c r="I284" t="s">
        <v>236</v>
      </c>
      <c r="J284" t="s">
        <v>1314</v>
      </c>
      <c r="K284">
        <v>0</v>
      </c>
      <c r="L284" t="s">
        <v>238</v>
      </c>
      <c r="N284" t="s">
        <v>346</v>
      </c>
      <c r="O284" t="s">
        <v>1314</v>
      </c>
      <c r="P284">
        <v>5.6976917759348239E-5</v>
      </c>
      <c r="Q284" t="s">
        <v>238</v>
      </c>
      <c r="S284" t="s">
        <v>347</v>
      </c>
      <c r="T284" t="s">
        <v>1314</v>
      </c>
      <c r="U284">
        <v>6.245746806503633E-5</v>
      </c>
      <c r="V284" t="s">
        <v>238</v>
      </c>
      <c r="X284">
        <v>1.1415525114155251E-4</v>
      </c>
      <c r="Y284">
        <v>2.2209515285616027E-4</v>
      </c>
      <c r="Z284" t="s">
        <v>1314</v>
      </c>
      <c r="AA284" t="s">
        <v>25</v>
      </c>
      <c r="AC284" t="s">
        <v>22</v>
      </c>
      <c r="AD284" t="s">
        <v>1314</v>
      </c>
      <c r="AE284">
        <v>1.5570728910400245E-4</v>
      </c>
      <c r="AG284" t="s">
        <v>97</v>
      </c>
      <c r="AH284" t="s">
        <v>1314</v>
      </c>
      <c r="AI284">
        <v>0</v>
      </c>
    </row>
    <row r="285" spans="5:35" x14ac:dyDescent="0.45">
      <c r="E285" t="s">
        <v>1019</v>
      </c>
      <c r="G285" t="s">
        <v>153</v>
      </c>
      <c r="I285" t="s">
        <v>236</v>
      </c>
      <c r="J285" t="s">
        <v>1315</v>
      </c>
      <c r="K285">
        <v>0</v>
      </c>
      <c r="L285" t="s">
        <v>238</v>
      </c>
      <c r="N285" t="s">
        <v>346</v>
      </c>
      <c r="O285" t="s">
        <v>1315</v>
      </c>
      <c r="P285">
        <v>5.8365775875471598E-5</v>
      </c>
      <c r="Q285" t="s">
        <v>238</v>
      </c>
      <c r="S285" t="s">
        <v>347</v>
      </c>
      <c r="T285" t="s">
        <v>1315</v>
      </c>
      <c r="U285">
        <v>7.3015037004674679E-5</v>
      </c>
      <c r="V285" t="s">
        <v>238</v>
      </c>
      <c r="X285">
        <v>1.1415525114155251E-4</v>
      </c>
      <c r="Y285">
        <v>1.7237235744060203E-4</v>
      </c>
      <c r="Z285" t="s">
        <v>1315</v>
      </c>
      <c r="AA285" t="s">
        <v>25</v>
      </c>
      <c r="AC285" t="s">
        <v>22</v>
      </c>
      <c r="AD285" t="s">
        <v>1315</v>
      </c>
      <c r="AE285">
        <v>1.5550665027883748E-4</v>
      </c>
      <c r="AG285" t="s">
        <v>97</v>
      </c>
      <c r="AH285" t="s">
        <v>1315</v>
      </c>
      <c r="AI285">
        <v>0</v>
      </c>
    </row>
    <row r="286" spans="5:35" x14ac:dyDescent="0.45">
      <c r="E286" t="s">
        <v>1020</v>
      </c>
      <c r="G286" t="s">
        <v>153</v>
      </c>
      <c r="I286" t="s">
        <v>236</v>
      </c>
      <c r="J286" t="s">
        <v>1316</v>
      </c>
      <c r="K286">
        <v>0</v>
      </c>
      <c r="L286" t="s">
        <v>238</v>
      </c>
      <c r="N286" t="s">
        <v>346</v>
      </c>
      <c r="O286" t="s">
        <v>1316</v>
      </c>
      <c r="P286">
        <v>5.7220119819644188E-5</v>
      </c>
      <c r="Q286" t="s">
        <v>238</v>
      </c>
      <c r="S286" t="s">
        <v>347</v>
      </c>
      <c r="T286" t="s">
        <v>1316</v>
      </c>
      <c r="U286">
        <v>8.2412631134928468E-5</v>
      </c>
      <c r="V286" t="s">
        <v>238</v>
      </c>
      <c r="X286">
        <v>1.1415525114155251E-4</v>
      </c>
      <c r="Y286">
        <v>1.5579809230208258E-4</v>
      </c>
      <c r="Z286" t="s">
        <v>1316</v>
      </c>
      <c r="AA286" t="s">
        <v>25</v>
      </c>
      <c r="AC286" t="s">
        <v>22</v>
      </c>
      <c r="AD286" t="s">
        <v>1316</v>
      </c>
      <c r="AE286">
        <v>1.5039895904392321E-4</v>
      </c>
      <c r="AG286" t="s">
        <v>97</v>
      </c>
      <c r="AH286" t="s">
        <v>1316</v>
      </c>
      <c r="AI286">
        <v>0</v>
      </c>
    </row>
    <row r="287" spans="5:35" x14ac:dyDescent="0.45">
      <c r="E287" t="s">
        <v>1021</v>
      </c>
      <c r="G287" t="s">
        <v>153</v>
      </c>
      <c r="I287" t="s">
        <v>236</v>
      </c>
      <c r="J287" t="s">
        <v>1317</v>
      </c>
      <c r="K287">
        <v>0</v>
      </c>
      <c r="L287" t="s">
        <v>238</v>
      </c>
      <c r="N287" t="s">
        <v>346</v>
      </c>
      <c r="O287" t="s">
        <v>1317</v>
      </c>
      <c r="P287">
        <v>5.6707162924713703E-5</v>
      </c>
      <c r="Q287" t="s">
        <v>238</v>
      </c>
      <c r="S287" t="s">
        <v>347</v>
      </c>
      <c r="T287" t="s">
        <v>1317</v>
      </c>
      <c r="U287">
        <v>8.848995727097882E-5</v>
      </c>
      <c r="V287" t="s">
        <v>238</v>
      </c>
      <c r="X287">
        <v>1.1415525114155251E-4</v>
      </c>
      <c r="Y287">
        <v>1.093901499142282E-4</v>
      </c>
      <c r="Z287" t="s">
        <v>1317</v>
      </c>
      <c r="AA287" t="s">
        <v>25</v>
      </c>
      <c r="AC287" t="s">
        <v>22</v>
      </c>
      <c r="AD287" t="s">
        <v>1317</v>
      </c>
      <c r="AE287">
        <v>1.393666899287801E-4</v>
      </c>
      <c r="AG287" t="s">
        <v>97</v>
      </c>
      <c r="AH287" t="s">
        <v>1317</v>
      </c>
      <c r="AI287">
        <v>0</v>
      </c>
    </row>
    <row r="288" spans="5:35" x14ac:dyDescent="0.45">
      <c r="E288" t="s">
        <v>1022</v>
      </c>
      <c r="G288" t="s">
        <v>153</v>
      </c>
      <c r="I288" t="s">
        <v>236</v>
      </c>
      <c r="J288" t="s">
        <v>1318</v>
      </c>
      <c r="K288">
        <v>0</v>
      </c>
      <c r="L288" t="s">
        <v>238</v>
      </c>
      <c r="N288" t="s">
        <v>346</v>
      </c>
      <c r="O288" t="s">
        <v>1318</v>
      </c>
      <c r="P288">
        <v>5.9162810995087472E-5</v>
      </c>
      <c r="Q288" t="s">
        <v>238</v>
      </c>
      <c r="S288" t="s">
        <v>347</v>
      </c>
      <c r="T288" t="s">
        <v>1318</v>
      </c>
      <c r="U288">
        <v>9.5660153236524478E-5</v>
      </c>
      <c r="V288" t="s">
        <v>238</v>
      </c>
      <c r="X288">
        <v>1.1415525114155251E-4</v>
      </c>
      <c r="Y288">
        <v>7.9556472664893237E-5</v>
      </c>
      <c r="Z288" t="s">
        <v>1318</v>
      </c>
      <c r="AA288" t="s">
        <v>25</v>
      </c>
      <c r="AC288" t="s">
        <v>22</v>
      </c>
      <c r="AD288" t="s">
        <v>1318</v>
      </c>
      <c r="AE288">
        <v>1.2654013646287588E-4</v>
      </c>
      <c r="AG288" t="s">
        <v>97</v>
      </c>
      <c r="AH288" t="s">
        <v>1318</v>
      </c>
      <c r="AI288">
        <v>0</v>
      </c>
    </row>
    <row r="289" spans="5:35" x14ac:dyDescent="0.45">
      <c r="E289" t="s">
        <v>1023</v>
      </c>
      <c r="G289" t="s">
        <v>153</v>
      </c>
      <c r="I289" t="s">
        <v>236</v>
      </c>
      <c r="J289" t="s">
        <v>1319</v>
      </c>
      <c r="K289">
        <v>0</v>
      </c>
      <c r="L289" t="s">
        <v>238</v>
      </c>
      <c r="N289" t="s">
        <v>346</v>
      </c>
      <c r="O289" t="s">
        <v>1319</v>
      </c>
      <c r="P289">
        <v>7.1680038252580457E-5</v>
      </c>
      <c r="Q289" t="s">
        <v>238</v>
      </c>
      <c r="S289" t="s">
        <v>347</v>
      </c>
      <c r="T289" t="s">
        <v>1319</v>
      </c>
      <c r="U289">
        <v>1.1915360413140001E-4</v>
      </c>
      <c r="V289" t="s">
        <v>238</v>
      </c>
      <c r="X289">
        <v>1.1415525114155251E-4</v>
      </c>
      <c r="Y289">
        <v>5.6352501470966035E-5</v>
      </c>
      <c r="Z289" t="s">
        <v>1319</v>
      </c>
      <c r="AA289" t="s">
        <v>25</v>
      </c>
      <c r="AC289" t="s">
        <v>22</v>
      </c>
      <c r="AD289" t="s">
        <v>1319</v>
      </c>
      <c r="AE289">
        <v>1.1498334013337289E-4</v>
      </c>
      <c r="AG289" t="s">
        <v>97</v>
      </c>
      <c r="AH289" t="s">
        <v>1319</v>
      </c>
      <c r="AI289">
        <v>0</v>
      </c>
    </row>
    <row r="290" spans="5:35" x14ac:dyDescent="0.45">
      <c r="E290" t="s">
        <v>1024</v>
      </c>
      <c r="G290" t="s">
        <v>153</v>
      </c>
      <c r="I290" t="s">
        <v>236</v>
      </c>
      <c r="J290" t="s">
        <v>1320</v>
      </c>
      <c r="K290">
        <v>0</v>
      </c>
      <c r="L290" t="s">
        <v>238</v>
      </c>
      <c r="N290" t="s">
        <v>346</v>
      </c>
      <c r="O290" t="s">
        <v>1320</v>
      </c>
      <c r="P290">
        <v>7.1719042800360826E-5</v>
      </c>
      <c r="Q290" t="s">
        <v>238</v>
      </c>
      <c r="S290" t="s">
        <v>347</v>
      </c>
      <c r="T290" t="s">
        <v>1320</v>
      </c>
      <c r="U290">
        <v>1.2992078133620001E-4</v>
      </c>
      <c r="V290" t="s">
        <v>238</v>
      </c>
      <c r="X290">
        <v>1.1415525114155251E-4</v>
      </c>
      <c r="Y290">
        <v>2.9833677249334962E-5</v>
      </c>
      <c r="Z290" t="s">
        <v>1320</v>
      </c>
      <c r="AA290" t="s">
        <v>25</v>
      </c>
      <c r="AC290" t="s">
        <v>22</v>
      </c>
      <c r="AD290" t="s">
        <v>1320</v>
      </c>
      <c r="AE290">
        <v>9.3718490934815681E-5</v>
      </c>
      <c r="AG290" t="s">
        <v>97</v>
      </c>
      <c r="AH290" t="s">
        <v>1320</v>
      </c>
      <c r="AI290">
        <v>0</v>
      </c>
    </row>
    <row r="291" spans="5:35" x14ac:dyDescent="0.45">
      <c r="E291" t="s">
        <v>1025</v>
      </c>
      <c r="G291" t="s">
        <v>153</v>
      </c>
      <c r="I291" t="s">
        <v>236</v>
      </c>
      <c r="J291" t="s">
        <v>1321</v>
      </c>
      <c r="K291">
        <v>0</v>
      </c>
      <c r="L291" t="s">
        <v>238</v>
      </c>
      <c r="N291" t="s">
        <v>346</v>
      </c>
      <c r="O291" t="s">
        <v>1321</v>
      </c>
      <c r="P291">
        <v>6.371773559941096E-5</v>
      </c>
      <c r="Q291" t="s">
        <v>238</v>
      </c>
      <c r="S291" t="s">
        <v>347</v>
      </c>
      <c r="T291" t="s">
        <v>1321</v>
      </c>
      <c r="U291">
        <v>1.329833542824E-4</v>
      </c>
      <c r="V291" t="s">
        <v>238</v>
      </c>
      <c r="X291">
        <v>1.1415525114155251E-4</v>
      </c>
      <c r="Y291">
        <v>2.1546544680075254E-5</v>
      </c>
      <c r="Z291" t="s">
        <v>1321</v>
      </c>
      <c r="AA291" t="s">
        <v>25</v>
      </c>
      <c r="AC291" t="s">
        <v>22</v>
      </c>
      <c r="AD291" t="s">
        <v>1321</v>
      </c>
      <c r="AE291">
        <v>8.6888172072413473E-5</v>
      </c>
      <c r="AG291" t="s">
        <v>97</v>
      </c>
      <c r="AH291" t="s">
        <v>1321</v>
      </c>
      <c r="AI291">
        <v>0</v>
      </c>
    </row>
    <row r="292" spans="5:35" x14ac:dyDescent="0.45">
      <c r="E292" t="s">
        <v>1026</v>
      </c>
      <c r="G292" t="s">
        <v>153</v>
      </c>
      <c r="I292" t="s">
        <v>236</v>
      </c>
      <c r="J292" t="s">
        <v>1322</v>
      </c>
      <c r="K292">
        <v>0</v>
      </c>
      <c r="L292" t="s">
        <v>238</v>
      </c>
      <c r="N292" t="s">
        <v>346</v>
      </c>
      <c r="O292" t="s">
        <v>1322</v>
      </c>
      <c r="P292">
        <v>5.7934272682415233E-5</v>
      </c>
      <c r="Q292" t="s">
        <v>238</v>
      </c>
      <c r="S292" t="s">
        <v>347</v>
      </c>
      <c r="T292" t="s">
        <v>1322</v>
      </c>
      <c r="U292">
        <v>1.2944934762119999E-4</v>
      </c>
      <c r="V292" t="s">
        <v>238</v>
      </c>
      <c r="X292">
        <v>1.1415525114155251E-4</v>
      </c>
      <c r="Y292">
        <v>1.4916838624667481E-5</v>
      </c>
      <c r="Z292" t="s">
        <v>1322</v>
      </c>
      <c r="AA292" t="s">
        <v>25</v>
      </c>
      <c r="AC292" t="s">
        <v>22</v>
      </c>
      <c r="AD292" t="s">
        <v>1322</v>
      </c>
      <c r="AE292">
        <v>8.3563300112536642E-5</v>
      </c>
      <c r="AG292" t="s">
        <v>97</v>
      </c>
      <c r="AH292" t="s">
        <v>1322</v>
      </c>
      <c r="AI292">
        <v>0</v>
      </c>
    </row>
    <row r="293" spans="5:35" x14ac:dyDescent="0.45">
      <c r="E293" t="s">
        <v>1027</v>
      </c>
      <c r="G293" t="s">
        <v>153</v>
      </c>
      <c r="I293" t="s">
        <v>236</v>
      </c>
      <c r="J293" t="s">
        <v>1323</v>
      </c>
      <c r="K293">
        <v>0</v>
      </c>
      <c r="L293" t="s">
        <v>238</v>
      </c>
      <c r="N293" t="s">
        <v>346</v>
      </c>
      <c r="O293" t="s">
        <v>1323</v>
      </c>
      <c r="P293">
        <v>6.1808212317624651E-5</v>
      </c>
      <c r="Q293" t="s">
        <v>238</v>
      </c>
      <c r="S293" t="s">
        <v>347</v>
      </c>
      <c r="T293" t="s">
        <v>1323</v>
      </c>
      <c r="U293">
        <v>1.3287262289889999E-4</v>
      </c>
      <c r="V293" t="s">
        <v>238</v>
      </c>
      <c r="X293">
        <v>1.1415525114155251E-4</v>
      </c>
      <c r="Y293">
        <v>1.6574265138519424E-5</v>
      </c>
      <c r="Z293" t="s">
        <v>1323</v>
      </c>
      <c r="AA293" t="s">
        <v>25</v>
      </c>
      <c r="AC293" t="s">
        <v>22</v>
      </c>
      <c r="AD293" t="s">
        <v>1323</v>
      </c>
      <c r="AE293">
        <v>8.3136226041828306E-5</v>
      </c>
      <c r="AG293" t="s">
        <v>97</v>
      </c>
      <c r="AH293" t="s">
        <v>1323</v>
      </c>
      <c r="AI293">
        <v>0</v>
      </c>
    </row>
    <row r="294" spans="5:35" x14ac:dyDescent="0.45">
      <c r="E294" t="s">
        <v>1028</v>
      </c>
      <c r="G294" t="s">
        <v>153</v>
      </c>
      <c r="I294" t="s">
        <v>236</v>
      </c>
      <c r="J294" t="s">
        <v>1324</v>
      </c>
      <c r="K294">
        <v>0</v>
      </c>
      <c r="L294" t="s">
        <v>238</v>
      </c>
      <c r="N294" t="s">
        <v>346</v>
      </c>
      <c r="O294" t="s">
        <v>1324</v>
      </c>
      <c r="P294">
        <v>6.8538531806513567E-5</v>
      </c>
      <c r="Q294" t="s">
        <v>238</v>
      </c>
      <c r="S294" t="s">
        <v>347</v>
      </c>
      <c r="T294" t="s">
        <v>1324</v>
      </c>
      <c r="U294">
        <v>1.4713391199539999E-4</v>
      </c>
      <c r="V294" t="s">
        <v>238</v>
      </c>
      <c r="X294">
        <v>1.1415525114155251E-4</v>
      </c>
      <c r="Y294">
        <v>1.4585353321897093E-5</v>
      </c>
      <c r="Z294" t="s">
        <v>1324</v>
      </c>
      <c r="AA294" t="s">
        <v>25</v>
      </c>
      <c r="AC294" t="s">
        <v>22</v>
      </c>
      <c r="AD294" t="s">
        <v>1324</v>
      </c>
      <c r="AE294">
        <v>8.3136226041828306E-5</v>
      </c>
      <c r="AG294" t="s">
        <v>97</v>
      </c>
      <c r="AH294" t="s">
        <v>1324</v>
      </c>
      <c r="AI294">
        <v>0</v>
      </c>
    </row>
    <row r="295" spans="5:35" x14ac:dyDescent="0.45">
      <c r="E295" t="s">
        <v>1029</v>
      </c>
      <c r="G295" t="s">
        <v>153</v>
      </c>
      <c r="I295" t="s">
        <v>236</v>
      </c>
      <c r="J295" t="s">
        <v>1325</v>
      </c>
      <c r="K295">
        <v>0</v>
      </c>
      <c r="L295" t="s">
        <v>238</v>
      </c>
      <c r="N295" t="s">
        <v>346</v>
      </c>
      <c r="O295" t="s">
        <v>1325</v>
      </c>
      <c r="P295">
        <v>7.9463448518703861E-5</v>
      </c>
      <c r="Q295" t="s">
        <v>238</v>
      </c>
      <c r="S295" t="s">
        <v>347</v>
      </c>
      <c r="T295" t="s">
        <v>1325</v>
      </c>
      <c r="U295">
        <v>1.5619407362710001E-4</v>
      </c>
      <c r="V295" t="s">
        <v>238</v>
      </c>
      <c r="X295">
        <v>1.1415525114155251E-4</v>
      </c>
      <c r="Y295">
        <v>2.1215059377304864E-5</v>
      </c>
      <c r="Z295" t="s">
        <v>1325</v>
      </c>
      <c r="AA295" t="s">
        <v>25</v>
      </c>
      <c r="AC295" t="s">
        <v>22</v>
      </c>
      <c r="AD295" t="s">
        <v>1325</v>
      </c>
      <c r="AE295">
        <v>9.0227375376944984E-5</v>
      </c>
      <c r="AG295" t="s">
        <v>97</v>
      </c>
      <c r="AH295" t="s">
        <v>1325</v>
      </c>
      <c r="AI295">
        <v>0</v>
      </c>
    </row>
    <row r="296" spans="5:35" x14ac:dyDescent="0.45">
      <c r="E296" t="s">
        <v>1030</v>
      </c>
      <c r="G296" t="s">
        <v>153</v>
      </c>
      <c r="I296" t="s">
        <v>236</v>
      </c>
      <c r="J296" t="s">
        <v>1326</v>
      </c>
      <c r="K296">
        <v>0</v>
      </c>
      <c r="L296" t="s">
        <v>238</v>
      </c>
      <c r="N296" t="s">
        <v>346</v>
      </c>
      <c r="O296" t="s">
        <v>1326</v>
      </c>
      <c r="P296">
        <v>9.2198010996400405E-5</v>
      </c>
      <c r="Q296" t="s">
        <v>238</v>
      </c>
      <c r="S296" t="s">
        <v>347</v>
      </c>
      <c r="T296" t="s">
        <v>1326</v>
      </c>
      <c r="U296">
        <v>1.6233863366220001E-4</v>
      </c>
      <c r="V296" t="s">
        <v>238</v>
      </c>
      <c r="X296">
        <v>1.1415525114155251E-4</v>
      </c>
      <c r="Y296">
        <v>5.7678442682047593E-5</v>
      </c>
      <c r="Z296" t="s">
        <v>1326</v>
      </c>
      <c r="AA296" t="s">
        <v>25</v>
      </c>
      <c r="AC296" t="s">
        <v>22</v>
      </c>
      <c r="AD296" t="s">
        <v>1326</v>
      </c>
      <c r="AE296">
        <v>1.2007096748577064E-4</v>
      </c>
      <c r="AG296" t="s">
        <v>97</v>
      </c>
      <c r="AH296" t="s">
        <v>1326</v>
      </c>
      <c r="AI296">
        <v>0</v>
      </c>
    </row>
    <row r="297" spans="5:35" x14ac:dyDescent="0.45">
      <c r="E297" t="s">
        <v>1031</v>
      </c>
      <c r="G297" t="s">
        <v>153</v>
      </c>
      <c r="I297" t="s">
        <v>236</v>
      </c>
      <c r="J297" t="s">
        <v>1327</v>
      </c>
      <c r="K297">
        <v>0</v>
      </c>
      <c r="L297" t="s">
        <v>238</v>
      </c>
      <c r="N297" t="s">
        <v>346</v>
      </c>
      <c r="O297" t="s">
        <v>1327</v>
      </c>
      <c r="P297">
        <v>9.6583478761966818E-5</v>
      </c>
      <c r="Q297" t="s">
        <v>238</v>
      </c>
      <c r="S297" t="s">
        <v>347</v>
      </c>
      <c r="T297" t="s">
        <v>1327</v>
      </c>
      <c r="U297">
        <v>1.6375860301779999E-4</v>
      </c>
      <c r="V297" t="s">
        <v>238</v>
      </c>
      <c r="X297">
        <v>1.1415525114155251E-4</v>
      </c>
      <c r="Y297">
        <v>1.6905750441289813E-4</v>
      </c>
      <c r="Z297" t="s">
        <v>1327</v>
      </c>
      <c r="AA297" t="s">
        <v>25</v>
      </c>
      <c r="AC297" t="s">
        <v>22</v>
      </c>
      <c r="AD297" t="s">
        <v>1327</v>
      </c>
      <c r="AE297">
        <v>1.3987688579848533E-4</v>
      </c>
      <c r="AG297" t="s">
        <v>97</v>
      </c>
      <c r="AH297" t="s">
        <v>1327</v>
      </c>
      <c r="AI297">
        <v>0</v>
      </c>
    </row>
    <row r="298" spans="5:35" x14ac:dyDescent="0.45">
      <c r="E298" t="s">
        <v>1032</v>
      </c>
      <c r="G298" t="s">
        <v>153</v>
      </c>
      <c r="I298" t="s">
        <v>236</v>
      </c>
      <c r="J298" t="s">
        <v>1328</v>
      </c>
      <c r="K298">
        <v>0</v>
      </c>
      <c r="L298" t="s">
        <v>238</v>
      </c>
      <c r="N298" t="s">
        <v>346</v>
      </c>
      <c r="O298" t="s">
        <v>1328</v>
      </c>
      <c r="P298">
        <v>9.9992915923112475E-5</v>
      </c>
      <c r="Q298" t="s">
        <v>238</v>
      </c>
      <c r="S298" t="s">
        <v>347</v>
      </c>
      <c r="T298" t="s">
        <v>1328</v>
      </c>
      <c r="U298">
        <v>1.649356966292E-4</v>
      </c>
      <c r="V298" t="s">
        <v>238</v>
      </c>
      <c r="X298">
        <v>1.1415525114155251E-4</v>
      </c>
      <c r="Y298">
        <v>1.9060404909297337E-4</v>
      </c>
      <c r="Z298" t="s">
        <v>1328</v>
      </c>
      <c r="AA298" t="s">
        <v>25</v>
      </c>
      <c r="AC298" t="s">
        <v>22</v>
      </c>
      <c r="AD298" t="s">
        <v>1328</v>
      </c>
      <c r="AE298">
        <v>1.4368042466982722E-4</v>
      </c>
      <c r="AG298" t="s">
        <v>97</v>
      </c>
      <c r="AH298" t="s">
        <v>1328</v>
      </c>
      <c r="AI298">
        <v>0</v>
      </c>
    </row>
    <row r="299" spans="5:35" x14ac:dyDescent="0.45">
      <c r="E299" t="s">
        <v>1033</v>
      </c>
      <c r="G299" t="s">
        <v>153</v>
      </c>
      <c r="I299" t="s">
        <v>236</v>
      </c>
      <c r="J299" t="s">
        <v>1329</v>
      </c>
      <c r="K299">
        <v>4.5560311688729044E-6</v>
      </c>
      <c r="L299" t="s">
        <v>238</v>
      </c>
      <c r="N299" t="s">
        <v>346</v>
      </c>
      <c r="O299" t="s">
        <v>1329</v>
      </c>
      <c r="P299">
        <v>9.5777440856997678E-5</v>
      </c>
      <c r="Q299" t="s">
        <v>238</v>
      </c>
      <c r="S299" t="s">
        <v>347</v>
      </c>
      <c r="T299" t="s">
        <v>1329</v>
      </c>
      <c r="U299">
        <v>1.652844334315E-4</v>
      </c>
      <c r="V299" t="s">
        <v>238</v>
      </c>
      <c r="X299">
        <v>1.1415525114155251E-4</v>
      </c>
      <c r="Y299">
        <v>1.4585353321897094E-4</v>
      </c>
      <c r="Z299" t="s">
        <v>1329</v>
      </c>
      <c r="AA299" t="s">
        <v>25</v>
      </c>
      <c r="AC299" t="s">
        <v>22</v>
      </c>
      <c r="AD299" t="s">
        <v>1329</v>
      </c>
      <c r="AE299">
        <v>1.4843269855730636E-4</v>
      </c>
      <c r="AG299" t="s">
        <v>97</v>
      </c>
      <c r="AH299" t="s">
        <v>1329</v>
      </c>
      <c r="AI299">
        <v>0</v>
      </c>
    </row>
    <row r="300" spans="5:35" x14ac:dyDescent="0.45">
      <c r="E300" t="s">
        <v>1034</v>
      </c>
      <c r="G300" t="s">
        <v>153</v>
      </c>
      <c r="I300" t="s">
        <v>236</v>
      </c>
      <c r="J300" t="s">
        <v>1330</v>
      </c>
      <c r="K300">
        <v>1.8904631195205156E-5</v>
      </c>
      <c r="L300" t="s">
        <v>238</v>
      </c>
      <c r="N300" t="s">
        <v>346</v>
      </c>
      <c r="O300" t="s">
        <v>1330</v>
      </c>
      <c r="P300">
        <v>8.6037586699233903E-5</v>
      </c>
      <c r="Q300" t="s">
        <v>238</v>
      </c>
      <c r="S300" t="s">
        <v>347</v>
      </c>
      <c r="T300" t="s">
        <v>1330</v>
      </c>
      <c r="U300">
        <v>1.6150119212030001E-4</v>
      </c>
      <c r="V300" t="s">
        <v>238</v>
      </c>
      <c r="X300">
        <v>1.1415525114155251E-4</v>
      </c>
      <c r="Y300">
        <v>1.4452759200788939E-4</v>
      </c>
      <c r="Z300" t="s">
        <v>1330</v>
      </c>
      <c r="AA300" t="s">
        <v>25</v>
      </c>
      <c r="AC300" t="s">
        <v>22</v>
      </c>
      <c r="AD300" t="s">
        <v>1330</v>
      </c>
      <c r="AE300">
        <v>1.5038176143033764E-4</v>
      </c>
      <c r="AG300" t="s">
        <v>97</v>
      </c>
      <c r="AH300" t="s">
        <v>1330</v>
      </c>
      <c r="AI300">
        <v>0</v>
      </c>
    </row>
    <row r="301" spans="5:35" x14ac:dyDescent="0.45">
      <c r="E301" t="s">
        <v>1035</v>
      </c>
      <c r="G301" t="s">
        <v>153</v>
      </c>
      <c r="I301" t="s">
        <v>236</v>
      </c>
      <c r="J301" t="s">
        <v>1331</v>
      </c>
      <c r="K301">
        <v>4.6842377095853163E-5</v>
      </c>
      <c r="L301" t="s">
        <v>238</v>
      </c>
      <c r="N301" t="s">
        <v>346</v>
      </c>
      <c r="O301" t="s">
        <v>1331</v>
      </c>
      <c r="P301">
        <v>8.8175905397418837E-5</v>
      </c>
      <c r="Q301" t="s">
        <v>238</v>
      </c>
      <c r="S301" t="s">
        <v>347</v>
      </c>
      <c r="T301" t="s">
        <v>1331</v>
      </c>
      <c r="U301">
        <v>1.372535546221E-4</v>
      </c>
      <c r="V301" t="s">
        <v>238</v>
      </c>
      <c r="X301">
        <v>1.1415525114155251E-4</v>
      </c>
      <c r="Y301">
        <v>1.408812536774151E-4</v>
      </c>
      <c r="Z301" t="s">
        <v>1331</v>
      </c>
      <c r="AA301" t="s">
        <v>25</v>
      </c>
      <c r="AC301" t="s">
        <v>22</v>
      </c>
      <c r="AD301" t="s">
        <v>1331</v>
      </c>
      <c r="AE301">
        <v>1.5014959364693242E-4</v>
      </c>
      <c r="AG301" t="s">
        <v>97</v>
      </c>
      <c r="AH301" t="s">
        <v>1331</v>
      </c>
      <c r="AI301">
        <v>0</v>
      </c>
    </row>
    <row r="302" spans="5:35" x14ac:dyDescent="0.45">
      <c r="E302" t="s">
        <v>1036</v>
      </c>
      <c r="G302" t="s">
        <v>153</v>
      </c>
      <c r="I302" t="s">
        <v>236</v>
      </c>
      <c r="J302" t="s">
        <v>1332</v>
      </c>
      <c r="K302">
        <v>6.9263954178994027E-5</v>
      </c>
      <c r="L302" t="s">
        <v>238</v>
      </c>
      <c r="N302" t="s">
        <v>346</v>
      </c>
      <c r="O302" t="s">
        <v>1332</v>
      </c>
      <c r="P302">
        <v>7.9276358744845345E-5</v>
      </c>
      <c r="Q302" t="s">
        <v>238</v>
      </c>
      <c r="S302" t="s">
        <v>347</v>
      </c>
      <c r="T302" t="s">
        <v>1332</v>
      </c>
      <c r="U302">
        <v>1.211388947461E-4</v>
      </c>
      <c r="V302" t="s">
        <v>238</v>
      </c>
      <c r="X302">
        <v>1.1415525114155251E-4</v>
      </c>
      <c r="Y302">
        <v>1.4054976837464471E-4</v>
      </c>
      <c r="Z302" t="s">
        <v>1332</v>
      </c>
      <c r="AA302" t="s">
        <v>25</v>
      </c>
      <c r="AC302" t="s">
        <v>22</v>
      </c>
      <c r="AD302" t="s">
        <v>1332</v>
      </c>
      <c r="AE302">
        <v>1.4858174454171466E-4</v>
      </c>
      <c r="AG302" t="s">
        <v>97</v>
      </c>
      <c r="AH302" t="s">
        <v>1332</v>
      </c>
      <c r="AI302">
        <v>0</v>
      </c>
    </row>
    <row r="303" spans="5:35" x14ac:dyDescent="0.45">
      <c r="E303" t="s">
        <v>1037</v>
      </c>
      <c r="G303" t="s">
        <v>153</v>
      </c>
      <c r="I303" t="s">
        <v>236</v>
      </c>
      <c r="J303" t="s">
        <v>1333</v>
      </c>
      <c r="K303">
        <v>7.4090660204993285E-5</v>
      </c>
      <c r="L303" t="s">
        <v>238</v>
      </c>
      <c r="N303" t="s">
        <v>346</v>
      </c>
      <c r="O303" t="s">
        <v>1333</v>
      </c>
      <c r="P303">
        <v>8.4735122168573659E-5</v>
      </c>
      <c r="Q303" t="s">
        <v>238</v>
      </c>
      <c r="S303" t="s">
        <v>347</v>
      </c>
      <c r="T303" t="s">
        <v>1333</v>
      </c>
      <c r="U303">
        <v>1.083382767245E-4</v>
      </c>
      <c r="V303" t="s">
        <v>238</v>
      </c>
      <c r="X303">
        <v>1.1415525114155251E-4</v>
      </c>
      <c r="Y303">
        <v>1.4253868019126702E-4</v>
      </c>
      <c r="Z303" t="s">
        <v>1333</v>
      </c>
      <c r="AA303" t="s">
        <v>25</v>
      </c>
      <c r="AC303" t="s">
        <v>22</v>
      </c>
      <c r="AD303" t="s">
        <v>1333</v>
      </c>
      <c r="AE303">
        <v>1.4841836721265171E-4</v>
      </c>
      <c r="AG303" t="s">
        <v>97</v>
      </c>
      <c r="AH303" t="s">
        <v>1333</v>
      </c>
      <c r="AI303">
        <v>0</v>
      </c>
    </row>
    <row r="304" spans="5:35" x14ac:dyDescent="0.45">
      <c r="E304" t="s">
        <v>1038</v>
      </c>
      <c r="G304" t="s">
        <v>153</v>
      </c>
      <c r="I304" t="s">
        <v>236</v>
      </c>
      <c r="J304" t="s">
        <v>1334</v>
      </c>
      <c r="K304">
        <v>6.97172319679814E-5</v>
      </c>
      <c r="L304" t="s">
        <v>238</v>
      </c>
      <c r="N304" t="s">
        <v>346</v>
      </c>
      <c r="O304" t="s">
        <v>1334</v>
      </c>
      <c r="P304">
        <v>9.7845444162388559E-5</v>
      </c>
      <c r="Q304" t="s">
        <v>238</v>
      </c>
      <c r="S304" t="s">
        <v>347</v>
      </c>
      <c r="T304" t="s">
        <v>1334</v>
      </c>
      <c r="U304">
        <v>1.014622275749E-4</v>
      </c>
      <c r="V304" t="s">
        <v>238</v>
      </c>
      <c r="X304">
        <v>1.1415525114155251E-4</v>
      </c>
      <c r="Y304">
        <v>1.4883690094390442E-4</v>
      </c>
      <c r="Z304" t="s">
        <v>1334</v>
      </c>
      <c r="AA304" t="s">
        <v>25</v>
      </c>
      <c r="AC304" t="s">
        <v>22</v>
      </c>
      <c r="AD304" t="s">
        <v>1334</v>
      </c>
      <c r="AE304">
        <v>1.4777059043426192E-4</v>
      </c>
      <c r="AG304" t="s">
        <v>97</v>
      </c>
      <c r="AH304" t="s">
        <v>1334</v>
      </c>
      <c r="AI304">
        <v>0</v>
      </c>
    </row>
    <row r="305" spans="5:35" x14ac:dyDescent="0.45">
      <c r="E305" t="s">
        <v>1039</v>
      </c>
      <c r="G305" t="s">
        <v>153</v>
      </c>
      <c r="I305" t="s">
        <v>236</v>
      </c>
      <c r="J305" t="s">
        <v>1335</v>
      </c>
      <c r="K305">
        <v>4.4700386453942519E-5</v>
      </c>
      <c r="L305" t="s">
        <v>238</v>
      </c>
      <c r="N305" t="s">
        <v>346</v>
      </c>
      <c r="O305" t="s">
        <v>1335</v>
      </c>
      <c r="P305">
        <v>7.8962382767916288E-5</v>
      </c>
      <c r="Q305" t="s">
        <v>238</v>
      </c>
      <c r="S305" t="s">
        <v>347</v>
      </c>
      <c r="T305" t="s">
        <v>1335</v>
      </c>
      <c r="U305">
        <v>9.6968366734032042E-5</v>
      </c>
      <c r="V305" t="s">
        <v>238</v>
      </c>
      <c r="X305">
        <v>1.1415525114155251E-4</v>
      </c>
      <c r="Y305">
        <v>1.5049432745775637E-4</v>
      </c>
      <c r="Z305" t="s">
        <v>1335</v>
      </c>
      <c r="AA305" t="s">
        <v>25</v>
      </c>
      <c r="AC305" t="s">
        <v>22</v>
      </c>
      <c r="AD305" t="s">
        <v>1335</v>
      </c>
      <c r="AE305">
        <v>1.4777059043426192E-4</v>
      </c>
      <c r="AG305" t="s">
        <v>97</v>
      </c>
      <c r="AH305" t="s">
        <v>1335</v>
      </c>
      <c r="AI305">
        <v>0</v>
      </c>
    </row>
    <row r="306" spans="5:35" x14ac:dyDescent="0.45">
      <c r="E306" t="s">
        <v>1040</v>
      </c>
      <c r="G306" t="s">
        <v>153</v>
      </c>
      <c r="I306" t="s">
        <v>236</v>
      </c>
      <c r="J306" t="s">
        <v>1336</v>
      </c>
      <c r="K306">
        <v>2.3704456495312544E-5</v>
      </c>
      <c r="L306" t="s">
        <v>238</v>
      </c>
      <c r="N306" t="s">
        <v>346</v>
      </c>
      <c r="O306" t="s">
        <v>1336</v>
      </c>
      <c r="P306">
        <v>7.5595069674864887E-5</v>
      </c>
      <c r="Q306" t="s">
        <v>238</v>
      </c>
      <c r="S306" t="s">
        <v>347</v>
      </c>
      <c r="T306" t="s">
        <v>1336</v>
      </c>
      <c r="U306">
        <v>9.1387606639996942E-5</v>
      </c>
      <c r="V306" t="s">
        <v>238</v>
      </c>
      <c r="X306">
        <v>1.1415525114155251E-4</v>
      </c>
      <c r="Y306">
        <v>1.7237235744060203E-4</v>
      </c>
      <c r="Z306" t="s">
        <v>1336</v>
      </c>
      <c r="AA306" t="s">
        <v>25</v>
      </c>
      <c r="AC306" t="s">
        <v>22</v>
      </c>
      <c r="AD306" t="s">
        <v>1336</v>
      </c>
      <c r="AE306">
        <v>1.4805435105842382E-4</v>
      </c>
      <c r="AG306" t="s">
        <v>97</v>
      </c>
      <c r="AH306" t="s">
        <v>1336</v>
      </c>
      <c r="AI306">
        <v>0</v>
      </c>
    </row>
    <row r="307" spans="5:35" x14ac:dyDescent="0.45">
      <c r="E307" t="s">
        <v>1041</v>
      </c>
      <c r="G307" t="s">
        <v>153</v>
      </c>
      <c r="I307" t="s">
        <v>236</v>
      </c>
      <c r="J307" t="s">
        <v>1337</v>
      </c>
      <c r="K307">
        <v>5.5857381455408038E-6</v>
      </c>
      <c r="L307" t="s">
        <v>238</v>
      </c>
      <c r="N307" t="s">
        <v>346</v>
      </c>
      <c r="O307" t="s">
        <v>1337</v>
      </c>
      <c r="P307">
        <v>8.2850395673301531E-5</v>
      </c>
      <c r="Q307" t="s">
        <v>238</v>
      </c>
      <c r="S307" t="s">
        <v>347</v>
      </c>
      <c r="T307" t="s">
        <v>1337</v>
      </c>
      <c r="U307">
        <v>8.6310996703073691E-5</v>
      </c>
      <c r="V307" t="s">
        <v>238</v>
      </c>
      <c r="X307">
        <v>1.1415525114155251E-4</v>
      </c>
      <c r="Y307">
        <v>2.2209515285616027E-4</v>
      </c>
      <c r="Z307" t="s">
        <v>1337</v>
      </c>
      <c r="AA307" t="s">
        <v>25</v>
      </c>
      <c r="AC307" t="s">
        <v>22</v>
      </c>
      <c r="AD307" t="s">
        <v>1337</v>
      </c>
      <c r="AE307">
        <v>1.4840403586799709E-4</v>
      </c>
      <c r="AG307" t="s">
        <v>97</v>
      </c>
      <c r="AH307" t="s">
        <v>1337</v>
      </c>
      <c r="AI307">
        <v>0</v>
      </c>
    </row>
    <row r="308" spans="5:35" x14ac:dyDescent="0.45">
      <c r="E308" t="s">
        <v>1042</v>
      </c>
      <c r="G308" t="s">
        <v>153</v>
      </c>
      <c r="I308" t="s">
        <v>236</v>
      </c>
      <c r="J308" t="s">
        <v>1338</v>
      </c>
      <c r="K308">
        <v>0</v>
      </c>
      <c r="L308" t="s">
        <v>238</v>
      </c>
      <c r="N308" t="s">
        <v>346</v>
      </c>
      <c r="O308" t="s">
        <v>1338</v>
      </c>
      <c r="P308">
        <v>8.6898063941946349E-5</v>
      </c>
      <c r="Q308" t="s">
        <v>238</v>
      </c>
      <c r="S308" t="s">
        <v>347</v>
      </c>
      <c r="T308" t="s">
        <v>1338</v>
      </c>
      <c r="U308">
        <v>8.8288432672848727E-5</v>
      </c>
      <c r="V308" t="s">
        <v>238</v>
      </c>
      <c r="X308">
        <v>1.1415525114155251E-4</v>
      </c>
      <c r="Y308">
        <v>2.2209515285616027E-4</v>
      </c>
      <c r="Z308" t="s">
        <v>1338</v>
      </c>
      <c r="AA308" t="s">
        <v>25</v>
      </c>
      <c r="AC308" t="s">
        <v>22</v>
      </c>
      <c r="AD308" t="s">
        <v>1338</v>
      </c>
      <c r="AE308">
        <v>1.4837537317868781E-4</v>
      </c>
      <c r="AG308" t="s">
        <v>97</v>
      </c>
      <c r="AH308" t="s">
        <v>1338</v>
      </c>
      <c r="AI308">
        <v>0</v>
      </c>
    </row>
    <row r="309" spans="5:35" x14ac:dyDescent="0.45">
      <c r="E309" t="s">
        <v>1043</v>
      </c>
      <c r="G309" t="s">
        <v>153</v>
      </c>
      <c r="I309" t="s">
        <v>236</v>
      </c>
      <c r="J309" t="s">
        <v>1339</v>
      </c>
      <c r="K309">
        <v>0</v>
      </c>
      <c r="L309" t="s">
        <v>238</v>
      </c>
      <c r="N309" t="s">
        <v>346</v>
      </c>
      <c r="O309" t="s">
        <v>1339</v>
      </c>
      <c r="P309">
        <v>9.0180076435996645E-5</v>
      </c>
      <c r="Q309" t="s">
        <v>238</v>
      </c>
      <c r="S309" t="s">
        <v>347</v>
      </c>
      <c r="T309" t="s">
        <v>1339</v>
      </c>
      <c r="U309">
        <v>9.1696009442634403E-5</v>
      </c>
      <c r="V309" t="s">
        <v>238</v>
      </c>
      <c r="X309">
        <v>1.1415525114155251E-4</v>
      </c>
      <c r="Y309">
        <v>1.7237235744060203E-4</v>
      </c>
      <c r="Z309" t="s">
        <v>1339</v>
      </c>
      <c r="AA309" t="s">
        <v>25</v>
      </c>
      <c r="AC309" t="s">
        <v>22</v>
      </c>
      <c r="AD309" t="s">
        <v>1339</v>
      </c>
      <c r="AE309">
        <v>1.4837537317868781E-4</v>
      </c>
      <c r="AG309" t="s">
        <v>97</v>
      </c>
      <c r="AH309" t="s">
        <v>1339</v>
      </c>
      <c r="AI309">
        <v>0</v>
      </c>
    </row>
    <row r="310" spans="5:35" x14ac:dyDescent="0.45">
      <c r="E310" t="s">
        <v>1044</v>
      </c>
      <c r="G310" t="s">
        <v>153</v>
      </c>
      <c r="I310" t="s">
        <v>236</v>
      </c>
      <c r="J310" t="s">
        <v>1340</v>
      </c>
      <c r="K310">
        <v>0</v>
      </c>
      <c r="L310" t="s">
        <v>238</v>
      </c>
      <c r="N310" t="s">
        <v>346</v>
      </c>
      <c r="O310" t="s">
        <v>1340</v>
      </c>
      <c r="P310">
        <v>9.4345365706123105E-5</v>
      </c>
      <c r="Q310" t="s">
        <v>238</v>
      </c>
      <c r="S310" t="s">
        <v>347</v>
      </c>
      <c r="T310" t="s">
        <v>1340</v>
      </c>
      <c r="U310">
        <v>9.4761235158374283E-5</v>
      </c>
      <c r="V310" t="s">
        <v>238</v>
      </c>
      <c r="X310">
        <v>1.1415525114155251E-4</v>
      </c>
      <c r="Y310">
        <v>1.5579809230208258E-4</v>
      </c>
      <c r="Z310" t="s">
        <v>1340</v>
      </c>
      <c r="AA310" t="s">
        <v>25</v>
      </c>
      <c r="AC310" t="s">
        <v>22</v>
      </c>
      <c r="AD310" t="s">
        <v>1340</v>
      </c>
      <c r="AE310">
        <v>1.4398711544543654E-4</v>
      </c>
      <c r="AG310" t="s">
        <v>97</v>
      </c>
      <c r="AH310" t="s">
        <v>1340</v>
      </c>
      <c r="AI310">
        <v>0</v>
      </c>
    </row>
    <row r="311" spans="5:35" x14ac:dyDescent="0.45">
      <c r="E311" t="s">
        <v>1045</v>
      </c>
      <c r="G311" t="s">
        <v>153</v>
      </c>
      <c r="I311" t="s">
        <v>236</v>
      </c>
      <c r="J311" t="s">
        <v>1341</v>
      </c>
      <c r="K311">
        <v>0</v>
      </c>
      <c r="L311" t="s">
        <v>238</v>
      </c>
      <c r="N311" t="s">
        <v>346</v>
      </c>
      <c r="O311" t="s">
        <v>1341</v>
      </c>
      <c r="P311">
        <v>9.6283965909147126E-5</v>
      </c>
      <c r="Q311" t="s">
        <v>238</v>
      </c>
      <c r="S311" t="s">
        <v>347</v>
      </c>
      <c r="T311" t="s">
        <v>1341</v>
      </c>
      <c r="U311">
        <v>9.8685583730626357E-5</v>
      </c>
      <c r="V311" t="s">
        <v>238</v>
      </c>
      <c r="X311">
        <v>1.1415525114155251E-4</v>
      </c>
      <c r="Y311">
        <v>1.093901499142282E-4</v>
      </c>
      <c r="Z311" t="s">
        <v>1341</v>
      </c>
      <c r="AA311" t="s">
        <v>25</v>
      </c>
      <c r="AC311" t="s">
        <v>22</v>
      </c>
      <c r="AD311" t="s">
        <v>1341</v>
      </c>
      <c r="AE311">
        <v>1.3434212049286273E-4</v>
      </c>
      <c r="AG311" t="s">
        <v>97</v>
      </c>
      <c r="AH311" t="s">
        <v>1341</v>
      </c>
      <c r="AI311">
        <v>0</v>
      </c>
    </row>
    <row r="312" spans="5:35" x14ac:dyDescent="0.45">
      <c r="E312" t="s">
        <v>1046</v>
      </c>
      <c r="G312" t="s">
        <v>153</v>
      </c>
      <c r="I312" t="s">
        <v>236</v>
      </c>
      <c r="J312" t="s">
        <v>1342</v>
      </c>
      <c r="K312">
        <v>0</v>
      </c>
      <c r="L312" t="s">
        <v>238</v>
      </c>
      <c r="N312" t="s">
        <v>346</v>
      </c>
      <c r="O312" t="s">
        <v>1342</v>
      </c>
      <c r="P312">
        <v>9.3724108968604321E-5</v>
      </c>
      <c r="Q312" t="s">
        <v>238</v>
      </c>
      <c r="S312" t="s">
        <v>347</v>
      </c>
      <c r="T312" t="s">
        <v>1342</v>
      </c>
      <c r="U312">
        <v>9.6773368321467364E-5</v>
      </c>
      <c r="V312" t="s">
        <v>238</v>
      </c>
      <c r="X312">
        <v>1.1415525114155251E-4</v>
      </c>
      <c r="Y312">
        <v>7.9556472664893237E-5</v>
      </c>
      <c r="Z312" t="s">
        <v>1342</v>
      </c>
      <c r="AA312" t="s">
        <v>25</v>
      </c>
      <c r="AC312" t="s">
        <v>22</v>
      </c>
      <c r="AD312" t="s">
        <v>1342</v>
      </c>
      <c r="AE312">
        <v>1.2130346312606982E-4</v>
      </c>
      <c r="AG312" t="s">
        <v>97</v>
      </c>
      <c r="AH312" t="s">
        <v>1342</v>
      </c>
      <c r="AI312">
        <v>0</v>
      </c>
    </row>
    <row r="313" spans="5:35" x14ac:dyDescent="0.45">
      <c r="E313" t="s">
        <v>1047</v>
      </c>
      <c r="G313" t="s">
        <v>153</v>
      </c>
      <c r="I313" t="s">
        <v>236</v>
      </c>
      <c r="J313" t="s">
        <v>1343</v>
      </c>
      <c r="K313">
        <v>0</v>
      </c>
      <c r="L313" t="s">
        <v>238</v>
      </c>
      <c r="N313" t="s">
        <v>346</v>
      </c>
      <c r="O313" t="s">
        <v>1343</v>
      </c>
      <c r="P313">
        <v>7.5275518336848541E-5</v>
      </c>
      <c r="Q313" t="s">
        <v>238</v>
      </c>
      <c r="S313" t="s">
        <v>347</v>
      </c>
      <c r="T313" t="s">
        <v>1343</v>
      </c>
      <c r="U313">
        <v>7.8940941478454929E-5</v>
      </c>
      <c r="V313" t="s">
        <v>238</v>
      </c>
      <c r="X313">
        <v>1.1415525114155251E-4</v>
      </c>
      <c r="Y313">
        <v>5.6352501470966035E-5</v>
      </c>
      <c r="Z313" t="s">
        <v>1343</v>
      </c>
      <c r="AA313" t="s">
        <v>25</v>
      </c>
      <c r="AC313" t="s">
        <v>22</v>
      </c>
      <c r="AD313" t="s">
        <v>1343</v>
      </c>
      <c r="AE313">
        <v>1.1117120245523821E-4</v>
      </c>
      <c r="AG313" t="s">
        <v>97</v>
      </c>
      <c r="AH313" t="s">
        <v>1343</v>
      </c>
      <c r="AI313">
        <v>0</v>
      </c>
    </row>
    <row r="314" spans="5:35" x14ac:dyDescent="0.45">
      <c r="E314" t="s">
        <v>1048</v>
      </c>
      <c r="G314" t="s">
        <v>153</v>
      </c>
      <c r="I314" t="s">
        <v>236</v>
      </c>
      <c r="J314" t="s">
        <v>1344</v>
      </c>
      <c r="K314">
        <v>0</v>
      </c>
      <c r="L314" t="s">
        <v>238</v>
      </c>
      <c r="N314" t="s">
        <v>346</v>
      </c>
      <c r="O314" t="s">
        <v>1344</v>
      </c>
      <c r="P314">
        <v>6.7008709030713244E-5</v>
      </c>
      <c r="Q314" t="s">
        <v>238</v>
      </c>
      <c r="S314" t="s">
        <v>347</v>
      </c>
      <c r="T314" t="s">
        <v>1344</v>
      </c>
      <c r="U314">
        <v>6.8400643112476503E-5</v>
      </c>
      <c r="V314" t="s">
        <v>238</v>
      </c>
      <c r="X314">
        <v>1.1415525114155251E-4</v>
      </c>
      <c r="Y314">
        <v>2.9833677249334962E-5</v>
      </c>
      <c r="Z314" t="s">
        <v>1344</v>
      </c>
      <c r="AA314" t="s">
        <v>25</v>
      </c>
      <c r="AC314" t="s">
        <v>22</v>
      </c>
      <c r="AD314" t="s">
        <v>1344</v>
      </c>
      <c r="AE314">
        <v>9.0026736551780011E-5</v>
      </c>
      <c r="AG314" t="s">
        <v>97</v>
      </c>
      <c r="AH314" t="s">
        <v>1344</v>
      </c>
      <c r="AI314">
        <v>0</v>
      </c>
    </row>
    <row r="315" spans="5:35" x14ac:dyDescent="0.45">
      <c r="E315" t="s">
        <v>1049</v>
      </c>
      <c r="G315" t="s">
        <v>153</v>
      </c>
      <c r="I315" t="s">
        <v>236</v>
      </c>
      <c r="J315" t="s">
        <v>1345</v>
      </c>
      <c r="K315">
        <v>0</v>
      </c>
      <c r="L315" t="s">
        <v>238</v>
      </c>
      <c r="N315" t="s">
        <v>346</v>
      </c>
      <c r="O315" t="s">
        <v>1345</v>
      </c>
      <c r="P315">
        <v>6.498738650218233E-5</v>
      </c>
      <c r="Q315" t="s">
        <v>238</v>
      </c>
      <c r="S315" t="s">
        <v>347</v>
      </c>
      <c r="T315" t="s">
        <v>1345</v>
      </c>
      <c r="U315">
        <v>6.2036344012389742E-5</v>
      </c>
      <c r="V315" t="s">
        <v>238</v>
      </c>
      <c r="X315">
        <v>1.1415525114155251E-4</v>
      </c>
      <c r="Y315">
        <v>2.1546544680075254E-5</v>
      </c>
      <c r="Z315" t="s">
        <v>1345</v>
      </c>
      <c r="AA315" t="s">
        <v>25</v>
      </c>
      <c r="AC315" t="s">
        <v>22</v>
      </c>
      <c r="AD315" t="s">
        <v>1345</v>
      </c>
      <c r="AE315">
        <v>8.2508513145955012E-5</v>
      </c>
      <c r="AG315" t="s">
        <v>97</v>
      </c>
      <c r="AH315" t="s">
        <v>1345</v>
      </c>
      <c r="AI315">
        <v>0</v>
      </c>
    </row>
    <row r="316" spans="5:35" x14ac:dyDescent="0.45">
      <c r="E316" t="s">
        <v>1050</v>
      </c>
      <c r="G316" t="s">
        <v>153</v>
      </c>
      <c r="I316" t="s">
        <v>236</v>
      </c>
      <c r="J316" t="s">
        <v>1346</v>
      </c>
      <c r="K316">
        <v>0</v>
      </c>
      <c r="L316" t="s">
        <v>238</v>
      </c>
      <c r="N316" t="s">
        <v>346</v>
      </c>
      <c r="O316" t="s">
        <v>1346</v>
      </c>
      <c r="P316">
        <v>6.4903058968192727E-5</v>
      </c>
      <c r="Q316" t="s">
        <v>238</v>
      </c>
      <c r="S316" t="s">
        <v>347</v>
      </c>
      <c r="T316" t="s">
        <v>1346</v>
      </c>
      <c r="U316">
        <v>5.4732086240874221E-5</v>
      </c>
      <c r="V316" t="s">
        <v>238</v>
      </c>
      <c r="X316">
        <v>1.1415525114155251E-4</v>
      </c>
      <c r="Y316">
        <v>1.4916838624667481E-5</v>
      </c>
      <c r="Z316" t="s">
        <v>1346</v>
      </c>
      <c r="AA316" t="s">
        <v>25</v>
      </c>
      <c r="AC316" t="s">
        <v>22</v>
      </c>
      <c r="AD316" t="s">
        <v>1346</v>
      </c>
      <c r="AE316">
        <v>7.7696047610926374E-5</v>
      </c>
      <c r="AG316" t="s">
        <v>97</v>
      </c>
      <c r="AH316" t="s">
        <v>1346</v>
      </c>
      <c r="AI316">
        <v>0</v>
      </c>
    </row>
    <row r="317" spans="5:35" x14ac:dyDescent="0.45">
      <c r="E317" t="s">
        <v>1051</v>
      </c>
      <c r="G317" t="s">
        <v>153</v>
      </c>
      <c r="I317" t="s">
        <v>236</v>
      </c>
      <c r="J317" t="s">
        <v>1347</v>
      </c>
      <c r="K317">
        <v>0</v>
      </c>
      <c r="L317" t="s">
        <v>238</v>
      </c>
      <c r="N317" t="s">
        <v>346</v>
      </c>
      <c r="O317" t="s">
        <v>1347</v>
      </c>
      <c r="P317">
        <v>6.7654573473390601E-5</v>
      </c>
      <c r="Q317" t="s">
        <v>238</v>
      </c>
      <c r="S317" t="s">
        <v>347</v>
      </c>
      <c r="T317" t="s">
        <v>1347</v>
      </c>
      <c r="U317">
        <v>4.5876980871826442E-5</v>
      </c>
      <c r="V317" t="s">
        <v>238</v>
      </c>
      <c r="X317">
        <v>1.1415525114155251E-4</v>
      </c>
      <c r="Y317">
        <v>1.6574265138519424E-5</v>
      </c>
      <c r="Z317" t="s">
        <v>1347</v>
      </c>
      <c r="AA317" t="s">
        <v>25</v>
      </c>
      <c r="AC317" t="s">
        <v>22</v>
      </c>
      <c r="AD317" t="s">
        <v>1347</v>
      </c>
      <c r="AE317">
        <v>7.6391895247353972E-5</v>
      </c>
      <c r="AG317" t="s">
        <v>97</v>
      </c>
      <c r="AH317" t="s">
        <v>1347</v>
      </c>
      <c r="AI317">
        <v>0</v>
      </c>
    </row>
    <row r="318" spans="5:35" x14ac:dyDescent="0.45">
      <c r="E318" t="s">
        <v>1052</v>
      </c>
      <c r="G318" t="s">
        <v>153</v>
      </c>
      <c r="I318" t="s">
        <v>236</v>
      </c>
      <c r="J318" t="s">
        <v>1348</v>
      </c>
      <c r="K318">
        <v>0</v>
      </c>
      <c r="L318" t="s">
        <v>238</v>
      </c>
      <c r="N318" t="s">
        <v>346</v>
      </c>
      <c r="O318" t="s">
        <v>1348</v>
      </c>
      <c r="P318">
        <v>6.9073715899344398E-5</v>
      </c>
      <c r="Q318" t="s">
        <v>238</v>
      </c>
      <c r="S318" t="s">
        <v>347</v>
      </c>
      <c r="T318" t="s">
        <v>1348</v>
      </c>
      <c r="U318">
        <v>3.6405734496483892E-5</v>
      </c>
      <c r="V318" t="s">
        <v>238</v>
      </c>
      <c r="X318">
        <v>1.1415525114155251E-4</v>
      </c>
      <c r="Y318">
        <v>1.4585353321897093E-5</v>
      </c>
      <c r="Z318" t="s">
        <v>1348</v>
      </c>
      <c r="AA318" t="s">
        <v>25</v>
      </c>
      <c r="AC318" t="s">
        <v>22</v>
      </c>
      <c r="AD318" t="s">
        <v>1348</v>
      </c>
      <c r="AE318">
        <v>7.6391895247353972E-5</v>
      </c>
      <c r="AG318" t="s">
        <v>97</v>
      </c>
      <c r="AH318" t="s">
        <v>1348</v>
      </c>
      <c r="AI318">
        <v>0</v>
      </c>
    </row>
    <row r="319" spans="5:35" x14ac:dyDescent="0.45">
      <c r="E319" t="s">
        <v>1053</v>
      </c>
      <c r="G319" t="s">
        <v>153</v>
      </c>
      <c r="I319" t="s">
        <v>236</v>
      </c>
      <c r="J319" t="s">
        <v>1349</v>
      </c>
      <c r="K319">
        <v>0</v>
      </c>
      <c r="L319" t="s">
        <v>238</v>
      </c>
      <c r="N319" t="s">
        <v>346</v>
      </c>
      <c r="O319" t="s">
        <v>1349</v>
      </c>
      <c r="P319">
        <v>6.6292581998677165E-5</v>
      </c>
      <c r="Q319" t="s">
        <v>238</v>
      </c>
      <c r="S319" t="s">
        <v>347</v>
      </c>
      <c r="T319" t="s">
        <v>1349</v>
      </c>
      <c r="U319">
        <v>3.1406225626306853E-5</v>
      </c>
      <c r="V319" t="s">
        <v>238</v>
      </c>
      <c r="X319">
        <v>1.1415525114155251E-4</v>
      </c>
      <c r="Y319">
        <v>2.1215059377304864E-5</v>
      </c>
      <c r="Z319" t="s">
        <v>1349</v>
      </c>
      <c r="AA319" t="s">
        <v>25</v>
      </c>
      <c r="AC319" t="s">
        <v>22</v>
      </c>
      <c r="AD319" t="s">
        <v>1349</v>
      </c>
      <c r="AE319">
        <v>7.7309101305251041E-5</v>
      </c>
      <c r="AG319" t="s">
        <v>97</v>
      </c>
      <c r="AH319" t="s">
        <v>1349</v>
      </c>
      <c r="AI319">
        <v>0</v>
      </c>
    </row>
    <row r="320" spans="5:35" x14ac:dyDescent="0.45">
      <c r="E320" t="s">
        <v>1054</v>
      </c>
      <c r="G320" t="s">
        <v>153</v>
      </c>
      <c r="I320" t="s">
        <v>236</v>
      </c>
      <c r="J320" t="s">
        <v>1350</v>
      </c>
      <c r="K320">
        <v>0</v>
      </c>
      <c r="L320" t="s">
        <v>238</v>
      </c>
      <c r="N320" t="s">
        <v>346</v>
      </c>
      <c r="O320" t="s">
        <v>1350</v>
      </c>
      <c r="P320">
        <v>6.2535932375303426E-5</v>
      </c>
      <c r="Q320" t="s">
        <v>238</v>
      </c>
      <c r="S320" t="s">
        <v>347</v>
      </c>
      <c r="T320" t="s">
        <v>1350</v>
      </c>
      <c r="U320">
        <v>2.8882515845772065E-5</v>
      </c>
      <c r="V320" t="s">
        <v>238</v>
      </c>
      <c r="X320">
        <v>1.1415525114155251E-4</v>
      </c>
      <c r="Y320">
        <v>5.7678442682047593E-5</v>
      </c>
      <c r="Z320" t="s">
        <v>1350</v>
      </c>
      <c r="AA320" t="s">
        <v>25</v>
      </c>
      <c r="AC320" t="s">
        <v>22</v>
      </c>
      <c r="AD320" t="s">
        <v>1350</v>
      </c>
      <c r="AE320">
        <v>8.2476984187714793E-5</v>
      </c>
      <c r="AG320" t="s">
        <v>97</v>
      </c>
      <c r="AH320" t="s">
        <v>1350</v>
      </c>
      <c r="AI320">
        <v>0</v>
      </c>
    </row>
    <row r="321" spans="5:35" x14ac:dyDescent="0.45">
      <c r="E321" t="s">
        <v>1055</v>
      </c>
      <c r="G321" t="s">
        <v>153</v>
      </c>
      <c r="I321" t="s">
        <v>236</v>
      </c>
      <c r="J321" t="s">
        <v>1351</v>
      </c>
      <c r="K321">
        <v>0</v>
      </c>
      <c r="L321" t="s">
        <v>238</v>
      </c>
      <c r="N321" t="s">
        <v>346</v>
      </c>
      <c r="O321" t="s">
        <v>1351</v>
      </c>
      <c r="P321">
        <v>5.6672656047692817E-5</v>
      </c>
      <c r="Q321" t="s">
        <v>238</v>
      </c>
      <c r="S321" t="s">
        <v>347</v>
      </c>
      <c r="T321" t="s">
        <v>1351</v>
      </c>
      <c r="U321">
        <v>2.69591371214509E-5</v>
      </c>
      <c r="V321" t="s">
        <v>238</v>
      </c>
      <c r="X321">
        <v>1.1415525114155251E-4</v>
      </c>
      <c r="Y321">
        <v>1.6905750441289813E-4</v>
      </c>
      <c r="Z321" t="s">
        <v>1351</v>
      </c>
      <c r="AA321" t="s">
        <v>25</v>
      </c>
      <c r="AC321" t="s">
        <v>22</v>
      </c>
      <c r="AD321" t="s">
        <v>1351</v>
      </c>
      <c r="AE321">
        <v>9.0023870282849057E-5</v>
      </c>
      <c r="AG321" t="s">
        <v>97</v>
      </c>
      <c r="AH321" t="s">
        <v>1351</v>
      </c>
      <c r="AI321">
        <v>0</v>
      </c>
    </row>
    <row r="322" spans="5:35" x14ac:dyDescent="0.45">
      <c r="E322" t="s">
        <v>1056</v>
      </c>
      <c r="G322" t="s">
        <v>153</v>
      </c>
      <c r="I322" t="s">
        <v>236</v>
      </c>
      <c r="J322" t="s">
        <v>1352</v>
      </c>
      <c r="K322">
        <v>0</v>
      </c>
      <c r="L322" t="s">
        <v>238</v>
      </c>
      <c r="N322" t="s">
        <v>346</v>
      </c>
      <c r="O322" t="s">
        <v>1352</v>
      </c>
      <c r="P322">
        <v>5.2744035194607078E-5</v>
      </c>
      <c r="Q322" t="s">
        <v>238</v>
      </c>
      <c r="S322" t="s">
        <v>347</v>
      </c>
      <c r="T322" t="s">
        <v>1352</v>
      </c>
      <c r="U322">
        <v>2.2371053809449999E-5</v>
      </c>
      <c r="V322" t="s">
        <v>238</v>
      </c>
      <c r="X322">
        <v>1.1415525114155251E-4</v>
      </c>
      <c r="Y322">
        <v>1.9060404909297337E-4</v>
      </c>
      <c r="Z322" t="s">
        <v>1352</v>
      </c>
      <c r="AA322" t="s">
        <v>25</v>
      </c>
      <c r="AC322" t="s">
        <v>22</v>
      </c>
      <c r="AD322" t="s">
        <v>1352</v>
      </c>
      <c r="AE322">
        <v>9.9316314156918683E-5</v>
      </c>
      <c r="AG322" t="s">
        <v>97</v>
      </c>
      <c r="AH322" t="s">
        <v>1352</v>
      </c>
      <c r="AI322">
        <v>0</v>
      </c>
    </row>
    <row r="323" spans="5:35" x14ac:dyDescent="0.45">
      <c r="E323" t="s">
        <v>1057</v>
      </c>
      <c r="G323" t="s">
        <v>153</v>
      </c>
      <c r="I323" t="s">
        <v>236</v>
      </c>
      <c r="J323" t="s">
        <v>1353</v>
      </c>
      <c r="K323">
        <v>2.1273588534918524E-6</v>
      </c>
      <c r="L323" t="s">
        <v>238</v>
      </c>
      <c r="N323" t="s">
        <v>346</v>
      </c>
      <c r="O323" t="s">
        <v>1353</v>
      </c>
      <c r="P323">
        <v>5.1873602643943926E-5</v>
      </c>
      <c r="Q323" t="s">
        <v>238</v>
      </c>
      <c r="S323" t="s">
        <v>347</v>
      </c>
      <c r="T323" t="s">
        <v>1353</v>
      </c>
      <c r="U323">
        <v>1.5987718808857655E-5</v>
      </c>
      <c r="V323" t="s">
        <v>238</v>
      </c>
      <c r="X323">
        <v>1.1415525114155251E-4</v>
      </c>
      <c r="Y323">
        <v>1.4585353321897094E-4</v>
      </c>
      <c r="Z323" t="s">
        <v>1353</v>
      </c>
      <c r="AA323" t="s">
        <v>25</v>
      </c>
      <c r="AC323" t="s">
        <v>22</v>
      </c>
      <c r="AD323" t="s">
        <v>1353</v>
      </c>
      <c r="AE323">
        <v>1.1144923054153825E-4</v>
      </c>
      <c r="AG323" t="s">
        <v>97</v>
      </c>
      <c r="AH323" t="s">
        <v>1353</v>
      </c>
      <c r="AI323">
        <v>0</v>
      </c>
    </row>
    <row r="324" spans="5:35" x14ac:dyDescent="0.45">
      <c r="E324" t="s">
        <v>1058</v>
      </c>
      <c r="G324" t="s">
        <v>153</v>
      </c>
      <c r="I324" t="s">
        <v>236</v>
      </c>
      <c r="J324" t="s">
        <v>1354</v>
      </c>
      <c r="K324">
        <v>9.5103715994648106E-6</v>
      </c>
      <c r="L324" t="s">
        <v>238</v>
      </c>
      <c r="N324" t="s">
        <v>346</v>
      </c>
      <c r="O324" t="s">
        <v>1354</v>
      </c>
      <c r="P324">
        <v>4.6975454233377112E-5</v>
      </c>
      <c r="Q324" t="s">
        <v>238</v>
      </c>
      <c r="S324" t="s">
        <v>347</v>
      </c>
      <c r="T324" t="s">
        <v>1354</v>
      </c>
      <c r="U324">
        <v>1.1453323351901594E-5</v>
      </c>
      <c r="V324" t="s">
        <v>238</v>
      </c>
      <c r="X324">
        <v>1.1415525114155251E-4</v>
      </c>
      <c r="Y324">
        <v>1.4452759200788939E-4</v>
      </c>
      <c r="Z324" t="s">
        <v>1354</v>
      </c>
      <c r="AA324" t="s">
        <v>25</v>
      </c>
      <c r="AC324" t="s">
        <v>22</v>
      </c>
      <c r="AD324" t="s">
        <v>1354</v>
      </c>
      <c r="AE324">
        <v>1.1855184495237862E-4</v>
      </c>
      <c r="AG324" t="s">
        <v>97</v>
      </c>
      <c r="AH324" t="s">
        <v>1354</v>
      </c>
      <c r="AI324">
        <v>0</v>
      </c>
    </row>
    <row r="325" spans="5:35" x14ac:dyDescent="0.45">
      <c r="E325" t="s">
        <v>1059</v>
      </c>
      <c r="G325" t="s">
        <v>153</v>
      </c>
      <c r="I325" t="s">
        <v>236</v>
      </c>
      <c r="J325" t="s">
        <v>1355</v>
      </c>
      <c r="K325">
        <v>2.5169623087564918E-5</v>
      </c>
      <c r="L325" t="s">
        <v>238</v>
      </c>
      <c r="N325" t="s">
        <v>346</v>
      </c>
      <c r="O325" t="s">
        <v>1355</v>
      </c>
      <c r="P325">
        <v>3.0618835603642619E-5</v>
      </c>
      <c r="Q325" t="s">
        <v>238</v>
      </c>
      <c r="S325" t="s">
        <v>347</v>
      </c>
      <c r="T325" t="s">
        <v>1355</v>
      </c>
      <c r="U325">
        <v>9.0523406726739941E-6</v>
      </c>
      <c r="V325" t="s">
        <v>238</v>
      </c>
      <c r="X325">
        <v>1.1415525114155251E-4</v>
      </c>
      <c r="Y325">
        <v>1.408812536774151E-4</v>
      </c>
      <c r="Z325" t="s">
        <v>1355</v>
      </c>
      <c r="AA325" t="s">
        <v>25</v>
      </c>
      <c r="AC325" t="s">
        <v>22</v>
      </c>
      <c r="AD325" t="s">
        <v>1355</v>
      </c>
      <c r="AE325">
        <v>1.1629035876587619E-4</v>
      </c>
      <c r="AG325" t="s">
        <v>97</v>
      </c>
      <c r="AH325" t="s">
        <v>1355</v>
      </c>
      <c r="AI325">
        <v>0</v>
      </c>
    </row>
    <row r="326" spans="5:35" x14ac:dyDescent="0.45">
      <c r="E326" t="s">
        <v>1060</v>
      </c>
      <c r="G326" t="s">
        <v>153</v>
      </c>
      <c r="I326" t="s">
        <v>236</v>
      </c>
      <c r="J326" t="s">
        <v>1356</v>
      </c>
      <c r="K326">
        <v>4.0194526030276089E-5</v>
      </c>
      <c r="L326" t="s">
        <v>238</v>
      </c>
      <c r="N326" t="s">
        <v>346</v>
      </c>
      <c r="O326" t="s">
        <v>1356</v>
      </c>
      <c r="P326">
        <v>2.2978434279760545E-5</v>
      </c>
      <c r="Q326" t="s">
        <v>238</v>
      </c>
      <c r="S326" t="s">
        <v>347</v>
      </c>
      <c r="T326" t="s">
        <v>1356</v>
      </c>
      <c r="U326">
        <v>4.9968273226051499E-6</v>
      </c>
      <c r="V326" t="s">
        <v>238</v>
      </c>
      <c r="X326">
        <v>1.1415525114155251E-4</v>
      </c>
      <c r="Y326">
        <v>1.4054976837464471E-4</v>
      </c>
      <c r="Z326" t="s">
        <v>1356</v>
      </c>
      <c r="AA326" t="s">
        <v>25</v>
      </c>
      <c r="AC326" t="s">
        <v>22</v>
      </c>
      <c r="AD326" t="s">
        <v>1356</v>
      </c>
      <c r="AE326">
        <v>1.1612984770574418E-4</v>
      </c>
      <c r="AG326" t="s">
        <v>97</v>
      </c>
      <c r="AH326" t="s">
        <v>1356</v>
      </c>
      <c r="AI326">
        <v>0</v>
      </c>
    </row>
    <row r="327" spans="5:35" x14ac:dyDescent="0.45">
      <c r="E327" t="s">
        <v>1061</v>
      </c>
      <c r="G327" t="s">
        <v>153</v>
      </c>
      <c r="I327" t="s">
        <v>236</v>
      </c>
      <c r="J327" t="s">
        <v>1357</v>
      </c>
      <c r="K327">
        <v>4.8381080852339821E-5</v>
      </c>
      <c r="L327" t="s">
        <v>238</v>
      </c>
      <c r="N327" t="s">
        <v>346</v>
      </c>
      <c r="O327" t="s">
        <v>1357</v>
      </c>
      <c r="P327">
        <v>1.9443649315598576E-5</v>
      </c>
      <c r="Q327" t="s">
        <v>238</v>
      </c>
      <c r="S327" t="s">
        <v>347</v>
      </c>
      <c r="T327" t="s">
        <v>1357</v>
      </c>
      <c r="U327">
        <v>4.2371338231144342E-6</v>
      </c>
      <c r="V327" t="s">
        <v>238</v>
      </c>
      <c r="X327">
        <v>1.1415525114155251E-4</v>
      </c>
      <c r="Y327">
        <v>1.4253868019126702E-4</v>
      </c>
      <c r="Z327" t="s">
        <v>1357</v>
      </c>
      <c r="AA327" t="s">
        <v>25</v>
      </c>
      <c r="AC327" t="s">
        <v>22</v>
      </c>
      <c r="AD327" t="s">
        <v>1357</v>
      </c>
      <c r="AE327">
        <v>1.1647666624638654E-4</v>
      </c>
      <c r="AG327" t="s">
        <v>97</v>
      </c>
      <c r="AH327" t="s">
        <v>1357</v>
      </c>
      <c r="AI327">
        <v>0</v>
      </c>
    </row>
    <row r="328" spans="5:35" x14ac:dyDescent="0.45">
      <c r="E328" t="s">
        <v>1062</v>
      </c>
      <c r="G328" t="s">
        <v>153</v>
      </c>
      <c r="I328" t="s">
        <v>236</v>
      </c>
      <c r="J328" t="s">
        <v>1358</v>
      </c>
      <c r="K328">
        <v>5.1821577692314549E-5</v>
      </c>
      <c r="L328" t="s">
        <v>238</v>
      </c>
      <c r="N328" t="s">
        <v>346</v>
      </c>
      <c r="O328" t="s">
        <v>1358</v>
      </c>
      <c r="P328">
        <v>1.537994974780184E-5</v>
      </c>
      <c r="Q328" t="s">
        <v>238</v>
      </c>
      <c r="S328" t="s">
        <v>347</v>
      </c>
      <c r="T328" t="s">
        <v>1358</v>
      </c>
      <c r="U328">
        <v>6.0345082041262182E-6</v>
      </c>
      <c r="V328" t="s">
        <v>238</v>
      </c>
      <c r="X328">
        <v>1.1415525114155251E-4</v>
      </c>
      <c r="Y328">
        <v>1.4883690094390442E-4</v>
      </c>
      <c r="Z328" t="s">
        <v>1358</v>
      </c>
      <c r="AA328" t="s">
        <v>25</v>
      </c>
      <c r="AC328" t="s">
        <v>22</v>
      </c>
      <c r="AD328" t="s">
        <v>1358</v>
      </c>
      <c r="AE328">
        <v>1.1672029910551544E-4</v>
      </c>
      <c r="AG328" t="s">
        <v>97</v>
      </c>
      <c r="AH328" t="s">
        <v>1358</v>
      </c>
      <c r="AI328">
        <v>0</v>
      </c>
    </row>
    <row r="329" spans="5:35" x14ac:dyDescent="0.45">
      <c r="E329" t="s">
        <v>1063</v>
      </c>
      <c r="G329" t="s">
        <v>153</v>
      </c>
      <c r="I329" t="s">
        <v>236</v>
      </c>
      <c r="J329" t="s">
        <v>1359</v>
      </c>
      <c r="K329">
        <v>3.4210302826929053E-5</v>
      </c>
      <c r="L329" t="s">
        <v>238</v>
      </c>
      <c r="N329" t="s">
        <v>346</v>
      </c>
      <c r="O329" t="s">
        <v>1359</v>
      </c>
      <c r="P329">
        <v>1.7172834114214999E-5</v>
      </c>
      <c r="Q329" t="s">
        <v>238</v>
      </c>
      <c r="S329" t="s">
        <v>347</v>
      </c>
      <c r="T329" t="s">
        <v>1359</v>
      </c>
      <c r="U329">
        <v>8.8580431665196063E-6</v>
      </c>
      <c r="V329" t="s">
        <v>238</v>
      </c>
      <c r="X329">
        <v>1.1415525114155251E-4</v>
      </c>
      <c r="Y329">
        <v>1.5049432745775637E-4</v>
      </c>
      <c r="Z329" t="s">
        <v>1359</v>
      </c>
      <c r="AA329" t="s">
        <v>25</v>
      </c>
      <c r="AC329" t="s">
        <v>22</v>
      </c>
      <c r="AD329" t="s">
        <v>1359</v>
      </c>
      <c r="AE329">
        <v>1.1672029910551544E-4</v>
      </c>
      <c r="AG329" t="s">
        <v>97</v>
      </c>
      <c r="AH329" t="s">
        <v>1359</v>
      </c>
      <c r="AI329">
        <v>0</v>
      </c>
    </row>
    <row r="330" spans="5:35" x14ac:dyDescent="0.45">
      <c r="E330" t="s">
        <v>1064</v>
      </c>
      <c r="G330" t="s">
        <v>153</v>
      </c>
      <c r="I330" t="s">
        <v>236</v>
      </c>
      <c r="J330" t="s">
        <v>1360</v>
      </c>
      <c r="K330">
        <v>1.9133024896126581E-5</v>
      </c>
      <c r="L330" t="s">
        <v>238</v>
      </c>
      <c r="N330" t="s">
        <v>346</v>
      </c>
      <c r="O330" t="s">
        <v>1360</v>
      </c>
      <c r="P330">
        <v>2.5293825528934271E-5</v>
      </c>
      <c r="Q330" t="s">
        <v>238</v>
      </c>
      <c r="S330" t="s">
        <v>347</v>
      </c>
      <c r="T330" t="s">
        <v>1360</v>
      </c>
      <c r="U330">
        <v>1.3163670857608581E-5</v>
      </c>
      <c r="V330" t="s">
        <v>238</v>
      </c>
      <c r="X330">
        <v>1.1415525114155251E-4</v>
      </c>
      <c r="Y330">
        <v>1.7237235744060203E-4</v>
      </c>
      <c r="Z330" t="s">
        <v>1360</v>
      </c>
      <c r="AA330" t="s">
        <v>25</v>
      </c>
      <c r="AC330" t="s">
        <v>22</v>
      </c>
      <c r="AD330" t="s">
        <v>1360</v>
      </c>
      <c r="AE330">
        <v>1.1732508184994131E-4</v>
      </c>
      <c r="AG330" t="s">
        <v>97</v>
      </c>
      <c r="AH330" t="s">
        <v>1360</v>
      </c>
      <c r="AI330">
        <v>0</v>
      </c>
    </row>
    <row r="331" spans="5:35" x14ac:dyDescent="0.45">
      <c r="E331" t="s">
        <v>1065</v>
      </c>
      <c r="G331" t="s">
        <v>153</v>
      </c>
      <c r="I331" t="s">
        <v>236</v>
      </c>
      <c r="J331" t="s">
        <v>1361</v>
      </c>
      <c r="K331">
        <v>6.5091920734732989E-6</v>
      </c>
      <c r="L331" t="s">
        <v>238</v>
      </c>
      <c r="N331" t="s">
        <v>346</v>
      </c>
      <c r="O331" t="s">
        <v>1361</v>
      </c>
      <c r="P331">
        <v>3.1403632439903803E-5</v>
      </c>
      <c r="Q331" t="s">
        <v>238</v>
      </c>
      <c r="S331" t="s">
        <v>347</v>
      </c>
      <c r="T331" t="s">
        <v>1361</v>
      </c>
      <c r="U331">
        <v>2.0462335839741245E-5</v>
      </c>
      <c r="V331" t="s">
        <v>238</v>
      </c>
      <c r="X331">
        <v>1.1415525114155251E-4</v>
      </c>
      <c r="Y331">
        <v>2.2209515285616027E-4</v>
      </c>
      <c r="Z331" t="s">
        <v>1361</v>
      </c>
      <c r="AA331" t="s">
        <v>25</v>
      </c>
      <c r="AC331" t="s">
        <v>22</v>
      </c>
      <c r="AD331" t="s">
        <v>1361</v>
      </c>
      <c r="AE331">
        <v>1.2499808377803643E-4</v>
      </c>
      <c r="AG331" t="s">
        <v>97</v>
      </c>
      <c r="AH331" t="s">
        <v>1361</v>
      </c>
      <c r="AI331">
        <v>0</v>
      </c>
    </row>
    <row r="332" spans="5:35" x14ac:dyDescent="0.45">
      <c r="E332" t="s">
        <v>1066</v>
      </c>
      <c r="G332" t="s">
        <v>153</v>
      </c>
      <c r="I332" t="s">
        <v>236</v>
      </c>
      <c r="J332" t="s">
        <v>1362</v>
      </c>
      <c r="K332">
        <v>0</v>
      </c>
      <c r="L332" t="s">
        <v>238</v>
      </c>
      <c r="N332" t="s">
        <v>346</v>
      </c>
      <c r="O332" t="s">
        <v>1362</v>
      </c>
      <c r="P332">
        <v>3.1882308107665775E-5</v>
      </c>
      <c r="Q332" t="s">
        <v>238</v>
      </c>
      <c r="S332" t="s">
        <v>347</v>
      </c>
      <c r="T332" t="s">
        <v>1362</v>
      </c>
      <c r="U332">
        <v>2.7332816685653849E-5</v>
      </c>
      <c r="V332" t="s">
        <v>238</v>
      </c>
      <c r="X332">
        <v>1.1415525114155251E-4</v>
      </c>
      <c r="Y332">
        <v>2.2209515285616027E-4</v>
      </c>
      <c r="Z332" t="s">
        <v>1362</v>
      </c>
      <c r="AA332" t="s">
        <v>25</v>
      </c>
      <c r="AC332" t="s">
        <v>22</v>
      </c>
      <c r="AD332" t="s">
        <v>1362</v>
      </c>
      <c r="AE332">
        <v>1.2627070718336858E-4</v>
      </c>
      <c r="AG332" t="s">
        <v>97</v>
      </c>
      <c r="AH332" t="s">
        <v>1362</v>
      </c>
      <c r="AI332">
        <v>0</v>
      </c>
    </row>
    <row r="333" spans="5:35" x14ac:dyDescent="0.45">
      <c r="E333" t="s">
        <v>1067</v>
      </c>
      <c r="G333" t="s">
        <v>153</v>
      </c>
      <c r="I333" t="s">
        <v>236</v>
      </c>
      <c r="J333" t="s">
        <v>1363</v>
      </c>
      <c r="K333">
        <v>0</v>
      </c>
      <c r="L333" t="s">
        <v>238</v>
      </c>
      <c r="N333" t="s">
        <v>346</v>
      </c>
      <c r="O333" t="s">
        <v>1363</v>
      </c>
      <c r="P333">
        <v>3.0879816740406298E-5</v>
      </c>
      <c r="Q333" t="s">
        <v>238</v>
      </c>
      <c r="S333" t="s">
        <v>347</v>
      </c>
      <c r="T333" t="s">
        <v>1363</v>
      </c>
      <c r="U333">
        <v>3.666923732884753E-5</v>
      </c>
      <c r="V333" t="s">
        <v>238</v>
      </c>
      <c r="X333">
        <v>1.1415525114155251E-4</v>
      </c>
      <c r="Y333">
        <v>1.7237235744060203E-4</v>
      </c>
      <c r="Z333" t="s">
        <v>1363</v>
      </c>
      <c r="AA333" t="s">
        <v>25</v>
      </c>
      <c r="AC333" t="s">
        <v>22</v>
      </c>
      <c r="AD333" t="s">
        <v>1363</v>
      </c>
      <c r="AE333">
        <v>1.2865257666497005E-4</v>
      </c>
      <c r="AG333" t="s">
        <v>97</v>
      </c>
      <c r="AH333" t="s">
        <v>1363</v>
      </c>
      <c r="AI333">
        <v>0</v>
      </c>
    </row>
    <row r="334" spans="5:35" x14ac:dyDescent="0.45">
      <c r="E334" t="s">
        <v>1068</v>
      </c>
      <c r="G334" t="s">
        <v>153</v>
      </c>
      <c r="I334" t="s">
        <v>236</v>
      </c>
      <c r="J334" t="s">
        <v>1364</v>
      </c>
      <c r="K334">
        <v>0</v>
      </c>
      <c r="L334" t="s">
        <v>238</v>
      </c>
      <c r="N334" t="s">
        <v>346</v>
      </c>
      <c r="O334" t="s">
        <v>1364</v>
      </c>
      <c r="P334">
        <v>2.8872600709098242E-5</v>
      </c>
      <c r="Q334" t="s">
        <v>238</v>
      </c>
      <c r="S334" t="s">
        <v>347</v>
      </c>
      <c r="T334" t="s">
        <v>1364</v>
      </c>
      <c r="U334">
        <v>4.2348388238668301E-5</v>
      </c>
      <c r="V334" t="s">
        <v>238</v>
      </c>
      <c r="X334">
        <v>1.1415525114155251E-4</v>
      </c>
      <c r="Y334">
        <v>1.5579809230208258E-4</v>
      </c>
      <c r="Z334" t="s">
        <v>1364</v>
      </c>
      <c r="AA334" t="s">
        <v>25</v>
      </c>
      <c r="AC334" t="s">
        <v>22</v>
      </c>
      <c r="AD334" t="s">
        <v>1364</v>
      </c>
      <c r="AE334">
        <v>1.2603280686210156E-4</v>
      </c>
      <c r="AG334" t="s">
        <v>97</v>
      </c>
      <c r="AH334" t="s">
        <v>1364</v>
      </c>
      <c r="AI334">
        <v>0</v>
      </c>
    </row>
    <row r="335" spans="5:35" x14ac:dyDescent="0.45">
      <c r="E335" t="s">
        <v>1069</v>
      </c>
      <c r="G335" t="s">
        <v>153</v>
      </c>
      <c r="I335" t="s">
        <v>236</v>
      </c>
      <c r="J335" t="s">
        <v>1365</v>
      </c>
      <c r="K335">
        <v>0</v>
      </c>
      <c r="L335" t="s">
        <v>238</v>
      </c>
      <c r="N335" t="s">
        <v>346</v>
      </c>
      <c r="O335" t="s">
        <v>1365</v>
      </c>
      <c r="P335">
        <v>2.9212630083494569E-5</v>
      </c>
      <c r="Q335" t="s">
        <v>238</v>
      </c>
      <c r="S335" t="s">
        <v>347</v>
      </c>
      <c r="T335" t="s">
        <v>1365</v>
      </c>
      <c r="U335">
        <v>5.3038145536506392E-5</v>
      </c>
      <c r="V335" t="s">
        <v>238</v>
      </c>
      <c r="X335">
        <v>1.1415525114155251E-4</v>
      </c>
      <c r="Y335">
        <v>1.093901499142282E-4</v>
      </c>
      <c r="Z335" t="s">
        <v>1365</v>
      </c>
      <c r="AA335" t="s">
        <v>25</v>
      </c>
      <c r="AC335" t="s">
        <v>22</v>
      </c>
      <c r="AD335" t="s">
        <v>1365</v>
      </c>
      <c r="AE335">
        <v>1.2120314371348736E-4</v>
      </c>
      <c r="AG335" t="s">
        <v>97</v>
      </c>
      <c r="AH335" t="s">
        <v>1365</v>
      </c>
      <c r="AI335">
        <v>0</v>
      </c>
    </row>
    <row r="336" spans="5:35" x14ac:dyDescent="0.45">
      <c r="E336" t="s">
        <v>1070</v>
      </c>
      <c r="G336" t="s">
        <v>153</v>
      </c>
      <c r="I336" t="s">
        <v>236</v>
      </c>
      <c r="J336" t="s">
        <v>1366</v>
      </c>
      <c r="K336">
        <v>0</v>
      </c>
      <c r="L336" t="s">
        <v>238</v>
      </c>
      <c r="N336" t="s">
        <v>346</v>
      </c>
      <c r="O336" t="s">
        <v>1366</v>
      </c>
      <c r="P336">
        <v>3.3434699151829467E-5</v>
      </c>
      <c r="Q336" t="s">
        <v>238</v>
      </c>
      <c r="S336" t="s">
        <v>347</v>
      </c>
      <c r="T336" t="s">
        <v>1366</v>
      </c>
      <c r="U336">
        <v>5.6972375356081309E-5</v>
      </c>
      <c r="V336" t="s">
        <v>238</v>
      </c>
      <c r="X336">
        <v>1.1415525114155251E-4</v>
      </c>
      <c r="Y336">
        <v>7.9556472664893237E-5</v>
      </c>
      <c r="Z336" t="s">
        <v>1366</v>
      </c>
      <c r="AA336" t="s">
        <v>25</v>
      </c>
      <c r="AC336" t="s">
        <v>22</v>
      </c>
      <c r="AD336" t="s">
        <v>1366</v>
      </c>
      <c r="AE336">
        <v>1.134355549106716E-4</v>
      </c>
      <c r="AG336" t="s">
        <v>97</v>
      </c>
      <c r="AH336" t="s">
        <v>1366</v>
      </c>
      <c r="AI336">
        <v>0</v>
      </c>
    </row>
    <row r="337" spans="5:35" x14ac:dyDescent="0.45">
      <c r="E337" t="s">
        <v>1071</v>
      </c>
      <c r="G337" t="s">
        <v>153</v>
      </c>
      <c r="I337" t="s">
        <v>236</v>
      </c>
      <c r="J337" t="s">
        <v>1367</v>
      </c>
      <c r="K337">
        <v>0</v>
      </c>
      <c r="L337" t="s">
        <v>238</v>
      </c>
      <c r="N337" t="s">
        <v>346</v>
      </c>
      <c r="O337" t="s">
        <v>1367</v>
      </c>
      <c r="P337">
        <v>4.3376891375878118E-5</v>
      </c>
      <c r="Q337" t="s">
        <v>238</v>
      </c>
      <c r="S337" t="s">
        <v>347</v>
      </c>
      <c r="T337" t="s">
        <v>1367</v>
      </c>
      <c r="U337">
        <v>6.9519372810330509E-5</v>
      </c>
      <c r="V337" t="s">
        <v>238</v>
      </c>
      <c r="X337">
        <v>1.1415525114155251E-4</v>
      </c>
      <c r="Y337">
        <v>5.6352501470966035E-5</v>
      </c>
      <c r="Z337" t="s">
        <v>1367</v>
      </c>
      <c r="AA337" t="s">
        <v>25</v>
      </c>
      <c r="AC337" t="s">
        <v>22</v>
      </c>
      <c r="AD337" t="s">
        <v>1367</v>
      </c>
      <c r="AE337">
        <v>1.0606064495139304E-4</v>
      </c>
      <c r="AG337" t="s">
        <v>97</v>
      </c>
      <c r="AH337" t="s">
        <v>1367</v>
      </c>
      <c r="AI337">
        <v>0</v>
      </c>
    </row>
    <row r="338" spans="5:35" x14ac:dyDescent="0.45">
      <c r="E338" t="s">
        <v>1072</v>
      </c>
      <c r="G338" t="s">
        <v>153</v>
      </c>
      <c r="I338" t="s">
        <v>236</v>
      </c>
      <c r="J338" t="s">
        <v>1368</v>
      </c>
      <c r="K338">
        <v>0</v>
      </c>
      <c r="L338" t="s">
        <v>238</v>
      </c>
      <c r="N338" t="s">
        <v>346</v>
      </c>
      <c r="O338" t="s">
        <v>1368</v>
      </c>
      <c r="P338">
        <v>5.3620221217093023E-5</v>
      </c>
      <c r="Q338" t="s">
        <v>238</v>
      </c>
      <c r="S338" t="s">
        <v>347</v>
      </c>
      <c r="T338" t="s">
        <v>1368</v>
      </c>
      <c r="U338">
        <v>8.5606382922255353E-5</v>
      </c>
      <c r="V338" t="s">
        <v>238</v>
      </c>
      <c r="X338">
        <v>1.1415525114155251E-4</v>
      </c>
      <c r="Y338">
        <v>2.9833677249334962E-5</v>
      </c>
      <c r="Z338" t="s">
        <v>1368</v>
      </c>
      <c r="AA338" t="s">
        <v>25</v>
      </c>
      <c r="AC338" t="s">
        <v>22</v>
      </c>
      <c r="AD338" t="s">
        <v>1368</v>
      </c>
      <c r="AE338">
        <v>9.1723567758889561E-5</v>
      </c>
      <c r="AG338" t="s">
        <v>97</v>
      </c>
      <c r="AH338" t="s">
        <v>1368</v>
      </c>
      <c r="AI338">
        <v>0</v>
      </c>
    </row>
    <row r="339" spans="5:35" x14ac:dyDescent="0.45">
      <c r="E339" t="s">
        <v>1073</v>
      </c>
      <c r="G339" t="s">
        <v>153</v>
      </c>
      <c r="I339" t="s">
        <v>236</v>
      </c>
      <c r="J339" t="s">
        <v>1369</v>
      </c>
      <c r="K339">
        <v>0</v>
      </c>
      <c r="L339" t="s">
        <v>238</v>
      </c>
      <c r="N339" t="s">
        <v>346</v>
      </c>
      <c r="O339" t="s">
        <v>1369</v>
      </c>
      <c r="P339">
        <v>6.4364237782570349E-5</v>
      </c>
      <c r="Q339" t="s">
        <v>238</v>
      </c>
      <c r="S339" t="s">
        <v>347</v>
      </c>
      <c r="T339" t="s">
        <v>1369</v>
      </c>
      <c r="U339">
        <v>1.069072072654E-4</v>
      </c>
      <c r="V339" t="s">
        <v>238</v>
      </c>
      <c r="X339">
        <v>1.1415525114155251E-4</v>
      </c>
      <c r="Y339">
        <v>2.1546544680075254E-5</v>
      </c>
      <c r="Z339" t="s">
        <v>1369</v>
      </c>
      <c r="AA339" t="s">
        <v>25</v>
      </c>
      <c r="AC339" t="s">
        <v>22</v>
      </c>
      <c r="AD339" t="s">
        <v>1369</v>
      </c>
      <c r="AE339">
        <v>8.3239411723341747E-5</v>
      </c>
      <c r="AG339" t="s">
        <v>97</v>
      </c>
      <c r="AH339" t="s">
        <v>1369</v>
      </c>
      <c r="AI339">
        <v>0</v>
      </c>
    </row>
    <row r="340" spans="5:35" x14ac:dyDescent="0.45">
      <c r="E340" t="s">
        <v>1074</v>
      </c>
      <c r="G340" t="s">
        <v>153</v>
      </c>
      <c r="I340" t="s">
        <v>236</v>
      </c>
      <c r="J340" t="s">
        <v>1370</v>
      </c>
      <c r="K340">
        <v>0</v>
      </c>
      <c r="L340" t="s">
        <v>238</v>
      </c>
      <c r="N340" t="s">
        <v>346</v>
      </c>
      <c r="O340" t="s">
        <v>1370</v>
      </c>
      <c r="P340">
        <v>7.6433605766161304E-5</v>
      </c>
      <c r="Q340" t="s">
        <v>238</v>
      </c>
      <c r="S340" t="s">
        <v>347</v>
      </c>
      <c r="T340" t="s">
        <v>1370</v>
      </c>
      <c r="U340">
        <v>1.19802450952E-4</v>
      </c>
      <c r="V340" t="s">
        <v>238</v>
      </c>
      <c r="X340">
        <v>1.1415525114155251E-4</v>
      </c>
      <c r="Y340">
        <v>1.4916838624667481E-5</v>
      </c>
      <c r="Z340" t="s">
        <v>1370</v>
      </c>
      <c r="AA340" t="s">
        <v>25</v>
      </c>
      <c r="AC340" t="s">
        <v>22</v>
      </c>
      <c r="AD340" t="s">
        <v>1370</v>
      </c>
      <c r="AE340">
        <v>8.0020591713909217E-5</v>
      </c>
      <c r="AG340" t="s">
        <v>97</v>
      </c>
      <c r="AH340" t="s">
        <v>1370</v>
      </c>
      <c r="AI340">
        <v>0</v>
      </c>
    </row>
    <row r="341" spans="5:35" x14ac:dyDescent="0.45">
      <c r="E341" t="s">
        <v>1075</v>
      </c>
      <c r="G341" t="s">
        <v>153</v>
      </c>
      <c r="I341" t="s">
        <v>236</v>
      </c>
      <c r="J341" t="s">
        <v>1371</v>
      </c>
      <c r="K341">
        <v>0</v>
      </c>
      <c r="L341" t="s">
        <v>238</v>
      </c>
      <c r="N341" t="s">
        <v>346</v>
      </c>
      <c r="O341" t="s">
        <v>1371</v>
      </c>
      <c r="P341">
        <v>8.6292298487505362E-5</v>
      </c>
      <c r="Q341" t="s">
        <v>238</v>
      </c>
      <c r="S341" t="s">
        <v>347</v>
      </c>
      <c r="T341" t="s">
        <v>1371</v>
      </c>
      <c r="U341">
        <v>1.4095095251039999E-4</v>
      </c>
      <c r="V341" t="s">
        <v>238</v>
      </c>
      <c r="X341">
        <v>1.1415525114155251E-4</v>
      </c>
      <c r="Y341">
        <v>1.6574265138519424E-5</v>
      </c>
      <c r="Z341" t="s">
        <v>1371</v>
      </c>
      <c r="AA341" t="s">
        <v>25</v>
      </c>
      <c r="AC341" t="s">
        <v>22</v>
      </c>
      <c r="AD341" t="s">
        <v>1371</v>
      </c>
      <c r="AE341">
        <v>7.8684910392096637E-5</v>
      </c>
      <c r="AG341" t="s">
        <v>97</v>
      </c>
      <c r="AH341" t="s">
        <v>1371</v>
      </c>
      <c r="AI341">
        <v>0</v>
      </c>
    </row>
    <row r="342" spans="5:35" x14ac:dyDescent="0.45">
      <c r="E342" t="s">
        <v>1076</v>
      </c>
      <c r="G342" t="s">
        <v>153</v>
      </c>
      <c r="I342" t="s">
        <v>236</v>
      </c>
      <c r="J342" t="s">
        <v>1372</v>
      </c>
      <c r="K342">
        <v>0</v>
      </c>
      <c r="L342" t="s">
        <v>238</v>
      </c>
      <c r="N342" t="s">
        <v>346</v>
      </c>
      <c r="O342" t="s">
        <v>1372</v>
      </c>
      <c r="P342">
        <v>9.6949417478529363E-5</v>
      </c>
      <c r="Q342" t="s">
        <v>238</v>
      </c>
      <c r="S342" t="s">
        <v>347</v>
      </c>
      <c r="T342" t="s">
        <v>1372</v>
      </c>
      <c r="U342">
        <v>1.6034526614000001E-4</v>
      </c>
      <c r="V342" t="s">
        <v>238</v>
      </c>
      <c r="X342">
        <v>1.1415525114155251E-4</v>
      </c>
      <c r="Y342">
        <v>1.4585353321897093E-5</v>
      </c>
      <c r="Z342" t="s">
        <v>1372</v>
      </c>
      <c r="AA342" t="s">
        <v>25</v>
      </c>
      <c r="AC342" t="s">
        <v>22</v>
      </c>
      <c r="AD342" t="s">
        <v>1372</v>
      </c>
      <c r="AE342">
        <v>7.8392550961141962E-5</v>
      </c>
      <c r="AG342" t="s">
        <v>97</v>
      </c>
      <c r="AH342" t="s">
        <v>1372</v>
      </c>
      <c r="AI342">
        <v>0</v>
      </c>
    </row>
    <row r="343" spans="5:35" x14ac:dyDescent="0.45">
      <c r="E343" t="s">
        <v>1077</v>
      </c>
      <c r="G343" t="s">
        <v>153</v>
      </c>
      <c r="I343" t="s">
        <v>236</v>
      </c>
      <c r="J343" t="s">
        <v>1373</v>
      </c>
      <c r="K343">
        <v>0</v>
      </c>
      <c r="L343" t="s">
        <v>238</v>
      </c>
      <c r="N343" t="s">
        <v>346</v>
      </c>
      <c r="O343" t="s">
        <v>1373</v>
      </c>
      <c r="P343">
        <v>1.113401475467E-4</v>
      </c>
      <c r="Q343" t="s">
        <v>238</v>
      </c>
      <c r="S343" t="s">
        <v>347</v>
      </c>
      <c r="T343" t="s">
        <v>1373</v>
      </c>
      <c r="U343">
        <v>1.8217961477470001E-4</v>
      </c>
      <c r="V343" t="s">
        <v>238</v>
      </c>
      <c r="X343">
        <v>1.1415525114155251E-4</v>
      </c>
      <c r="Y343">
        <v>2.1215059377304864E-5</v>
      </c>
      <c r="Z343" t="s">
        <v>1373</v>
      </c>
      <c r="AA343" t="s">
        <v>25</v>
      </c>
      <c r="AC343" t="s">
        <v>22</v>
      </c>
      <c r="AD343" t="s">
        <v>1373</v>
      </c>
      <c r="AE343">
        <v>7.9602116449993692E-5</v>
      </c>
      <c r="AG343" t="s">
        <v>97</v>
      </c>
      <c r="AH343" t="s">
        <v>1373</v>
      </c>
      <c r="AI343">
        <v>0</v>
      </c>
    </row>
    <row r="344" spans="5:35" x14ac:dyDescent="0.45">
      <c r="E344" t="s">
        <v>1078</v>
      </c>
      <c r="G344" t="s">
        <v>153</v>
      </c>
      <c r="I344" t="s">
        <v>236</v>
      </c>
      <c r="J344" t="s">
        <v>1374</v>
      </c>
      <c r="K344">
        <v>0</v>
      </c>
      <c r="L344" t="s">
        <v>238</v>
      </c>
      <c r="N344" t="s">
        <v>346</v>
      </c>
      <c r="O344" t="s">
        <v>1374</v>
      </c>
      <c r="P344">
        <v>1.30523958459E-4</v>
      </c>
      <c r="Q344" t="s">
        <v>238</v>
      </c>
      <c r="S344" t="s">
        <v>347</v>
      </c>
      <c r="T344" t="s">
        <v>1374</v>
      </c>
      <c r="U344">
        <v>1.9537481146970001E-4</v>
      </c>
      <c r="V344" t="s">
        <v>238</v>
      </c>
      <c r="X344">
        <v>1.1415525114155251E-4</v>
      </c>
      <c r="Y344">
        <v>5.7678442682047593E-5</v>
      </c>
      <c r="Z344" t="s">
        <v>1374</v>
      </c>
      <c r="AA344" t="s">
        <v>25</v>
      </c>
      <c r="AC344" t="s">
        <v>22</v>
      </c>
      <c r="AD344" t="s">
        <v>1374</v>
      </c>
      <c r="AE344">
        <v>8.378686908914905E-5</v>
      </c>
      <c r="AG344" t="s">
        <v>97</v>
      </c>
      <c r="AH344" t="s">
        <v>1374</v>
      </c>
      <c r="AI344">
        <v>0</v>
      </c>
    </row>
    <row r="345" spans="5:35" x14ac:dyDescent="0.45">
      <c r="E345" t="s">
        <v>1079</v>
      </c>
      <c r="G345" t="s">
        <v>153</v>
      </c>
      <c r="I345" t="s">
        <v>236</v>
      </c>
      <c r="J345" t="s">
        <v>1375</v>
      </c>
      <c r="K345">
        <v>0</v>
      </c>
      <c r="L345" t="s">
        <v>238</v>
      </c>
      <c r="N345" t="s">
        <v>346</v>
      </c>
      <c r="O345" t="s">
        <v>1375</v>
      </c>
      <c r="P345">
        <v>1.4898272236130001E-4</v>
      </c>
      <c r="Q345" t="s">
        <v>238</v>
      </c>
      <c r="S345" t="s">
        <v>347</v>
      </c>
      <c r="T345" t="s">
        <v>1375</v>
      </c>
      <c r="U345">
        <v>2.0413387829819999E-4</v>
      </c>
      <c r="V345" t="s">
        <v>238</v>
      </c>
      <c r="X345">
        <v>1.1415525114155251E-4</v>
      </c>
      <c r="Y345">
        <v>1.6905750441289813E-4</v>
      </c>
      <c r="Z345" t="s">
        <v>1375</v>
      </c>
      <c r="AA345" t="s">
        <v>25</v>
      </c>
      <c r="AC345" t="s">
        <v>22</v>
      </c>
      <c r="AD345" t="s">
        <v>1375</v>
      </c>
      <c r="AE345">
        <v>9.1474202361898816E-5</v>
      </c>
      <c r="AG345" t="s">
        <v>97</v>
      </c>
      <c r="AH345" t="s">
        <v>1375</v>
      </c>
      <c r="AI345">
        <v>0</v>
      </c>
    </row>
    <row r="346" spans="5:35" x14ac:dyDescent="0.45">
      <c r="E346" t="s">
        <v>1080</v>
      </c>
      <c r="G346" t="s">
        <v>153</v>
      </c>
      <c r="I346" t="s">
        <v>236</v>
      </c>
      <c r="J346" t="s">
        <v>1376</v>
      </c>
      <c r="K346">
        <v>0</v>
      </c>
      <c r="L346" t="s">
        <v>238</v>
      </c>
      <c r="N346" t="s">
        <v>346</v>
      </c>
      <c r="O346" t="s">
        <v>1376</v>
      </c>
      <c r="P346">
        <v>1.747604098644E-4</v>
      </c>
      <c r="Q346" t="s">
        <v>238</v>
      </c>
      <c r="S346" t="s">
        <v>347</v>
      </c>
      <c r="T346" t="s">
        <v>1376</v>
      </c>
      <c r="U346">
        <v>2.1154659535870001E-4</v>
      </c>
      <c r="V346" t="s">
        <v>238</v>
      </c>
      <c r="X346">
        <v>1.1415525114155251E-4</v>
      </c>
      <c r="Y346">
        <v>1.9060404909297337E-4</v>
      </c>
      <c r="Z346" t="s">
        <v>1376</v>
      </c>
      <c r="AA346" t="s">
        <v>25</v>
      </c>
      <c r="AC346" t="s">
        <v>22</v>
      </c>
      <c r="AD346" t="s">
        <v>1376</v>
      </c>
      <c r="AE346">
        <v>9.9820777488762068E-5</v>
      </c>
      <c r="AG346" t="s">
        <v>97</v>
      </c>
      <c r="AH346" t="s">
        <v>1376</v>
      </c>
      <c r="AI346">
        <v>0</v>
      </c>
    </row>
    <row r="347" spans="5:35" x14ac:dyDescent="0.45">
      <c r="E347" t="s">
        <v>226</v>
      </c>
      <c r="G347" t="s">
        <v>146</v>
      </c>
      <c r="I347" t="s">
        <v>236</v>
      </c>
      <c r="J347" t="s">
        <v>1377</v>
      </c>
      <c r="K347">
        <v>1.5436326931282233E-5</v>
      </c>
      <c r="L347" t="s">
        <v>238</v>
      </c>
      <c r="N347" t="s">
        <v>346</v>
      </c>
      <c r="O347" t="s">
        <v>1377</v>
      </c>
      <c r="P347">
        <v>1.9701656034079999E-4</v>
      </c>
      <c r="Q347" t="s">
        <v>238</v>
      </c>
      <c r="S347" t="s">
        <v>347</v>
      </c>
      <c r="T347" t="s">
        <v>1377</v>
      </c>
      <c r="U347">
        <v>2.157188084991E-4</v>
      </c>
      <c r="V347" t="s">
        <v>238</v>
      </c>
      <c r="X347">
        <v>1.1415525114155251E-4</v>
      </c>
      <c r="Y347">
        <v>1.4585353321897094E-4</v>
      </c>
      <c r="Z347" t="s">
        <v>1377</v>
      </c>
      <c r="AA347" t="s">
        <v>25</v>
      </c>
      <c r="AC347" t="s">
        <v>22</v>
      </c>
      <c r="AD347" t="s">
        <v>1377</v>
      </c>
      <c r="AE347">
        <v>1.1429543558995009E-4</v>
      </c>
      <c r="AG347" t="s">
        <v>97</v>
      </c>
      <c r="AH347" t="s">
        <v>1377</v>
      </c>
      <c r="AI347">
        <v>0</v>
      </c>
    </row>
    <row r="348" spans="5:35" x14ac:dyDescent="0.45">
      <c r="E348" t="s">
        <v>227</v>
      </c>
      <c r="G348" t="s">
        <v>146</v>
      </c>
      <c r="I348" t="s">
        <v>236</v>
      </c>
      <c r="J348" t="s">
        <v>1378</v>
      </c>
      <c r="K348">
        <v>3.682397176552096E-5</v>
      </c>
      <c r="L348" t="s">
        <v>238</v>
      </c>
      <c r="N348" t="s">
        <v>346</v>
      </c>
      <c r="O348" t="s">
        <v>1378</v>
      </c>
      <c r="P348">
        <v>2.162337008947E-4</v>
      </c>
      <c r="Q348" t="s">
        <v>238</v>
      </c>
      <c r="S348" t="s">
        <v>347</v>
      </c>
      <c r="T348" t="s">
        <v>1378</v>
      </c>
      <c r="U348">
        <v>2.1841385324490001E-4</v>
      </c>
      <c r="V348" t="s">
        <v>238</v>
      </c>
      <c r="X348">
        <v>1.1415525114155251E-4</v>
      </c>
      <c r="Y348">
        <v>1.4452759200788939E-4</v>
      </c>
      <c r="Z348" t="s">
        <v>1378</v>
      </c>
      <c r="AA348" t="s">
        <v>25</v>
      </c>
      <c r="AC348" t="s">
        <v>22</v>
      </c>
      <c r="AD348" t="s">
        <v>1378</v>
      </c>
      <c r="AE348">
        <v>1.2232958740334215E-4</v>
      </c>
      <c r="AG348" t="s">
        <v>97</v>
      </c>
      <c r="AH348" t="s">
        <v>1378</v>
      </c>
      <c r="AI348">
        <v>0</v>
      </c>
    </row>
    <row r="349" spans="5:35" x14ac:dyDescent="0.45">
      <c r="E349" t="s">
        <v>228</v>
      </c>
      <c r="G349" t="s">
        <v>146</v>
      </c>
      <c r="I349" t="s">
        <v>236</v>
      </c>
      <c r="J349" t="s">
        <v>1379</v>
      </c>
      <c r="K349">
        <v>7.2647765399190585E-5</v>
      </c>
      <c r="L349" t="s">
        <v>238</v>
      </c>
      <c r="N349" t="s">
        <v>346</v>
      </c>
      <c r="O349" t="s">
        <v>1379</v>
      </c>
      <c r="P349">
        <v>1.8075082464540001E-4</v>
      </c>
      <c r="Q349" t="s">
        <v>238</v>
      </c>
      <c r="S349" t="s">
        <v>347</v>
      </c>
      <c r="T349" t="s">
        <v>1379</v>
      </c>
      <c r="U349">
        <v>2.097775521182E-4</v>
      </c>
      <c r="V349" t="s">
        <v>238</v>
      </c>
      <c r="X349">
        <v>1.1415525114155251E-4</v>
      </c>
      <c r="Y349">
        <v>1.408812536774151E-4</v>
      </c>
      <c r="Z349" t="s">
        <v>1379</v>
      </c>
      <c r="AA349" t="s">
        <v>25</v>
      </c>
      <c r="AC349" t="s">
        <v>22</v>
      </c>
      <c r="AD349" t="s">
        <v>1379</v>
      </c>
      <c r="AE349">
        <v>1.1985886358488194E-4</v>
      </c>
      <c r="AG349" t="s">
        <v>97</v>
      </c>
      <c r="AH349" t="s">
        <v>1379</v>
      </c>
      <c r="AI349">
        <v>0</v>
      </c>
    </row>
    <row r="350" spans="5:35" x14ac:dyDescent="0.45">
      <c r="E350" t="s">
        <v>229</v>
      </c>
      <c r="G350" t="s">
        <v>146</v>
      </c>
      <c r="I350" t="s">
        <v>236</v>
      </c>
      <c r="J350" t="s">
        <v>1380</v>
      </c>
      <c r="K350">
        <v>8.111987470764893E-5</v>
      </c>
      <c r="L350" t="s">
        <v>238</v>
      </c>
      <c r="N350" t="s">
        <v>346</v>
      </c>
      <c r="O350" t="s">
        <v>1380</v>
      </c>
      <c r="P350">
        <v>1.7124643568559999E-4</v>
      </c>
      <c r="Q350" t="s">
        <v>238</v>
      </c>
      <c r="S350" t="s">
        <v>347</v>
      </c>
      <c r="T350" t="s">
        <v>1380</v>
      </c>
      <c r="U350">
        <v>2.040564191427E-4</v>
      </c>
      <c r="V350" t="s">
        <v>238</v>
      </c>
      <c r="X350">
        <v>1.1415525114155251E-4</v>
      </c>
      <c r="Y350">
        <v>1.4054976837464471E-4</v>
      </c>
      <c r="Z350" t="s">
        <v>1380</v>
      </c>
      <c r="AA350" t="s">
        <v>25</v>
      </c>
      <c r="AC350" t="s">
        <v>22</v>
      </c>
      <c r="AD350" t="s">
        <v>1380</v>
      </c>
      <c r="AE350">
        <v>1.1879834408043848E-4</v>
      </c>
      <c r="AG350" t="s">
        <v>97</v>
      </c>
      <c r="AH350" t="s">
        <v>1380</v>
      </c>
      <c r="AI350">
        <v>0</v>
      </c>
    </row>
    <row r="351" spans="5:35" x14ac:dyDescent="0.45">
      <c r="E351" t="s">
        <v>230</v>
      </c>
      <c r="G351" t="s">
        <v>146</v>
      </c>
      <c r="I351" t="s">
        <v>236</v>
      </c>
      <c r="J351" t="s">
        <v>1381</v>
      </c>
      <c r="K351">
        <v>9.2018772983737361E-5</v>
      </c>
      <c r="L351" t="s">
        <v>238</v>
      </c>
      <c r="N351" t="s">
        <v>346</v>
      </c>
      <c r="O351" t="s">
        <v>1381</v>
      </c>
      <c r="P351">
        <v>1.769111839025E-4</v>
      </c>
      <c r="Q351" t="s">
        <v>238</v>
      </c>
      <c r="S351" t="s">
        <v>347</v>
      </c>
      <c r="T351" t="s">
        <v>1381</v>
      </c>
      <c r="U351">
        <v>1.940776611509E-4</v>
      </c>
      <c r="V351" t="s">
        <v>238</v>
      </c>
      <c r="X351">
        <v>1.1415525114155251E-4</v>
      </c>
      <c r="Y351">
        <v>1.4253868019126702E-4</v>
      </c>
      <c r="Z351" t="s">
        <v>1381</v>
      </c>
      <c r="AA351" t="s">
        <v>25</v>
      </c>
      <c r="AC351" t="s">
        <v>22</v>
      </c>
      <c r="AD351" t="s">
        <v>1381</v>
      </c>
      <c r="AE351">
        <v>1.1902191305705085E-4</v>
      </c>
      <c r="AG351" t="s">
        <v>97</v>
      </c>
      <c r="AH351" t="s">
        <v>1381</v>
      </c>
      <c r="AI351">
        <v>0</v>
      </c>
    </row>
    <row r="352" spans="5:35" x14ac:dyDescent="0.45">
      <c r="E352" t="s">
        <v>231</v>
      </c>
      <c r="G352" t="s">
        <v>146</v>
      </c>
      <c r="I352" t="s">
        <v>236</v>
      </c>
      <c r="J352" t="s">
        <v>1382</v>
      </c>
      <c r="K352">
        <v>1.0385169008519999E-4</v>
      </c>
      <c r="L352" t="s">
        <v>238</v>
      </c>
      <c r="N352" t="s">
        <v>346</v>
      </c>
      <c r="O352" t="s">
        <v>1382</v>
      </c>
      <c r="P352">
        <v>1.804588947393E-4</v>
      </c>
      <c r="Q352" t="s">
        <v>238</v>
      </c>
      <c r="S352" t="s">
        <v>347</v>
      </c>
      <c r="T352" t="s">
        <v>1382</v>
      </c>
      <c r="U352">
        <v>1.8430014327999999E-4</v>
      </c>
      <c r="V352" t="s">
        <v>238</v>
      </c>
      <c r="X352">
        <v>1.1415525114155251E-4</v>
      </c>
      <c r="Y352">
        <v>1.4883690094390442E-4</v>
      </c>
      <c r="Z352" t="s">
        <v>1382</v>
      </c>
      <c r="AA352" t="s">
        <v>25</v>
      </c>
      <c r="AC352" t="s">
        <v>22</v>
      </c>
      <c r="AD352" t="s">
        <v>1382</v>
      </c>
      <c r="AE352">
        <v>1.1926554591617979E-4</v>
      </c>
      <c r="AG352" t="s">
        <v>97</v>
      </c>
      <c r="AH352" t="s">
        <v>1382</v>
      </c>
      <c r="AI352">
        <v>0</v>
      </c>
    </row>
    <row r="353" spans="5:35" x14ac:dyDescent="0.45">
      <c r="E353" t="s">
        <v>232</v>
      </c>
      <c r="G353" t="s">
        <v>146</v>
      </c>
      <c r="I353" t="s">
        <v>236</v>
      </c>
      <c r="J353" t="s">
        <v>1383</v>
      </c>
      <c r="K353">
        <v>7.5482809842819127E-5</v>
      </c>
      <c r="L353" t="s">
        <v>238</v>
      </c>
      <c r="N353" t="s">
        <v>346</v>
      </c>
      <c r="O353" t="s">
        <v>1383</v>
      </c>
      <c r="P353">
        <v>1.7054954675760001E-4</v>
      </c>
      <c r="Q353" t="s">
        <v>238</v>
      </c>
      <c r="S353" t="s">
        <v>347</v>
      </c>
      <c r="T353" t="s">
        <v>1383</v>
      </c>
      <c r="U353">
        <v>1.773443399236E-4</v>
      </c>
      <c r="V353" t="s">
        <v>238</v>
      </c>
      <c r="X353">
        <v>1.1415525114155251E-4</v>
      </c>
      <c r="Y353">
        <v>1.5049432745775637E-4</v>
      </c>
      <c r="Z353" t="s">
        <v>1383</v>
      </c>
      <c r="AA353" t="s">
        <v>25</v>
      </c>
      <c r="AC353" t="s">
        <v>22</v>
      </c>
      <c r="AD353" t="s">
        <v>1383</v>
      </c>
      <c r="AE353">
        <v>1.1926554591617979E-4</v>
      </c>
      <c r="AG353" t="s">
        <v>97</v>
      </c>
      <c r="AH353" t="s">
        <v>1383</v>
      </c>
      <c r="AI353">
        <v>0</v>
      </c>
    </row>
    <row r="354" spans="5:35" x14ac:dyDescent="0.45">
      <c r="E354" t="s">
        <v>233</v>
      </c>
      <c r="G354" t="s">
        <v>146</v>
      </c>
      <c r="I354" t="s">
        <v>236</v>
      </c>
      <c r="J354" t="s">
        <v>1384</v>
      </c>
      <c r="K354">
        <v>4.9172718507796679E-5</v>
      </c>
      <c r="L354" t="s">
        <v>238</v>
      </c>
      <c r="N354" t="s">
        <v>346</v>
      </c>
      <c r="O354" t="s">
        <v>1384</v>
      </c>
      <c r="P354">
        <v>1.52329626566E-4</v>
      </c>
      <c r="Q354" t="s">
        <v>238</v>
      </c>
      <c r="S354" t="s">
        <v>347</v>
      </c>
      <c r="T354" t="s">
        <v>1384</v>
      </c>
      <c r="U354">
        <v>1.6956957656930001E-4</v>
      </c>
      <c r="V354" t="s">
        <v>238</v>
      </c>
      <c r="X354">
        <v>1.1415525114155251E-4</v>
      </c>
      <c r="Y354">
        <v>1.7237235744060203E-4</v>
      </c>
      <c r="Z354" t="s">
        <v>1384</v>
      </c>
      <c r="AA354" t="s">
        <v>25</v>
      </c>
      <c r="AC354" t="s">
        <v>22</v>
      </c>
      <c r="AD354" t="s">
        <v>1384</v>
      </c>
      <c r="AE354">
        <v>1.2089645293787802E-4</v>
      </c>
      <c r="AG354" t="s">
        <v>97</v>
      </c>
      <c r="AH354" t="s">
        <v>1384</v>
      </c>
      <c r="AI354">
        <v>0</v>
      </c>
    </row>
    <row r="355" spans="5:35" x14ac:dyDescent="0.45">
      <c r="I355" t="s">
        <v>236</v>
      </c>
      <c r="J355" t="s">
        <v>1385</v>
      </c>
      <c r="K355">
        <v>1.6237275097735147E-5</v>
      </c>
      <c r="L355" t="s">
        <v>238</v>
      </c>
      <c r="N355" t="s">
        <v>346</v>
      </c>
      <c r="O355" t="s">
        <v>1385</v>
      </c>
      <c r="P355">
        <v>1.4189091291429999E-4</v>
      </c>
      <c r="Q355" t="s">
        <v>238</v>
      </c>
      <c r="S355" t="s">
        <v>347</v>
      </c>
      <c r="T355" t="s">
        <v>1385</v>
      </c>
      <c r="U355">
        <v>1.6214212992629999E-4</v>
      </c>
      <c r="V355" t="s">
        <v>238</v>
      </c>
      <c r="X355">
        <v>1.1415525114155251E-4</v>
      </c>
      <c r="Y355">
        <v>2.2209515285616027E-4</v>
      </c>
      <c r="Z355" t="s">
        <v>1385</v>
      </c>
      <c r="AA355" t="s">
        <v>25</v>
      </c>
      <c r="AC355" t="s">
        <v>22</v>
      </c>
      <c r="AD355" t="s">
        <v>1385</v>
      </c>
      <c r="AE355">
        <v>1.289105408687536E-4</v>
      </c>
      <c r="AG355" t="s">
        <v>97</v>
      </c>
      <c r="AH355" t="s">
        <v>1385</v>
      </c>
      <c r="AI355">
        <v>0</v>
      </c>
    </row>
    <row r="356" spans="5:35" x14ac:dyDescent="0.45">
      <c r="I356" t="s">
        <v>236</v>
      </c>
      <c r="J356" t="s">
        <v>1386</v>
      </c>
      <c r="K356">
        <v>0</v>
      </c>
      <c r="L356" t="s">
        <v>238</v>
      </c>
      <c r="N356" t="s">
        <v>346</v>
      </c>
      <c r="O356" t="s">
        <v>1386</v>
      </c>
      <c r="P356">
        <v>1.29955333085E-4</v>
      </c>
      <c r="Q356" t="s">
        <v>238</v>
      </c>
      <c r="S356" t="s">
        <v>347</v>
      </c>
      <c r="T356" t="s">
        <v>1386</v>
      </c>
      <c r="U356">
        <v>1.499249920341E-4</v>
      </c>
      <c r="V356" t="s">
        <v>238</v>
      </c>
      <c r="X356">
        <v>1.1415525114155251E-4</v>
      </c>
      <c r="Y356">
        <v>2.2209515285616027E-4</v>
      </c>
      <c r="Z356" t="s">
        <v>1386</v>
      </c>
      <c r="AA356" t="s">
        <v>25</v>
      </c>
      <c r="AC356" t="s">
        <v>22</v>
      </c>
      <c r="AD356" t="s">
        <v>1386</v>
      </c>
      <c r="AE356">
        <v>1.3070195895058378E-4</v>
      </c>
      <c r="AG356" t="s">
        <v>97</v>
      </c>
      <c r="AH356" t="s">
        <v>1386</v>
      </c>
      <c r="AI356">
        <v>0</v>
      </c>
    </row>
    <row r="357" spans="5:35" x14ac:dyDescent="0.45">
      <c r="I357" t="s">
        <v>236</v>
      </c>
      <c r="J357" t="s">
        <v>1387</v>
      </c>
      <c r="K357">
        <v>0</v>
      </c>
      <c r="L357" t="s">
        <v>238</v>
      </c>
      <c r="N357" t="s">
        <v>346</v>
      </c>
      <c r="O357" t="s">
        <v>1387</v>
      </c>
      <c r="P357">
        <v>1.1878303532959999E-4</v>
      </c>
      <c r="Q357" t="s">
        <v>238</v>
      </c>
      <c r="S357" t="s">
        <v>347</v>
      </c>
      <c r="T357" t="s">
        <v>1387</v>
      </c>
      <c r="U357">
        <v>1.3944770668989999E-4</v>
      </c>
      <c r="V357" t="s">
        <v>238</v>
      </c>
      <c r="X357">
        <v>1.1415525114155251E-4</v>
      </c>
      <c r="Y357">
        <v>1.7237235744060203E-4</v>
      </c>
      <c r="Z357" t="s">
        <v>1387</v>
      </c>
      <c r="AA357" t="s">
        <v>25</v>
      </c>
      <c r="AC357" t="s">
        <v>22</v>
      </c>
      <c r="AD357" t="s">
        <v>1387</v>
      </c>
      <c r="AE357">
        <v>1.3238732508196965E-4</v>
      </c>
      <c r="AG357" t="s">
        <v>97</v>
      </c>
      <c r="AH357" t="s">
        <v>1387</v>
      </c>
      <c r="AI357">
        <v>0</v>
      </c>
    </row>
    <row r="358" spans="5:35" x14ac:dyDescent="0.45">
      <c r="I358" t="s">
        <v>236</v>
      </c>
      <c r="J358" t="s">
        <v>1388</v>
      </c>
      <c r="K358">
        <v>0</v>
      </c>
      <c r="L358" t="s">
        <v>238</v>
      </c>
      <c r="N358" t="s">
        <v>346</v>
      </c>
      <c r="O358" t="s">
        <v>1388</v>
      </c>
      <c r="P358">
        <v>1.068739071016E-4</v>
      </c>
      <c r="Q358" t="s">
        <v>238</v>
      </c>
      <c r="S358" t="s">
        <v>347</v>
      </c>
      <c r="T358" t="s">
        <v>1388</v>
      </c>
      <c r="U358">
        <v>1.2957895267209999E-4</v>
      </c>
      <c r="V358" t="s">
        <v>238</v>
      </c>
      <c r="X358">
        <v>1.1415525114155251E-4</v>
      </c>
      <c r="Y358">
        <v>1.5579809230208258E-4</v>
      </c>
      <c r="Z358" t="s">
        <v>1388</v>
      </c>
      <c r="AA358" t="s">
        <v>25</v>
      </c>
      <c r="AC358" t="s">
        <v>22</v>
      </c>
      <c r="AD358" t="s">
        <v>1388</v>
      </c>
      <c r="AE358">
        <v>1.2963284063934752E-4</v>
      </c>
      <c r="AG358" t="s">
        <v>97</v>
      </c>
      <c r="AH358" t="s">
        <v>1388</v>
      </c>
      <c r="AI358">
        <v>0</v>
      </c>
    </row>
    <row r="359" spans="5:35" x14ac:dyDescent="0.45">
      <c r="I359" t="s">
        <v>236</v>
      </c>
      <c r="J359" t="s">
        <v>1389</v>
      </c>
      <c r="K359">
        <v>0</v>
      </c>
      <c r="L359" t="s">
        <v>238</v>
      </c>
      <c r="N359" t="s">
        <v>346</v>
      </c>
      <c r="O359" t="s">
        <v>1389</v>
      </c>
      <c r="P359">
        <v>9.5911844883579545E-5</v>
      </c>
      <c r="Q359" t="s">
        <v>238</v>
      </c>
      <c r="S359" t="s">
        <v>347</v>
      </c>
      <c r="T359" t="s">
        <v>1389</v>
      </c>
      <c r="U359">
        <v>1.276941627251E-4</v>
      </c>
      <c r="V359" t="s">
        <v>238</v>
      </c>
      <c r="X359">
        <v>1.1415525114155251E-4</v>
      </c>
      <c r="Y359">
        <v>1.093901499142282E-4</v>
      </c>
      <c r="Z359" t="s">
        <v>1389</v>
      </c>
      <c r="AA359" t="s">
        <v>25</v>
      </c>
      <c r="AC359" t="s">
        <v>22</v>
      </c>
      <c r="AD359" t="s">
        <v>1389</v>
      </c>
      <c r="AE359">
        <v>1.2504681034986224E-4</v>
      </c>
      <c r="AG359" t="s">
        <v>97</v>
      </c>
      <c r="AH359" t="s">
        <v>1389</v>
      </c>
      <c r="AI359">
        <v>0</v>
      </c>
    </row>
    <row r="360" spans="5:35" x14ac:dyDescent="0.45">
      <c r="I360" t="s">
        <v>236</v>
      </c>
      <c r="J360" t="s">
        <v>1390</v>
      </c>
      <c r="K360">
        <v>0</v>
      </c>
      <c r="L360" t="s">
        <v>238</v>
      </c>
      <c r="N360" t="s">
        <v>346</v>
      </c>
      <c r="O360" t="s">
        <v>1390</v>
      </c>
      <c r="P360">
        <v>8.9328346788407963E-5</v>
      </c>
      <c r="Q360" t="s">
        <v>238</v>
      </c>
      <c r="S360" t="s">
        <v>347</v>
      </c>
      <c r="T360" t="s">
        <v>1390</v>
      </c>
      <c r="U360">
        <v>1.32134799515E-4</v>
      </c>
      <c r="V360" t="s">
        <v>238</v>
      </c>
      <c r="X360">
        <v>1.1415525114155251E-4</v>
      </c>
      <c r="Y360">
        <v>7.9556472664893237E-5</v>
      </c>
      <c r="Z360" t="s">
        <v>1390</v>
      </c>
      <c r="AA360" t="s">
        <v>25</v>
      </c>
      <c r="AC360" t="s">
        <v>22</v>
      </c>
      <c r="AD360" t="s">
        <v>1390</v>
      </c>
      <c r="AE360">
        <v>1.1654545670072882E-4</v>
      </c>
      <c r="AG360" t="s">
        <v>97</v>
      </c>
      <c r="AH360" t="s">
        <v>1390</v>
      </c>
      <c r="AI360">
        <v>0</v>
      </c>
    </row>
    <row r="361" spans="5:35" x14ac:dyDescent="0.45">
      <c r="I361" t="s">
        <v>236</v>
      </c>
      <c r="J361" t="s">
        <v>1391</v>
      </c>
      <c r="K361">
        <v>0</v>
      </c>
      <c r="L361" t="s">
        <v>238</v>
      </c>
      <c r="N361" t="s">
        <v>346</v>
      </c>
      <c r="O361" t="s">
        <v>1391</v>
      </c>
      <c r="P361">
        <v>8.8074190122574216E-5</v>
      </c>
      <c r="Q361" t="s">
        <v>238</v>
      </c>
      <c r="S361" t="s">
        <v>347</v>
      </c>
      <c r="T361" t="s">
        <v>1391</v>
      </c>
      <c r="U361">
        <v>1.40133117335E-4</v>
      </c>
      <c r="V361" t="s">
        <v>238</v>
      </c>
      <c r="X361">
        <v>1.1415525114155251E-4</v>
      </c>
      <c r="Y361">
        <v>5.6352501470966035E-5</v>
      </c>
      <c r="Z361" t="s">
        <v>1391</v>
      </c>
      <c r="AA361" t="s">
        <v>25</v>
      </c>
      <c r="AC361" t="s">
        <v>22</v>
      </c>
      <c r="AD361" t="s">
        <v>1391</v>
      </c>
      <c r="AE361">
        <v>1.0865461833388314E-4</v>
      </c>
      <c r="AG361" t="s">
        <v>97</v>
      </c>
      <c r="AH361" t="s">
        <v>1391</v>
      </c>
      <c r="AI361">
        <v>0</v>
      </c>
    </row>
    <row r="362" spans="5:35" x14ac:dyDescent="0.45">
      <c r="I362" t="s">
        <v>236</v>
      </c>
      <c r="J362" t="s">
        <v>1392</v>
      </c>
      <c r="K362">
        <v>0</v>
      </c>
      <c r="L362" t="s">
        <v>238</v>
      </c>
      <c r="N362" t="s">
        <v>346</v>
      </c>
      <c r="O362" t="s">
        <v>1392</v>
      </c>
      <c r="P362">
        <v>9.1189591385565719E-5</v>
      </c>
      <c r="Q362" t="s">
        <v>238</v>
      </c>
      <c r="S362" t="s">
        <v>347</v>
      </c>
      <c r="T362" t="s">
        <v>1392</v>
      </c>
      <c r="U362">
        <v>1.5548224943000001E-4</v>
      </c>
      <c r="V362" t="s">
        <v>238</v>
      </c>
      <c r="X362">
        <v>1.1415525114155251E-4</v>
      </c>
      <c r="Y362">
        <v>2.9833677249334962E-5</v>
      </c>
      <c r="Z362" t="s">
        <v>1392</v>
      </c>
      <c r="AA362" t="s">
        <v>25</v>
      </c>
      <c r="AC362" t="s">
        <v>22</v>
      </c>
      <c r="AD362" t="s">
        <v>1392</v>
      </c>
      <c r="AE362">
        <v>9.3262754174798081E-5</v>
      </c>
      <c r="AG362" t="s">
        <v>97</v>
      </c>
      <c r="AH362" t="s">
        <v>1392</v>
      </c>
      <c r="AI362">
        <v>0</v>
      </c>
    </row>
    <row r="363" spans="5:35" x14ac:dyDescent="0.45">
      <c r="I363" t="s">
        <v>236</v>
      </c>
      <c r="J363" t="s">
        <v>1393</v>
      </c>
      <c r="K363">
        <v>0</v>
      </c>
      <c r="L363" t="s">
        <v>238</v>
      </c>
      <c r="N363" t="s">
        <v>346</v>
      </c>
      <c r="O363" t="s">
        <v>1393</v>
      </c>
      <c r="P363">
        <v>9.3198648506546679E-5</v>
      </c>
      <c r="Q363" t="s">
        <v>238</v>
      </c>
      <c r="S363" t="s">
        <v>347</v>
      </c>
      <c r="T363" t="s">
        <v>1393</v>
      </c>
      <c r="U363">
        <v>1.74113937194E-4</v>
      </c>
      <c r="V363" t="s">
        <v>238</v>
      </c>
      <c r="X363">
        <v>1.1415525114155251E-4</v>
      </c>
      <c r="Y363">
        <v>2.1546544680075254E-5</v>
      </c>
      <c r="Z363" t="s">
        <v>1393</v>
      </c>
      <c r="AA363" t="s">
        <v>25</v>
      </c>
      <c r="AC363" t="s">
        <v>22</v>
      </c>
      <c r="AD363" t="s">
        <v>1393</v>
      </c>
      <c r="AE363">
        <v>8.8605067162039557E-5</v>
      </c>
      <c r="AG363" t="s">
        <v>97</v>
      </c>
      <c r="AH363" t="s">
        <v>1393</v>
      </c>
      <c r="AI363">
        <v>0</v>
      </c>
    </row>
    <row r="364" spans="5:35" x14ac:dyDescent="0.45">
      <c r="I364" t="s">
        <v>236</v>
      </c>
      <c r="J364" t="s">
        <v>1394</v>
      </c>
      <c r="K364">
        <v>0</v>
      </c>
      <c r="L364" t="s">
        <v>238</v>
      </c>
      <c r="N364" t="s">
        <v>346</v>
      </c>
      <c r="O364" t="s">
        <v>1394</v>
      </c>
      <c r="P364">
        <v>9.3452686742232199E-5</v>
      </c>
      <c r="Q364" t="s">
        <v>238</v>
      </c>
      <c r="S364" t="s">
        <v>347</v>
      </c>
      <c r="T364" t="s">
        <v>1394</v>
      </c>
      <c r="U364">
        <v>1.814441809285E-4</v>
      </c>
      <c r="V364" t="s">
        <v>238</v>
      </c>
      <c r="X364">
        <v>1.1415525114155251E-4</v>
      </c>
      <c r="Y364">
        <v>1.4916838624667481E-5</v>
      </c>
      <c r="Z364" t="s">
        <v>1394</v>
      </c>
      <c r="AA364" t="s">
        <v>25</v>
      </c>
      <c r="AC364" t="s">
        <v>22</v>
      </c>
      <c r="AD364" t="s">
        <v>1394</v>
      </c>
      <c r="AE364">
        <v>8.7401234211049655E-5</v>
      </c>
      <c r="AG364" t="s">
        <v>97</v>
      </c>
      <c r="AH364" t="s">
        <v>1394</v>
      </c>
      <c r="AI364">
        <v>0</v>
      </c>
    </row>
    <row r="365" spans="5:35" x14ac:dyDescent="0.45">
      <c r="I365" t="s">
        <v>236</v>
      </c>
      <c r="J365" t="s">
        <v>1395</v>
      </c>
      <c r="K365">
        <v>0</v>
      </c>
      <c r="L365" t="s">
        <v>238</v>
      </c>
      <c r="N365" t="s">
        <v>346</v>
      </c>
      <c r="O365" t="s">
        <v>1395</v>
      </c>
      <c r="P365">
        <v>9.3300205829527038E-5</v>
      </c>
      <c r="Q365" t="s">
        <v>238</v>
      </c>
      <c r="S365" t="s">
        <v>347</v>
      </c>
      <c r="T365" t="s">
        <v>1395</v>
      </c>
      <c r="U365">
        <v>1.837194391703E-4</v>
      </c>
      <c r="V365" t="s">
        <v>238</v>
      </c>
      <c r="X365">
        <v>1.1415525114155251E-4</v>
      </c>
      <c r="Y365">
        <v>1.6574265138519424E-5</v>
      </c>
      <c r="Z365" t="s">
        <v>1395</v>
      </c>
      <c r="AA365" t="s">
        <v>25</v>
      </c>
      <c r="AC365" t="s">
        <v>22</v>
      </c>
      <c r="AD365" t="s">
        <v>1395</v>
      </c>
      <c r="AE365">
        <v>8.9513674413143829E-5</v>
      </c>
      <c r="AG365" t="s">
        <v>97</v>
      </c>
      <c r="AH365" t="s">
        <v>1395</v>
      </c>
      <c r="AI365">
        <v>0</v>
      </c>
    </row>
    <row r="366" spans="5:35" x14ac:dyDescent="0.45">
      <c r="I366" t="s">
        <v>236</v>
      </c>
      <c r="J366" t="s">
        <v>1396</v>
      </c>
      <c r="K366">
        <v>0</v>
      </c>
      <c r="L366" t="s">
        <v>238</v>
      </c>
      <c r="N366" t="s">
        <v>346</v>
      </c>
      <c r="O366" t="s">
        <v>1396</v>
      </c>
      <c r="P366">
        <v>9.6414341165524395E-5</v>
      </c>
      <c r="Q366" t="s">
        <v>238</v>
      </c>
      <c r="S366" t="s">
        <v>347</v>
      </c>
      <c r="T366" t="s">
        <v>1396</v>
      </c>
      <c r="U366">
        <v>1.8294912991449999E-4</v>
      </c>
      <c r="V366" t="s">
        <v>238</v>
      </c>
      <c r="X366">
        <v>1.1415525114155251E-4</v>
      </c>
      <c r="Y366">
        <v>1.4585353321897093E-5</v>
      </c>
      <c r="Z366" t="s">
        <v>1396</v>
      </c>
      <c r="AA366" t="s">
        <v>25</v>
      </c>
      <c r="AC366" t="s">
        <v>22</v>
      </c>
      <c r="AD366" t="s">
        <v>1396</v>
      </c>
      <c r="AE366">
        <v>8.9513674413143829E-5</v>
      </c>
      <c r="AG366" t="s">
        <v>97</v>
      </c>
      <c r="AH366" t="s">
        <v>1396</v>
      </c>
      <c r="AI366">
        <v>0</v>
      </c>
    </row>
    <row r="367" spans="5:35" x14ac:dyDescent="0.45">
      <c r="I367" t="s">
        <v>236</v>
      </c>
      <c r="J367" t="s">
        <v>1397</v>
      </c>
      <c r="K367">
        <v>0</v>
      </c>
      <c r="L367" t="s">
        <v>238</v>
      </c>
      <c r="N367" t="s">
        <v>346</v>
      </c>
      <c r="O367" t="s">
        <v>1397</v>
      </c>
      <c r="P367">
        <v>9.5433487336207704E-5</v>
      </c>
      <c r="Q367" t="s">
        <v>238</v>
      </c>
      <c r="S367" t="s">
        <v>347</v>
      </c>
      <c r="T367" t="s">
        <v>1397</v>
      </c>
      <c r="U367">
        <v>1.831038518281E-4</v>
      </c>
      <c r="V367" t="s">
        <v>238</v>
      </c>
      <c r="X367">
        <v>1.1415525114155251E-4</v>
      </c>
      <c r="Y367">
        <v>2.1215059377304864E-5</v>
      </c>
      <c r="Z367" t="s">
        <v>1397</v>
      </c>
      <c r="AA367" t="s">
        <v>25</v>
      </c>
      <c r="AC367" t="s">
        <v>22</v>
      </c>
      <c r="AD367" t="s">
        <v>1397</v>
      </c>
      <c r="AE367">
        <v>9.6169150870759401E-5</v>
      </c>
      <c r="AG367" t="s">
        <v>97</v>
      </c>
      <c r="AH367" t="s">
        <v>1397</v>
      </c>
      <c r="AI367">
        <v>0</v>
      </c>
    </row>
    <row r="368" spans="5:35" x14ac:dyDescent="0.45">
      <c r="I368" t="s">
        <v>236</v>
      </c>
      <c r="J368" t="s">
        <v>1398</v>
      </c>
      <c r="K368">
        <v>0</v>
      </c>
      <c r="L368" t="s">
        <v>238</v>
      </c>
      <c r="N368" t="s">
        <v>346</v>
      </c>
      <c r="O368" t="s">
        <v>1398</v>
      </c>
      <c r="P368">
        <v>9.1176661608242878E-5</v>
      </c>
      <c r="Q368" t="s">
        <v>238</v>
      </c>
      <c r="S368" t="s">
        <v>347</v>
      </c>
      <c r="T368" t="s">
        <v>1398</v>
      </c>
      <c r="U368">
        <v>1.792953893101E-4</v>
      </c>
      <c r="V368" t="s">
        <v>238</v>
      </c>
      <c r="X368">
        <v>1.1415525114155251E-4</v>
      </c>
      <c r="Y368">
        <v>5.7678442682047593E-5</v>
      </c>
      <c r="Z368" t="s">
        <v>1398</v>
      </c>
      <c r="AA368" t="s">
        <v>25</v>
      </c>
      <c r="AC368" t="s">
        <v>22</v>
      </c>
      <c r="AD368" t="s">
        <v>1398</v>
      </c>
      <c r="AE368">
        <v>1.243990335714724E-4</v>
      </c>
      <c r="AG368" t="s">
        <v>97</v>
      </c>
      <c r="AH368" t="s">
        <v>1398</v>
      </c>
      <c r="AI368">
        <v>0</v>
      </c>
    </row>
    <row r="369" spans="9:35" x14ac:dyDescent="0.45">
      <c r="I369" t="s">
        <v>236</v>
      </c>
      <c r="J369" t="s">
        <v>1399</v>
      </c>
      <c r="K369">
        <v>0</v>
      </c>
      <c r="L369" t="s">
        <v>238</v>
      </c>
      <c r="N369" t="s">
        <v>346</v>
      </c>
      <c r="O369" t="s">
        <v>1399</v>
      </c>
      <c r="P369">
        <v>8.6770141529286077E-5</v>
      </c>
      <c r="Q369" t="s">
        <v>238</v>
      </c>
      <c r="S369" t="s">
        <v>347</v>
      </c>
      <c r="T369" t="s">
        <v>1399</v>
      </c>
      <c r="U369">
        <v>1.7044025074560001E-4</v>
      </c>
      <c r="V369" t="s">
        <v>238</v>
      </c>
      <c r="X369">
        <v>1.1415525114155251E-4</v>
      </c>
      <c r="Y369">
        <v>1.6905750441289813E-4</v>
      </c>
      <c r="Z369" t="s">
        <v>1399</v>
      </c>
      <c r="AA369" t="s">
        <v>25</v>
      </c>
      <c r="AC369" t="s">
        <v>22</v>
      </c>
      <c r="AD369" t="s">
        <v>1399</v>
      </c>
      <c r="AE369">
        <v>1.4578999860299048E-4</v>
      </c>
      <c r="AG369" t="s">
        <v>97</v>
      </c>
      <c r="AH369" t="s">
        <v>1399</v>
      </c>
      <c r="AI369">
        <v>0</v>
      </c>
    </row>
    <row r="370" spans="9:35" x14ac:dyDescent="0.45">
      <c r="I370" t="s">
        <v>236</v>
      </c>
      <c r="J370" t="s">
        <v>1400</v>
      </c>
      <c r="K370">
        <v>0</v>
      </c>
      <c r="L370" t="s">
        <v>238</v>
      </c>
      <c r="N370" t="s">
        <v>346</v>
      </c>
      <c r="O370" t="s">
        <v>1400</v>
      </c>
      <c r="P370">
        <v>8.738483401820098E-5</v>
      </c>
      <c r="Q370" t="s">
        <v>238</v>
      </c>
      <c r="S370" t="s">
        <v>347</v>
      </c>
      <c r="T370" t="s">
        <v>1400</v>
      </c>
      <c r="U370">
        <v>1.613620660894E-4</v>
      </c>
      <c r="V370" t="s">
        <v>238</v>
      </c>
      <c r="X370">
        <v>1.1415525114155251E-4</v>
      </c>
      <c r="Y370">
        <v>1.9060404909297337E-4</v>
      </c>
      <c r="Z370" t="s">
        <v>1400</v>
      </c>
      <c r="AA370" t="s">
        <v>25</v>
      </c>
      <c r="AC370" t="s">
        <v>22</v>
      </c>
      <c r="AD370" t="s">
        <v>1400</v>
      </c>
      <c r="AE370">
        <v>1.4972538584515503E-4</v>
      </c>
      <c r="AG370" t="s">
        <v>97</v>
      </c>
      <c r="AH370" t="s">
        <v>1400</v>
      </c>
      <c r="AI370">
        <v>0</v>
      </c>
    </row>
    <row r="371" spans="9:35" x14ac:dyDescent="0.45">
      <c r="I371" t="s">
        <v>236</v>
      </c>
      <c r="J371" t="s">
        <v>1401</v>
      </c>
      <c r="K371">
        <v>1.1057073574600001E-4</v>
      </c>
      <c r="L371" t="s">
        <v>238</v>
      </c>
      <c r="N371" t="s">
        <v>346</v>
      </c>
      <c r="O371" t="s">
        <v>1401</v>
      </c>
      <c r="P371">
        <v>9.0802914514515658E-5</v>
      </c>
      <c r="Q371" t="s">
        <v>238</v>
      </c>
      <c r="S371" t="s">
        <v>347</v>
      </c>
      <c r="T371" t="s">
        <v>1401</v>
      </c>
      <c r="U371">
        <v>1.5156298341990001E-4</v>
      </c>
      <c r="V371" t="s">
        <v>238</v>
      </c>
      <c r="X371">
        <v>1.1415525114155251E-4</v>
      </c>
      <c r="Y371">
        <v>1.4585353321897094E-4</v>
      </c>
      <c r="Z371" t="s">
        <v>1401</v>
      </c>
      <c r="AA371" t="s">
        <v>25</v>
      </c>
      <c r="AC371" t="s">
        <v>22</v>
      </c>
      <c r="AD371" t="s">
        <v>1401</v>
      </c>
      <c r="AE371">
        <v>1.5382415041638255E-4</v>
      </c>
      <c r="AG371" t="s">
        <v>97</v>
      </c>
      <c r="AH371" t="s">
        <v>1401</v>
      </c>
      <c r="AI371">
        <v>0</v>
      </c>
    </row>
    <row r="372" spans="9:35" x14ac:dyDescent="0.45">
      <c r="I372" t="s">
        <v>236</v>
      </c>
      <c r="J372" t="s">
        <v>1402</v>
      </c>
      <c r="K372">
        <v>2.379186052218E-4</v>
      </c>
      <c r="L372" t="s">
        <v>238</v>
      </c>
      <c r="N372" t="s">
        <v>346</v>
      </c>
      <c r="O372" t="s">
        <v>1402</v>
      </c>
      <c r="P372">
        <v>9.0053517946262187E-5</v>
      </c>
      <c r="Q372" t="s">
        <v>238</v>
      </c>
      <c r="S372" t="s">
        <v>347</v>
      </c>
      <c r="T372" t="s">
        <v>1402</v>
      </c>
      <c r="U372">
        <v>1.4223884126330001E-4</v>
      </c>
      <c r="V372" t="s">
        <v>238</v>
      </c>
      <c r="X372">
        <v>1.1415525114155251E-4</v>
      </c>
      <c r="Y372">
        <v>1.4452759200788939E-4</v>
      </c>
      <c r="Z372" t="s">
        <v>1402</v>
      </c>
      <c r="AA372" t="s">
        <v>25</v>
      </c>
      <c r="AC372" t="s">
        <v>22</v>
      </c>
      <c r="AD372" t="s">
        <v>1402</v>
      </c>
      <c r="AE372">
        <v>1.5692545339964699E-4</v>
      </c>
      <c r="AG372" t="s">
        <v>97</v>
      </c>
      <c r="AH372" t="s">
        <v>1402</v>
      </c>
      <c r="AI372">
        <v>0</v>
      </c>
    </row>
    <row r="373" spans="9:35" x14ac:dyDescent="0.45">
      <c r="I373" t="s">
        <v>236</v>
      </c>
      <c r="J373" t="s">
        <v>1403</v>
      </c>
      <c r="K373">
        <v>2.9185790728719998E-4</v>
      </c>
      <c r="L373" t="s">
        <v>238</v>
      </c>
      <c r="N373" t="s">
        <v>346</v>
      </c>
      <c r="O373" t="s">
        <v>1403</v>
      </c>
      <c r="P373">
        <v>8.993564053470786E-5</v>
      </c>
      <c r="Q373" t="s">
        <v>238</v>
      </c>
      <c r="S373" t="s">
        <v>347</v>
      </c>
      <c r="T373" t="s">
        <v>1403</v>
      </c>
      <c r="U373">
        <v>1.481269348529E-4</v>
      </c>
      <c r="V373" t="s">
        <v>238</v>
      </c>
      <c r="X373">
        <v>1.1415525114155251E-4</v>
      </c>
      <c r="Y373">
        <v>1.408812536774151E-4</v>
      </c>
      <c r="Z373" t="s">
        <v>1403</v>
      </c>
      <c r="AA373" t="s">
        <v>25</v>
      </c>
      <c r="AC373" t="s">
        <v>22</v>
      </c>
      <c r="AD373" t="s">
        <v>1403</v>
      </c>
      <c r="AE373">
        <v>1.5437447405112077E-4</v>
      </c>
      <c r="AG373" t="s">
        <v>97</v>
      </c>
      <c r="AH373" t="s">
        <v>1403</v>
      </c>
      <c r="AI373">
        <v>0</v>
      </c>
    </row>
    <row r="374" spans="9:35" x14ac:dyDescent="0.45">
      <c r="I374" t="s">
        <v>236</v>
      </c>
      <c r="J374" t="s">
        <v>1404</v>
      </c>
      <c r="K374">
        <v>2.8197302729940002E-4</v>
      </c>
      <c r="L374" t="s">
        <v>238</v>
      </c>
      <c r="N374" t="s">
        <v>346</v>
      </c>
      <c r="O374" t="s">
        <v>1404</v>
      </c>
      <c r="P374">
        <v>8.3068887807935388E-5</v>
      </c>
      <c r="Q374" t="s">
        <v>238</v>
      </c>
      <c r="S374" t="s">
        <v>347</v>
      </c>
      <c r="T374" t="s">
        <v>1404</v>
      </c>
      <c r="U374">
        <v>1.30057020667E-4</v>
      </c>
      <c r="V374" t="s">
        <v>238</v>
      </c>
      <c r="X374">
        <v>1.1415525114155251E-4</v>
      </c>
      <c r="Y374">
        <v>1.4054976837464471E-4</v>
      </c>
      <c r="Z374" t="s">
        <v>1404</v>
      </c>
      <c r="AA374" t="s">
        <v>25</v>
      </c>
      <c r="AC374" t="s">
        <v>22</v>
      </c>
      <c r="AD374" t="s">
        <v>1404</v>
      </c>
      <c r="AE374">
        <v>1.5138208928723162E-4</v>
      </c>
      <c r="AG374" t="s">
        <v>97</v>
      </c>
      <c r="AH374" t="s">
        <v>1404</v>
      </c>
      <c r="AI374">
        <v>0</v>
      </c>
    </row>
    <row r="375" spans="9:35" x14ac:dyDescent="0.45">
      <c r="I375" t="s">
        <v>236</v>
      </c>
      <c r="J375" t="s">
        <v>1405</v>
      </c>
      <c r="K375">
        <v>2.235081912374E-4</v>
      </c>
      <c r="L375" t="s">
        <v>238</v>
      </c>
      <c r="N375" t="s">
        <v>346</v>
      </c>
      <c r="O375" t="s">
        <v>1405</v>
      </c>
      <c r="P375">
        <v>9.4258803589276425E-5</v>
      </c>
      <c r="Q375" t="s">
        <v>238</v>
      </c>
      <c r="S375" t="s">
        <v>347</v>
      </c>
      <c r="T375" t="s">
        <v>1405</v>
      </c>
      <c r="U375">
        <v>1.176734248323E-4</v>
      </c>
      <c r="V375" t="s">
        <v>238</v>
      </c>
      <c r="X375">
        <v>1.1415525114155251E-4</v>
      </c>
      <c r="Y375">
        <v>1.4253868019126702E-4</v>
      </c>
      <c r="Z375" t="s">
        <v>1405</v>
      </c>
      <c r="AA375" t="s">
        <v>25</v>
      </c>
      <c r="AC375" t="s">
        <v>22</v>
      </c>
      <c r="AD375" t="s">
        <v>1405</v>
      </c>
      <c r="AE375">
        <v>1.5078877161852947E-4</v>
      </c>
      <c r="AG375" t="s">
        <v>97</v>
      </c>
      <c r="AH375" t="s">
        <v>1405</v>
      </c>
      <c r="AI375">
        <v>0</v>
      </c>
    </row>
    <row r="376" spans="9:35" x14ac:dyDescent="0.45">
      <c r="I376" t="s">
        <v>236</v>
      </c>
      <c r="J376" t="s">
        <v>1406</v>
      </c>
      <c r="K376">
        <v>2.4262575725079999E-4</v>
      </c>
      <c r="L376" t="s">
        <v>238</v>
      </c>
      <c r="N376" t="s">
        <v>346</v>
      </c>
      <c r="O376" t="s">
        <v>1406</v>
      </c>
      <c r="P376">
        <v>1.058369019128E-4</v>
      </c>
      <c r="Q376" t="s">
        <v>238</v>
      </c>
      <c r="S376" t="s">
        <v>347</v>
      </c>
      <c r="T376" t="s">
        <v>1406</v>
      </c>
      <c r="U376">
        <v>1.043302750053E-4</v>
      </c>
      <c r="V376" t="s">
        <v>238</v>
      </c>
      <c r="X376">
        <v>1.1415525114155251E-4</v>
      </c>
      <c r="Y376">
        <v>1.4883690094390442E-4</v>
      </c>
      <c r="Z376" t="s">
        <v>1406</v>
      </c>
      <c r="AA376" t="s">
        <v>25</v>
      </c>
      <c r="AC376" t="s">
        <v>22</v>
      </c>
      <c r="AD376" t="s">
        <v>1406</v>
      </c>
      <c r="AE376">
        <v>1.5041329038857786E-4</v>
      </c>
      <c r="AG376" t="s">
        <v>97</v>
      </c>
      <c r="AH376" t="s">
        <v>1406</v>
      </c>
      <c r="AI376">
        <v>0</v>
      </c>
    </row>
    <row r="377" spans="9:35" x14ac:dyDescent="0.45">
      <c r="I377" t="s">
        <v>236</v>
      </c>
      <c r="J377" t="s">
        <v>1407</v>
      </c>
      <c r="K377">
        <v>2.2521288248769999E-4</v>
      </c>
      <c r="L377" t="s">
        <v>238</v>
      </c>
      <c r="N377" t="s">
        <v>346</v>
      </c>
      <c r="O377" t="s">
        <v>1407</v>
      </c>
      <c r="P377">
        <v>1.193876152349E-4</v>
      </c>
      <c r="Q377" t="s">
        <v>238</v>
      </c>
      <c r="S377" t="s">
        <v>347</v>
      </c>
      <c r="T377" t="s">
        <v>1407</v>
      </c>
      <c r="U377">
        <v>9.01040618550981E-5</v>
      </c>
      <c r="V377" t="s">
        <v>238</v>
      </c>
      <c r="X377">
        <v>1.1415525114155251E-4</v>
      </c>
      <c r="Y377">
        <v>1.5049432745775637E-4</v>
      </c>
      <c r="Z377" t="s">
        <v>1407</v>
      </c>
      <c r="AA377" t="s">
        <v>25</v>
      </c>
      <c r="AC377" t="s">
        <v>22</v>
      </c>
      <c r="AD377" t="s">
        <v>1407</v>
      </c>
      <c r="AE377">
        <v>1.5078877161852947E-4</v>
      </c>
      <c r="AG377" t="s">
        <v>97</v>
      </c>
      <c r="AH377" t="s">
        <v>1407</v>
      </c>
      <c r="AI377">
        <v>0</v>
      </c>
    </row>
    <row r="378" spans="9:35" x14ac:dyDescent="0.45">
      <c r="I378" t="s">
        <v>236</v>
      </c>
      <c r="J378" t="s">
        <v>1408</v>
      </c>
      <c r="K378">
        <v>1.4320717404049999E-4</v>
      </c>
      <c r="L378" t="s">
        <v>238</v>
      </c>
      <c r="N378" t="s">
        <v>346</v>
      </c>
      <c r="O378" t="s">
        <v>1408</v>
      </c>
      <c r="P378">
        <v>1.2698982503460001E-4</v>
      </c>
      <c r="Q378" t="s">
        <v>238</v>
      </c>
      <c r="S378" t="s">
        <v>347</v>
      </c>
      <c r="T378" t="s">
        <v>1408</v>
      </c>
      <c r="U378">
        <v>7.7938060873794407E-5</v>
      </c>
      <c r="V378" t="s">
        <v>238</v>
      </c>
      <c r="X378">
        <v>1.1415525114155251E-4</v>
      </c>
      <c r="Y378">
        <v>1.7237235744060203E-4</v>
      </c>
      <c r="Z378" t="s">
        <v>1408</v>
      </c>
      <c r="AA378" t="s">
        <v>25</v>
      </c>
      <c r="AC378" t="s">
        <v>22</v>
      </c>
      <c r="AD378" t="s">
        <v>1408</v>
      </c>
      <c r="AE378">
        <v>1.5222190608399363E-4</v>
      </c>
      <c r="AG378" t="s">
        <v>97</v>
      </c>
      <c r="AH378" t="s">
        <v>1408</v>
      </c>
      <c r="AI378">
        <v>0</v>
      </c>
    </row>
    <row r="379" spans="9:35" x14ac:dyDescent="0.45">
      <c r="I379" t="s">
        <v>236</v>
      </c>
      <c r="J379" t="s">
        <v>1409</v>
      </c>
      <c r="K379">
        <v>5.2377220131615488E-5</v>
      </c>
      <c r="L379" t="s">
        <v>238</v>
      </c>
      <c r="N379" t="s">
        <v>346</v>
      </c>
      <c r="O379" t="s">
        <v>1409</v>
      </c>
      <c r="P379">
        <v>1.3016171224469999E-4</v>
      </c>
      <c r="Q379" t="s">
        <v>238</v>
      </c>
      <c r="S379" t="s">
        <v>347</v>
      </c>
      <c r="T379" t="s">
        <v>1409</v>
      </c>
      <c r="U379">
        <v>7.2262380338682675E-5</v>
      </c>
      <c r="V379" t="s">
        <v>238</v>
      </c>
      <c r="X379">
        <v>1.1415525114155251E-4</v>
      </c>
      <c r="Y379">
        <v>2.2209515285616027E-4</v>
      </c>
      <c r="Z379" t="s">
        <v>1409</v>
      </c>
      <c r="AA379" t="s">
        <v>25</v>
      </c>
      <c r="AC379" t="s">
        <v>22</v>
      </c>
      <c r="AD379" t="s">
        <v>1409</v>
      </c>
      <c r="AE379">
        <v>1.5570728910400245E-4</v>
      </c>
      <c r="AG379" t="s">
        <v>97</v>
      </c>
      <c r="AH379" t="s">
        <v>1409</v>
      </c>
      <c r="AI379">
        <v>0</v>
      </c>
    </row>
    <row r="380" spans="9:35" x14ac:dyDescent="0.45">
      <c r="I380" t="s">
        <v>236</v>
      </c>
      <c r="J380" t="s">
        <v>1410</v>
      </c>
      <c r="K380">
        <v>0</v>
      </c>
      <c r="L380" t="s">
        <v>238</v>
      </c>
      <c r="N380" t="s">
        <v>346</v>
      </c>
      <c r="O380" t="s">
        <v>1410</v>
      </c>
      <c r="P380">
        <v>1.2403777006119999E-4</v>
      </c>
      <c r="Q380" t="s">
        <v>238</v>
      </c>
      <c r="S380" t="s">
        <v>347</v>
      </c>
      <c r="T380" t="s">
        <v>1410</v>
      </c>
      <c r="U380">
        <v>6.7750466437872328E-5</v>
      </c>
      <c r="V380" t="s">
        <v>238</v>
      </c>
      <c r="X380">
        <v>1.1415525114155251E-4</v>
      </c>
      <c r="Y380">
        <v>2.2209515285616027E-4</v>
      </c>
      <c r="Z380" t="s">
        <v>1410</v>
      </c>
      <c r="AA380" t="s">
        <v>25</v>
      </c>
      <c r="AC380" t="s">
        <v>22</v>
      </c>
      <c r="AD380" t="s">
        <v>1410</v>
      </c>
      <c r="AE380">
        <v>1.5641239126101082E-4</v>
      </c>
      <c r="AG380" t="s">
        <v>97</v>
      </c>
      <c r="AH380" t="s">
        <v>1410</v>
      </c>
      <c r="AI380">
        <v>0</v>
      </c>
    </row>
    <row r="381" spans="9:35" x14ac:dyDescent="0.45">
      <c r="I381" t="s">
        <v>236</v>
      </c>
      <c r="J381" t="s">
        <v>1411</v>
      </c>
      <c r="K381">
        <v>0</v>
      </c>
      <c r="L381" t="s">
        <v>238</v>
      </c>
      <c r="N381" t="s">
        <v>346</v>
      </c>
      <c r="O381" t="s">
        <v>1411</v>
      </c>
      <c r="P381">
        <v>1.146655128169E-4</v>
      </c>
      <c r="Q381" t="s">
        <v>238</v>
      </c>
      <c r="S381" t="s">
        <v>347</v>
      </c>
      <c r="T381" t="s">
        <v>1411</v>
      </c>
      <c r="U381">
        <v>6.2673715666953272E-5</v>
      </c>
      <c r="V381" t="s">
        <v>238</v>
      </c>
      <c r="X381">
        <v>1.1415525114155251E-4</v>
      </c>
      <c r="Y381">
        <v>1.7237235744060203E-4</v>
      </c>
      <c r="Z381" t="s">
        <v>1411</v>
      </c>
      <c r="AA381" t="s">
        <v>25</v>
      </c>
      <c r="AC381" t="s">
        <v>22</v>
      </c>
      <c r="AD381" t="s">
        <v>1411</v>
      </c>
      <c r="AE381">
        <v>1.5752450360621099E-4</v>
      </c>
      <c r="AG381" t="s">
        <v>97</v>
      </c>
      <c r="AH381" t="s">
        <v>1411</v>
      </c>
      <c r="AI381">
        <v>0</v>
      </c>
    </row>
    <row r="382" spans="9:35" x14ac:dyDescent="0.45">
      <c r="I382" t="s">
        <v>236</v>
      </c>
      <c r="J382" t="s">
        <v>1412</v>
      </c>
      <c r="K382">
        <v>0</v>
      </c>
      <c r="L382" t="s">
        <v>238</v>
      </c>
      <c r="N382" t="s">
        <v>346</v>
      </c>
      <c r="O382" t="s">
        <v>1412</v>
      </c>
      <c r="P382">
        <v>1.0310844289249999E-4</v>
      </c>
      <c r="Q382" t="s">
        <v>238</v>
      </c>
      <c r="S382" t="s">
        <v>347</v>
      </c>
      <c r="T382" t="s">
        <v>1412</v>
      </c>
      <c r="U382">
        <v>5.5077327796354643E-5</v>
      </c>
      <c r="V382" t="s">
        <v>238</v>
      </c>
      <c r="X382">
        <v>1.1415525114155251E-4</v>
      </c>
      <c r="Y382">
        <v>1.5579809230208258E-4</v>
      </c>
      <c r="Z382" t="s">
        <v>1412</v>
      </c>
      <c r="AA382" t="s">
        <v>25</v>
      </c>
      <c r="AC382" t="s">
        <v>22</v>
      </c>
      <c r="AD382" t="s">
        <v>1412</v>
      </c>
      <c r="AE382">
        <v>1.5096074775438514E-4</v>
      </c>
      <c r="AG382" t="s">
        <v>97</v>
      </c>
      <c r="AH382" t="s">
        <v>1412</v>
      </c>
      <c r="AI382">
        <v>0</v>
      </c>
    </row>
    <row r="383" spans="9:35" x14ac:dyDescent="0.45">
      <c r="I383" t="s">
        <v>236</v>
      </c>
      <c r="J383" t="s">
        <v>1413</v>
      </c>
      <c r="K383">
        <v>0</v>
      </c>
      <c r="L383" t="s">
        <v>238</v>
      </c>
      <c r="N383" t="s">
        <v>346</v>
      </c>
      <c r="O383" t="s">
        <v>1413</v>
      </c>
      <c r="P383">
        <v>9.3098462707034006E-5</v>
      </c>
      <c r="Q383" t="s">
        <v>238</v>
      </c>
      <c r="S383" t="s">
        <v>347</v>
      </c>
      <c r="T383" t="s">
        <v>1413</v>
      </c>
      <c r="U383">
        <v>5.1401829191673553E-5</v>
      </c>
      <c r="V383" t="s">
        <v>238</v>
      </c>
      <c r="X383">
        <v>1.1415525114155251E-4</v>
      </c>
      <c r="Y383">
        <v>1.093901499142282E-4</v>
      </c>
      <c r="Z383" t="s">
        <v>1413</v>
      </c>
      <c r="AA383" t="s">
        <v>25</v>
      </c>
      <c r="AC383" t="s">
        <v>22</v>
      </c>
      <c r="AD383" t="s">
        <v>1413</v>
      </c>
      <c r="AE383">
        <v>1.417026991074867E-4</v>
      </c>
      <c r="AG383" t="s">
        <v>97</v>
      </c>
      <c r="AH383" t="s">
        <v>1413</v>
      </c>
      <c r="AI383">
        <v>0</v>
      </c>
    </row>
    <row r="384" spans="9:35" x14ac:dyDescent="0.45">
      <c r="I384" t="s">
        <v>236</v>
      </c>
      <c r="J384" t="s">
        <v>1414</v>
      </c>
      <c r="K384">
        <v>0</v>
      </c>
      <c r="L384" t="s">
        <v>238</v>
      </c>
      <c r="N384" t="s">
        <v>346</v>
      </c>
      <c r="O384" t="s">
        <v>1414</v>
      </c>
      <c r="P384">
        <v>8.5311858626268091E-5</v>
      </c>
      <c r="Q384" t="s">
        <v>238</v>
      </c>
      <c r="S384" t="s">
        <v>347</v>
      </c>
      <c r="T384" t="s">
        <v>1414</v>
      </c>
      <c r="U384">
        <v>4.9519846031971691E-5</v>
      </c>
      <c r="V384" t="s">
        <v>238</v>
      </c>
      <c r="X384">
        <v>1.1415525114155251E-4</v>
      </c>
      <c r="Y384">
        <v>7.9556472664893237E-5</v>
      </c>
      <c r="Z384" t="s">
        <v>1414</v>
      </c>
      <c r="AA384" t="s">
        <v>25</v>
      </c>
      <c r="AC384" t="s">
        <v>22</v>
      </c>
      <c r="AD384" t="s">
        <v>1414</v>
      </c>
      <c r="AE384">
        <v>1.3061883715158686E-4</v>
      </c>
      <c r="AG384" t="s">
        <v>97</v>
      </c>
      <c r="AH384" t="s">
        <v>1414</v>
      </c>
      <c r="AI384">
        <v>0</v>
      </c>
    </row>
    <row r="385" spans="9:35" x14ac:dyDescent="0.45">
      <c r="I385" t="s">
        <v>236</v>
      </c>
      <c r="J385" t="s">
        <v>1415</v>
      </c>
      <c r="K385">
        <v>0</v>
      </c>
      <c r="L385" t="s">
        <v>238</v>
      </c>
      <c r="N385" t="s">
        <v>346</v>
      </c>
      <c r="O385" t="s">
        <v>1415</v>
      </c>
      <c r="P385">
        <v>8.891786113763119E-5</v>
      </c>
      <c r="Q385" t="s">
        <v>238</v>
      </c>
      <c r="S385" t="s">
        <v>347</v>
      </c>
      <c r="T385" t="s">
        <v>1415</v>
      </c>
      <c r="U385">
        <v>4.5746748298555314E-5</v>
      </c>
      <c r="V385" t="s">
        <v>238</v>
      </c>
      <c r="X385">
        <v>1.1415525114155251E-4</v>
      </c>
      <c r="Y385">
        <v>5.6352501470966035E-5</v>
      </c>
      <c r="Z385" t="s">
        <v>1415</v>
      </c>
      <c r="AA385" t="s">
        <v>25</v>
      </c>
      <c r="AC385" t="s">
        <v>22</v>
      </c>
      <c r="AD385" t="s">
        <v>1415</v>
      </c>
      <c r="AE385">
        <v>1.195808354985819E-4</v>
      </c>
      <c r="AG385" t="s">
        <v>97</v>
      </c>
      <c r="AH385" t="s">
        <v>1415</v>
      </c>
      <c r="AI385">
        <v>0</v>
      </c>
    </row>
    <row r="386" spans="9:35" x14ac:dyDescent="0.45">
      <c r="I386" t="s">
        <v>236</v>
      </c>
      <c r="J386" t="s">
        <v>1416</v>
      </c>
      <c r="K386">
        <v>0</v>
      </c>
      <c r="L386" t="s">
        <v>238</v>
      </c>
      <c r="N386" t="s">
        <v>346</v>
      </c>
      <c r="O386" t="s">
        <v>1416</v>
      </c>
      <c r="P386">
        <v>8.0672656427338378E-5</v>
      </c>
      <c r="Q386" t="s">
        <v>238</v>
      </c>
      <c r="S386" t="s">
        <v>347</v>
      </c>
      <c r="T386" t="s">
        <v>1416</v>
      </c>
      <c r="U386">
        <v>4.3952013897158959E-5</v>
      </c>
      <c r="V386" t="s">
        <v>238</v>
      </c>
      <c r="X386">
        <v>1.1415525114155251E-4</v>
      </c>
      <c r="Y386">
        <v>2.9833677249334962E-5</v>
      </c>
      <c r="Z386" t="s">
        <v>1416</v>
      </c>
      <c r="AA386" t="s">
        <v>25</v>
      </c>
      <c r="AC386" t="s">
        <v>22</v>
      </c>
      <c r="AD386" t="s">
        <v>1416</v>
      </c>
      <c r="AE386">
        <v>9.6358324620200676E-5</v>
      </c>
      <c r="AG386" t="s">
        <v>97</v>
      </c>
      <c r="AH386" t="s">
        <v>1416</v>
      </c>
      <c r="AI386">
        <v>0</v>
      </c>
    </row>
    <row r="387" spans="9:35" x14ac:dyDescent="0.45">
      <c r="I387" t="s">
        <v>236</v>
      </c>
      <c r="J387" t="s">
        <v>735</v>
      </c>
      <c r="K387">
        <v>0</v>
      </c>
      <c r="L387" t="s">
        <v>238</v>
      </c>
      <c r="N387" t="s">
        <v>346</v>
      </c>
      <c r="O387" t="s">
        <v>735</v>
      </c>
      <c r="P387">
        <v>3.2736869650750684E-2</v>
      </c>
      <c r="Q387" t="s">
        <v>238</v>
      </c>
      <c r="S387" t="s">
        <v>347</v>
      </c>
      <c r="T387" t="s">
        <v>735</v>
      </c>
      <c r="U387">
        <v>3.0780194376606354E-2</v>
      </c>
      <c r="V387" t="s">
        <v>238</v>
      </c>
      <c r="X387">
        <v>2.1232876712328767E-2</v>
      </c>
      <c r="Y387">
        <v>4.5420116185598634E-3</v>
      </c>
      <c r="Z387" t="s">
        <v>735</v>
      </c>
      <c r="AA387" t="s">
        <v>25</v>
      </c>
      <c r="AC387" t="s">
        <v>22</v>
      </c>
      <c r="AD387" t="s">
        <v>735</v>
      </c>
      <c r="AE387">
        <v>1.6670392473391051E-2</v>
      </c>
      <c r="AG387" t="s">
        <v>97</v>
      </c>
      <c r="AH387" t="s">
        <v>735</v>
      </c>
      <c r="AI387">
        <v>0.238545611948626</v>
      </c>
    </row>
    <row r="388" spans="9:35" x14ac:dyDescent="0.45">
      <c r="I388" t="s">
        <v>236</v>
      </c>
      <c r="J388" t="s">
        <v>736</v>
      </c>
      <c r="K388">
        <v>0</v>
      </c>
      <c r="L388" t="s">
        <v>238</v>
      </c>
      <c r="N388" t="s">
        <v>346</v>
      </c>
      <c r="O388" t="s">
        <v>736</v>
      </c>
      <c r="P388">
        <v>5.6504380713402287E-3</v>
      </c>
      <c r="Q388" t="s">
        <v>238</v>
      </c>
      <c r="S388" t="s">
        <v>347</v>
      </c>
      <c r="T388" t="s">
        <v>736</v>
      </c>
      <c r="U388">
        <v>5.1882266419378802E-3</v>
      </c>
      <c r="V388" t="s">
        <v>238</v>
      </c>
      <c r="X388">
        <v>3.5388127853881279E-3</v>
      </c>
      <c r="Y388">
        <v>5.240782636799844E-3</v>
      </c>
      <c r="Z388" t="s">
        <v>736</v>
      </c>
      <c r="AA388" t="s">
        <v>25</v>
      </c>
      <c r="AC388" t="s">
        <v>22</v>
      </c>
      <c r="AD388" t="s">
        <v>736</v>
      </c>
      <c r="AE388">
        <v>4.0687610115993757E-3</v>
      </c>
      <c r="AG388" t="s">
        <v>97</v>
      </c>
      <c r="AH388" t="s">
        <v>736</v>
      </c>
      <c r="AI388">
        <v>8.8374494449703134E-2</v>
      </c>
    </row>
    <row r="389" spans="9:35" x14ac:dyDescent="0.45">
      <c r="I389" t="s">
        <v>236</v>
      </c>
      <c r="J389" t="s">
        <v>737</v>
      </c>
      <c r="K389">
        <v>0</v>
      </c>
      <c r="L389" t="s">
        <v>238</v>
      </c>
      <c r="N389" t="s">
        <v>346</v>
      </c>
      <c r="O389" t="s">
        <v>737</v>
      </c>
      <c r="P389">
        <v>5.7246561551984381E-3</v>
      </c>
      <c r="Q389" t="s">
        <v>238</v>
      </c>
      <c r="S389" t="s">
        <v>347</v>
      </c>
      <c r="T389" t="s">
        <v>737</v>
      </c>
      <c r="U389">
        <v>5.2072656259497599E-3</v>
      </c>
      <c r="V389" t="s">
        <v>238</v>
      </c>
      <c r="X389">
        <v>3.5388127853881279E-3</v>
      </c>
      <c r="Y389">
        <v>5.9087255218821738E-3</v>
      </c>
      <c r="Z389" t="s">
        <v>737</v>
      </c>
      <c r="AA389" t="s">
        <v>25</v>
      </c>
      <c r="AC389" t="s">
        <v>22</v>
      </c>
      <c r="AD389" t="s">
        <v>737</v>
      </c>
      <c r="AE389">
        <v>4.2038454000450963E-3</v>
      </c>
      <c r="AG389" t="s">
        <v>97</v>
      </c>
      <c r="AH389" t="s">
        <v>737</v>
      </c>
      <c r="AI389">
        <v>6.5091704487547197E-2</v>
      </c>
    </row>
    <row r="390" spans="9:35" x14ac:dyDescent="0.45">
      <c r="I390" t="s">
        <v>236</v>
      </c>
      <c r="J390" t="s">
        <v>738</v>
      </c>
      <c r="K390">
        <v>1.0272097371431923E-3</v>
      </c>
      <c r="L390" t="s">
        <v>238</v>
      </c>
      <c r="N390" t="s">
        <v>346</v>
      </c>
      <c r="O390" t="s">
        <v>738</v>
      </c>
      <c r="P390">
        <v>5.7849962600277742E-3</v>
      </c>
      <c r="Q390" t="s">
        <v>238</v>
      </c>
      <c r="S390" t="s">
        <v>347</v>
      </c>
      <c r="T390" t="s">
        <v>738</v>
      </c>
      <c r="U390">
        <v>5.2610554246647918E-3</v>
      </c>
      <c r="V390" t="s">
        <v>238</v>
      </c>
      <c r="X390">
        <v>3.5388127853881279E-3</v>
      </c>
      <c r="Y390">
        <v>4.521459529788099E-3</v>
      </c>
      <c r="Z390" t="s">
        <v>738</v>
      </c>
      <c r="AA390" t="s">
        <v>25</v>
      </c>
      <c r="AC390" t="s">
        <v>22</v>
      </c>
      <c r="AD390" t="s">
        <v>738</v>
      </c>
      <c r="AE390">
        <v>4.3968656823916716E-3</v>
      </c>
      <c r="AG390" t="s">
        <v>97</v>
      </c>
      <c r="AH390" t="s">
        <v>738</v>
      </c>
      <c r="AI390">
        <v>6.750385296878858E-2</v>
      </c>
    </row>
    <row r="391" spans="9:35" x14ac:dyDescent="0.45">
      <c r="I391" t="s">
        <v>236</v>
      </c>
      <c r="J391" t="s">
        <v>739</v>
      </c>
      <c r="K391">
        <v>3.1282659105564783E-2</v>
      </c>
      <c r="L391" t="s">
        <v>238</v>
      </c>
      <c r="N391" t="s">
        <v>346</v>
      </c>
      <c r="O391" t="s">
        <v>739</v>
      </c>
      <c r="P391">
        <v>3.8357949136617581E-2</v>
      </c>
      <c r="Q391" t="s">
        <v>238</v>
      </c>
      <c r="S391" t="s">
        <v>347</v>
      </c>
      <c r="T391" t="s">
        <v>739</v>
      </c>
      <c r="U391">
        <v>3.5915033947914815E-2</v>
      </c>
      <c r="V391" t="s">
        <v>238</v>
      </c>
      <c r="X391">
        <v>2.4771689497716895E-2</v>
      </c>
      <c r="Y391">
        <v>3.2246227282897846E-2</v>
      </c>
      <c r="Z391" t="s">
        <v>739</v>
      </c>
      <c r="AA391" t="s">
        <v>25</v>
      </c>
      <c r="AC391" t="s">
        <v>22</v>
      </c>
      <c r="AD391" t="s">
        <v>739</v>
      </c>
      <c r="AE391">
        <v>3.0675490343048433E-2</v>
      </c>
      <c r="AG391" t="s">
        <v>97</v>
      </c>
      <c r="AH391" t="s">
        <v>739</v>
      </c>
      <c r="AI391">
        <v>8.5594267559709225E-2</v>
      </c>
    </row>
    <row r="392" spans="9:35" x14ac:dyDescent="0.45">
      <c r="I392" t="s">
        <v>236</v>
      </c>
      <c r="J392" t="s">
        <v>740</v>
      </c>
      <c r="K392">
        <v>1.0104074563618622E-3</v>
      </c>
      <c r="L392" t="s">
        <v>238</v>
      </c>
      <c r="N392" t="s">
        <v>346</v>
      </c>
      <c r="O392" t="s">
        <v>740</v>
      </c>
      <c r="P392">
        <v>5.4775786312612857E-3</v>
      </c>
      <c r="Q392" t="s">
        <v>238</v>
      </c>
      <c r="S392" t="s">
        <v>347</v>
      </c>
      <c r="T392" t="s">
        <v>740</v>
      </c>
      <c r="U392">
        <v>5.123830979424461E-3</v>
      </c>
      <c r="V392" t="s">
        <v>238</v>
      </c>
      <c r="X392">
        <v>3.5388127853881279E-3</v>
      </c>
      <c r="Y392">
        <v>6.8849497385409693E-3</v>
      </c>
      <c r="Z392" t="s">
        <v>740</v>
      </c>
      <c r="AA392" t="s">
        <v>25</v>
      </c>
      <c r="AC392" t="s">
        <v>22</v>
      </c>
      <c r="AD392" t="s">
        <v>740</v>
      </c>
      <c r="AE392">
        <v>4.467192456880929E-3</v>
      </c>
      <c r="AG392" t="s">
        <v>97</v>
      </c>
      <c r="AH392" t="s">
        <v>740</v>
      </c>
      <c r="AI392">
        <v>7.3382032846391221E-2</v>
      </c>
    </row>
    <row r="393" spans="9:35" x14ac:dyDescent="0.45">
      <c r="I393" t="s">
        <v>236</v>
      </c>
      <c r="J393" t="s">
        <v>741</v>
      </c>
      <c r="K393">
        <v>0</v>
      </c>
      <c r="L393" t="s">
        <v>238</v>
      </c>
      <c r="N393" t="s">
        <v>346</v>
      </c>
      <c r="O393" t="s">
        <v>741</v>
      </c>
      <c r="P393">
        <v>5.5579987889586074E-3</v>
      </c>
      <c r="Q393" t="s">
        <v>238</v>
      </c>
      <c r="S393" t="s">
        <v>347</v>
      </c>
      <c r="T393" t="s">
        <v>741</v>
      </c>
      <c r="U393">
        <v>5.0881884999339905E-3</v>
      </c>
      <c r="V393" t="s">
        <v>238</v>
      </c>
      <c r="X393">
        <v>3.5388127853881279E-3</v>
      </c>
      <c r="Y393">
        <v>6.8849497385409693E-3</v>
      </c>
      <c r="Z393" t="s">
        <v>741</v>
      </c>
      <c r="AA393" t="s">
        <v>25</v>
      </c>
      <c r="AC393" t="s">
        <v>22</v>
      </c>
      <c r="AD393" t="s">
        <v>741</v>
      </c>
      <c r="AE393">
        <v>4.4859837159920953E-3</v>
      </c>
      <c r="AG393" t="s">
        <v>97</v>
      </c>
      <c r="AH393" t="s">
        <v>741</v>
      </c>
      <c r="AI393">
        <v>7.2204719550229779E-2</v>
      </c>
    </row>
    <row r="394" spans="9:35" x14ac:dyDescent="0.45">
      <c r="I394" t="s">
        <v>236</v>
      </c>
      <c r="J394" t="s">
        <v>742</v>
      </c>
      <c r="K394">
        <v>0</v>
      </c>
      <c r="L394" t="s">
        <v>238</v>
      </c>
      <c r="N394" t="s">
        <v>346</v>
      </c>
      <c r="O394" t="s">
        <v>742</v>
      </c>
      <c r="P394">
        <v>3.3173230194001944E-2</v>
      </c>
      <c r="Q394" t="s">
        <v>238</v>
      </c>
      <c r="S394" t="s">
        <v>347</v>
      </c>
      <c r="T394" t="s">
        <v>742</v>
      </c>
      <c r="U394">
        <v>3.0508743271377835E-2</v>
      </c>
      <c r="V394" t="s">
        <v>238</v>
      </c>
      <c r="X394">
        <v>2.1232876712328767E-2</v>
      </c>
      <c r="Y394">
        <v>1.8702400782305319E-2</v>
      </c>
      <c r="Z394" t="s">
        <v>742</v>
      </c>
      <c r="AA394" t="s">
        <v>25</v>
      </c>
      <c r="AC394" t="s">
        <v>22</v>
      </c>
      <c r="AD394" t="s">
        <v>742</v>
      </c>
      <c r="AE394">
        <v>2.313533083755422E-2</v>
      </c>
      <c r="AG394" t="s">
        <v>97</v>
      </c>
      <c r="AH394" t="s">
        <v>742</v>
      </c>
      <c r="AI394">
        <v>0.173387686403907</v>
      </c>
    </row>
    <row r="395" spans="9:35" x14ac:dyDescent="0.45">
      <c r="AC395" t="s">
        <v>19</v>
      </c>
      <c r="AD395" t="s">
        <v>237</v>
      </c>
      <c r="AE395">
        <v>3.9707320225947071E-2</v>
      </c>
    </row>
    <row r="396" spans="9:35" x14ac:dyDescent="0.45">
      <c r="AC396" t="s">
        <v>19</v>
      </c>
      <c r="AD396" t="s">
        <v>239</v>
      </c>
      <c r="AE396">
        <v>6.7596278770507834E-3</v>
      </c>
    </row>
    <row r="397" spans="9:35" x14ac:dyDescent="0.45">
      <c r="AC397" t="s">
        <v>19</v>
      </c>
      <c r="AD397" t="s">
        <v>240</v>
      </c>
      <c r="AE397">
        <v>6.7836594249260918E-3</v>
      </c>
    </row>
    <row r="398" spans="9:35" x14ac:dyDescent="0.45">
      <c r="AC398" t="s">
        <v>19</v>
      </c>
      <c r="AD398" t="s">
        <v>241</v>
      </c>
      <c r="AE398">
        <v>6.8029382163175564E-3</v>
      </c>
    </row>
    <row r="399" spans="9:35" x14ac:dyDescent="0.45">
      <c r="AC399" t="s">
        <v>19</v>
      </c>
      <c r="AD399" t="s">
        <v>242</v>
      </c>
      <c r="AE399">
        <v>4.7650057395023968E-2</v>
      </c>
    </row>
    <row r="400" spans="9:35" x14ac:dyDescent="0.45">
      <c r="AC400" t="s">
        <v>19</v>
      </c>
      <c r="AD400" t="s">
        <v>243</v>
      </c>
      <c r="AE400">
        <v>6.8199361796253506E-3</v>
      </c>
    </row>
    <row r="401" spans="29:31" x14ac:dyDescent="0.45">
      <c r="AC401" t="s">
        <v>19</v>
      </c>
      <c r="AD401" t="s">
        <v>244</v>
      </c>
      <c r="AE401">
        <v>6.8223878568565753E-3</v>
      </c>
    </row>
    <row r="402" spans="29:31" x14ac:dyDescent="0.45">
      <c r="AC402" t="s">
        <v>19</v>
      </c>
      <c r="AD402" t="s">
        <v>245</v>
      </c>
      <c r="AE402">
        <v>4.0494564167635499E-2</v>
      </c>
    </row>
    <row r="403" spans="29:31" x14ac:dyDescent="0.45">
      <c r="AC403" t="s">
        <v>19</v>
      </c>
      <c r="AD403" t="s">
        <v>247</v>
      </c>
      <c r="AE403">
        <v>6.2073488554570289E-2</v>
      </c>
    </row>
    <row r="404" spans="29:31" x14ac:dyDescent="0.45">
      <c r="AC404" t="s">
        <v>19</v>
      </c>
      <c r="AD404" t="s">
        <v>248</v>
      </c>
      <c r="AE404">
        <v>1.0524864247628687E-2</v>
      </c>
    </row>
    <row r="405" spans="29:31" x14ac:dyDescent="0.45">
      <c r="AC405" t="s">
        <v>19</v>
      </c>
      <c r="AD405" t="s">
        <v>249</v>
      </c>
      <c r="AE405">
        <v>1.057712142475788E-2</v>
      </c>
    </row>
    <row r="406" spans="29:31" x14ac:dyDescent="0.45">
      <c r="AC406" t="s">
        <v>19</v>
      </c>
      <c r="AD406" t="s">
        <v>250</v>
      </c>
      <c r="AE406">
        <v>1.0603406156264008E-2</v>
      </c>
    </row>
    <row r="407" spans="29:31" x14ac:dyDescent="0.45">
      <c r="AC407" t="s">
        <v>19</v>
      </c>
      <c r="AD407" t="s">
        <v>251</v>
      </c>
      <c r="AE407">
        <v>7.4140561125890375E-2</v>
      </c>
    </row>
    <row r="408" spans="29:31" x14ac:dyDescent="0.45">
      <c r="AC408" t="s">
        <v>19</v>
      </c>
      <c r="AD408" t="s">
        <v>252</v>
      </c>
      <c r="AE408">
        <v>1.0591321673003137E-2</v>
      </c>
    </row>
    <row r="409" spans="29:31" x14ac:dyDescent="0.45">
      <c r="AC409" t="s">
        <v>19</v>
      </c>
      <c r="AD409" t="s">
        <v>253</v>
      </c>
      <c r="AE409">
        <v>1.0596062535943312E-2</v>
      </c>
    </row>
    <row r="410" spans="29:31" x14ac:dyDescent="0.45">
      <c r="AC410" t="s">
        <v>19</v>
      </c>
      <c r="AD410" t="s">
        <v>254</v>
      </c>
      <c r="AE410">
        <v>6.2996170224777284E-2</v>
      </c>
    </row>
    <row r="411" spans="29:31" x14ac:dyDescent="0.45">
      <c r="AC411" t="s">
        <v>19</v>
      </c>
      <c r="AD411" t="s">
        <v>328</v>
      </c>
      <c r="AE411">
        <v>7.7568147763327197E-2</v>
      </c>
    </row>
    <row r="412" spans="29:31" x14ac:dyDescent="0.45">
      <c r="AC412" t="s">
        <v>19</v>
      </c>
      <c r="AD412" t="s">
        <v>329</v>
      </c>
      <c r="AE412">
        <v>1.3108951811862044E-2</v>
      </c>
    </row>
    <row r="413" spans="29:31" x14ac:dyDescent="0.45">
      <c r="AC413" t="s">
        <v>19</v>
      </c>
      <c r="AD413" t="s">
        <v>330</v>
      </c>
      <c r="AE413">
        <v>1.3177265915837195E-2</v>
      </c>
    </row>
    <row r="414" spans="29:31" x14ac:dyDescent="0.45">
      <c r="AC414" t="s">
        <v>19</v>
      </c>
      <c r="AD414" t="s">
        <v>331</v>
      </c>
      <c r="AE414">
        <v>1.3222676590626301E-2</v>
      </c>
    </row>
    <row r="415" spans="29:31" x14ac:dyDescent="0.45">
      <c r="AC415" t="s">
        <v>19</v>
      </c>
      <c r="AD415" t="s">
        <v>332</v>
      </c>
      <c r="AE415">
        <v>9.2605287303576825E-2</v>
      </c>
    </row>
    <row r="416" spans="29:31" x14ac:dyDescent="0.45">
      <c r="AC416" t="s">
        <v>19</v>
      </c>
      <c r="AD416" t="s">
        <v>333</v>
      </c>
      <c r="AE416">
        <v>1.3221193272862634E-2</v>
      </c>
    </row>
    <row r="417" spans="29:31" x14ac:dyDescent="0.45">
      <c r="AC417" t="s">
        <v>19</v>
      </c>
      <c r="AD417" t="s">
        <v>334</v>
      </c>
      <c r="AE417">
        <v>1.3219942200647617E-2</v>
      </c>
    </row>
    <row r="418" spans="29:31" x14ac:dyDescent="0.45">
      <c r="AC418" t="s">
        <v>19</v>
      </c>
      <c r="AD418" t="s">
        <v>335</v>
      </c>
      <c r="AE418">
        <v>7.8704469461799292E-2</v>
      </c>
    </row>
    <row r="419" spans="29:31" x14ac:dyDescent="0.45">
      <c r="AC419" t="s">
        <v>19</v>
      </c>
      <c r="AD419" t="s">
        <v>1081</v>
      </c>
      <c r="AE419">
        <v>1.1232829922341974E-4</v>
      </c>
    </row>
    <row r="420" spans="29:31" x14ac:dyDescent="0.45">
      <c r="AC420" t="s">
        <v>19</v>
      </c>
      <c r="AD420" t="s">
        <v>1082</v>
      </c>
      <c r="AE420">
        <v>1.1222591831373766E-4</v>
      </c>
    </row>
    <row r="421" spans="29:31" x14ac:dyDescent="0.45">
      <c r="AC421" t="s">
        <v>19</v>
      </c>
      <c r="AD421" t="s">
        <v>1083</v>
      </c>
      <c r="AE421">
        <v>1.1222591831373766E-4</v>
      </c>
    </row>
    <row r="422" spans="29:31" x14ac:dyDescent="0.45">
      <c r="AC422" t="s">
        <v>19</v>
      </c>
      <c r="AD422" t="s">
        <v>1084</v>
      </c>
      <c r="AE422">
        <v>1.1226834933439083E-4</v>
      </c>
    </row>
    <row r="423" spans="29:31" x14ac:dyDescent="0.45">
      <c r="AC423" t="s">
        <v>19</v>
      </c>
      <c r="AD423" t="s">
        <v>1085</v>
      </c>
      <c r="AE423">
        <v>1.1279487972704142E-4</v>
      </c>
    </row>
    <row r="424" spans="29:31" x14ac:dyDescent="0.45">
      <c r="AC424" t="s">
        <v>19</v>
      </c>
      <c r="AD424" t="s">
        <v>1086</v>
      </c>
      <c r="AE424">
        <v>1.1390805112493459E-4</v>
      </c>
    </row>
    <row r="425" spans="29:31" x14ac:dyDescent="0.45">
      <c r="AC425" t="s">
        <v>19</v>
      </c>
      <c r="AD425" t="s">
        <v>1087</v>
      </c>
      <c r="AE425">
        <v>1.1480087051784485E-4</v>
      </c>
    </row>
    <row r="426" spans="29:31" x14ac:dyDescent="0.45">
      <c r="AC426" t="s">
        <v>19</v>
      </c>
      <c r="AD426" t="s">
        <v>1088</v>
      </c>
      <c r="AE426">
        <v>1.1547815961266461E-4</v>
      </c>
    </row>
    <row r="427" spans="29:31" x14ac:dyDescent="0.45">
      <c r="AC427" t="s">
        <v>19</v>
      </c>
      <c r="AD427" t="s">
        <v>1089</v>
      </c>
      <c r="AE427">
        <v>1.1567376018893318E-4</v>
      </c>
    </row>
    <row r="428" spans="29:31" x14ac:dyDescent="0.45">
      <c r="AC428" t="s">
        <v>19</v>
      </c>
      <c r="AD428" t="s">
        <v>1090</v>
      </c>
      <c r="AE428">
        <v>1.1570236898316145E-4</v>
      </c>
    </row>
    <row r="429" spans="29:31" x14ac:dyDescent="0.45">
      <c r="AC429" t="s">
        <v>19</v>
      </c>
      <c r="AD429" t="s">
        <v>1091</v>
      </c>
      <c r="AE429">
        <v>1.1564081185850176E-4</v>
      </c>
    </row>
    <row r="430" spans="29:31" x14ac:dyDescent="0.45">
      <c r="AC430" t="s">
        <v>19</v>
      </c>
      <c r="AD430" t="s">
        <v>1092</v>
      </c>
      <c r="AE430">
        <v>1.1564241909413253E-4</v>
      </c>
    </row>
    <row r="431" spans="29:31" x14ac:dyDescent="0.45">
      <c r="AC431" t="s">
        <v>19</v>
      </c>
      <c r="AD431" t="s">
        <v>1093</v>
      </c>
      <c r="AE431">
        <v>1.1561316740565196E-4</v>
      </c>
    </row>
    <row r="432" spans="29:31" x14ac:dyDescent="0.45">
      <c r="AC432" t="s">
        <v>19</v>
      </c>
      <c r="AD432" t="s">
        <v>1094</v>
      </c>
      <c r="AE432">
        <v>1.1553585937181041E-4</v>
      </c>
    </row>
    <row r="433" spans="29:31" x14ac:dyDescent="0.45">
      <c r="AC433" t="s">
        <v>19</v>
      </c>
      <c r="AD433" t="s">
        <v>1095</v>
      </c>
      <c r="AE433">
        <v>1.1546835547531674E-4</v>
      </c>
    </row>
    <row r="434" spans="29:31" x14ac:dyDescent="0.45">
      <c r="AC434" t="s">
        <v>19</v>
      </c>
      <c r="AD434" t="s">
        <v>1096</v>
      </c>
      <c r="AE434">
        <v>1.1556527178385406E-4</v>
      </c>
    </row>
    <row r="435" spans="29:31" x14ac:dyDescent="0.45">
      <c r="AC435" t="s">
        <v>19</v>
      </c>
      <c r="AD435" t="s">
        <v>1097</v>
      </c>
      <c r="AE435">
        <v>1.1553907384307199E-4</v>
      </c>
    </row>
    <row r="436" spans="29:31" x14ac:dyDescent="0.45">
      <c r="AC436" t="s">
        <v>19</v>
      </c>
      <c r="AD436" t="s">
        <v>1098</v>
      </c>
      <c r="AE436">
        <v>1.1554839580973065E-4</v>
      </c>
    </row>
    <row r="437" spans="29:31" x14ac:dyDescent="0.45">
      <c r="AC437" t="s">
        <v>19</v>
      </c>
      <c r="AD437" t="s">
        <v>1099</v>
      </c>
      <c r="AE437">
        <v>1.1552991259997643E-4</v>
      </c>
    </row>
    <row r="438" spans="29:31" x14ac:dyDescent="0.45">
      <c r="AC438" t="s">
        <v>19</v>
      </c>
      <c r="AD438" t="s">
        <v>1100</v>
      </c>
      <c r="AE438">
        <v>1.1535183089208361E-4</v>
      </c>
    </row>
    <row r="439" spans="29:31" x14ac:dyDescent="0.45">
      <c r="AC439" t="s">
        <v>19</v>
      </c>
      <c r="AD439" t="s">
        <v>1101</v>
      </c>
      <c r="AE439">
        <v>1.1466296970072206E-4</v>
      </c>
    </row>
    <row r="440" spans="29:31" x14ac:dyDescent="0.45">
      <c r="AC440" t="s">
        <v>19</v>
      </c>
      <c r="AD440" t="s">
        <v>1102</v>
      </c>
      <c r="AE440">
        <v>1.1413740364944997E-4</v>
      </c>
    </row>
    <row r="441" spans="29:31" x14ac:dyDescent="0.45">
      <c r="AC441" t="s">
        <v>19</v>
      </c>
      <c r="AD441" t="s">
        <v>1103</v>
      </c>
      <c r="AE441">
        <v>1.1343825615005129E-4</v>
      </c>
    </row>
    <row r="442" spans="29:31" x14ac:dyDescent="0.45">
      <c r="AC442" t="s">
        <v>19</v>
      </c>
      <c r="AD442" t="s">
        <v>1104</v>
      </c>
      <c r="AE442">
        <v>1.1274955568225283E-4</v>
      </c>
    </row>
    <row r="443" spans="29:31" x14ac:dyDescent="0.45">
      <c r="AC443" t="s">
        <v>19</v>
      </c>
      <c r="AD443" t="s">
        <v>1105</v>
      </c>
      <c r="AE443">
        <v>1.1232122738664418E-4</v>
      </c>
    </row>
    <row r="444" spans="29:31" x14ac:dyDescent="0.45">
      <c r="AC444" t="s">
        <v>19</v>
      </c>
      <c r="AD444" t="s">
        <v>1106</v>
      </c>
      <c r="AE444">
        <v>1.1224986612463659E-4</v>
      </c>
    </row>
    <row r="445" spans="29:31" x14ac:dyDescent="0.45">
      <c r="AC445" t="s">
        <v>19</v>
      </c>
      <c r="AD445" t="s">
        <v>1107</v>
      </c>
      <c r="AE445">
        <v>1.1224986612463659E-4</v>
      </c>
    </row>
    <row r="446" spans="29:31" x14ac:dyDescent="0.45">
      <c r="AC446" t="s">
        <v>19</v>
      </c>
      <c r="AD446" t="s">
        <v>1108</v>
      </c>
      <c r="AE446">
        <v>1.1229165425103743E-4</v>
      </c>
    </row>
    <row r="447" spans="29:31" x14ac:dyDescent="0.45">
      <c r="AC447" t="s">
        <v>19</v>
      </c>
      <c r="AD447" t="s">
        <v>1109</v>
      </c>
      <c r="AE447">
        <v>1.1281834536725109E-4</v>
      </c>
    </row>
    <row r="448" spans="29:31" x14ac:dyDescent="0.45">
      <c r="AC448" t="s">
        <v>19</v>
      </c>
      <c r="AD448" t="s">
        <v>1110</v>
      </c>
      <c r="AE448">
        <v>1.1392621288756262E-4</v>
      </c>
    </row>
    <row r="449" spans="29:31" x14ac:dyDescent="0.45">
      <c r="AC449" t="s">
        <v>19</v>
      </c>
      <c r="AD449" t="s">
        <v>1111</v>
      </c>
      <c r="AE449">
        <v>1.1479347723394314E-4</v>
      </c>
    </row>
    <row r="450" spans="29:31" x14ac:dyDescent="0.45">
      <c r="AC450" t="s">
        <v>19</v>
      </c>
      <c r="AD450" t="s">
        <v>1112</v>
      </c>
      <c r="AE450">
        <v>1.1545147950119328E-4</v>
      </c>
    </row>
    <row r="451" spans="29:31" x14ac:dyDescent="0.45">
      <c r="AC451" t="s">
        <v>19</v>
      </c>
      <c r="AD451" t="s">
        <v>1113</v>
      </c>
      <c r="AE451">
        <v>1.1569545786994898E-4</v>
      </c>
    </row>
    <row r="452" spans="29:31" x14ac:dyDescent="0.45">
      <c r="AC452" t="s">
        <v>19</v>
      </c>
      <c r="AD452" t="s">
        <v>1114</v>
      </c>
      <c r="AE452">
        <v>1.156498123780342E-4</v>
      </c>
    </row>
    <row r="453" spans="29:31" x14ac:dyDescent="0.45">
      <c r="AC453" t="s">
        <v>19</v>
      </c>
      <c r="AD453" t="s">
        <v>1115</v>
      </c>
      <c r="AE453">
        <v>1.1563165061540615E-4</v>
      </c>
    </row>
    <row r="454" spans="29:31" x14ac:dyDescent="0.45">
      <c r="AC454" t="s">
        <v>19</v>
      </c>
      <c r="AD454" t="s">
        <v>1116</v>
      </c>
      <c r="AE454">
        <v>1.1559211261888843E-4</v>
      </c>
    </row>
    <row r="455" spans="29:31" x14ac:dyDescent="0.45">
      <c r="AC455" t="s">
        <v>19</v>
      </c>
      <c r="AD455" t="s">
        <v>1117</v>
      </c>
      <c r="AE455">
        <v>1.1561316740565193E-4</v>
      </c>
    </row>
    <row r="456" spans="29:31" x14ac:dyDescent="0.45">
      <c r="AC456" t="s">
        <v>19</v>
      </c>
      <c r="AD456" t="s">
        <v>1118</v>
      </c>
      <c r="AE456">
        <v>1.1557330796200804E-4</v>
      </c>
    </row>
    <row r="457" spans="29:31" x14ac:dyDescent="0.45">
      <c r="AC457" t="s">
        <v>19</v>
      </c>
      <c r="AD457" t="s">
        <v>1119</v>
      </c>
      <c r="AE457">
        <v>1.154968035459819E-4</v>
      </c>
    </row>
    <row r="458" spans="29:31" x14ac:dyDescent="0.45">
      <c r="AC458" t="s">
        <v>19</v>
      </c>
      <c r="AD458" t="s">
        <v>1120</v>
      </c>
      <c r="AE458">
        <v>1.1556527178385403E-4</v>
      </c>
    </row>
    <row r="459" spans="29:31" x14ac:dyDescent="0.45">
      <c r="AC459" t="s">
        <v>19</v>
      </c>
      <c r="AD459" t="s">
        <v>1121</v>
      </c>
      <c r="AE459">
        <v>1.1553907384307199E-4</v>
      </c>
    </row>
    <row r="460" spans="29:31" x14ac:dyDescent="0.45">
      <c r="AC460" t="s">
        <v>19</v>
      </c>
      <c r="AD460" t="s">
        <v>1122</v>
      </c>
      <c r="AE460">
        <v>1.1554839580973063E-4</v>
      </c>
    </row>
    <row r="461" spans="29:31" x14ac:dyDescent="0.45">
      <c r="AC461" t="s">
        <v>19</v>
      </c>
      <c r="AD461" t="s">
        <v>1123</v>
      </c>
      <c r="AE461">
        <v>1.1549294618046797E-4</v>
      </c>
    </row>
    <row r="462" spans="29:31" x14ac:dyDescent="0.45">
      <c r="AC462" t="s">
        <v>19</v>
      </c>
      <c r="AD462" t="s">
        <v>1124</v>
      </c>
      <c r="AE462">
        <v>1.1535183089208358E-4</v>
      </c>
    </row>
    <row r="463" spans="29:31" x14ac:dyDescent="0.45">
      <c r="AC463" t="s">
        <v>19</v>
      </c>
      <c r="AD463" t="s">
        <v>1125</v>
      </c>
      <c r="AE463">
        <v>1.1466296970072204E-4</v>
      </c>
    </row>
    <row r="464" spans="29:31" x14ac:dyDescent="0.45">
      <c r="AC464" t="s">
        <v>19</v>
      </c>
      <c r="AD464" t="s">
        <v>1126</v>
      </c>
      <c r="AE464">
        <v>1.1413901088508075E-4</v>
      </c>
    </row>
    <row r="465" spans="29:31" x14ac:dyDescent="0.45">
      <c r="AC465" t="s">
        <v>19</v>
      </c>
      <c r="AD465" t="s">
        <v>1127</v>
      </c>
      <c r="AE465">
        <v>1.1343825615005126E-4</v>
      </c>
    </row>
    <row r="466" spans="29:31" x14ac:dyDescent="0.45">
      <c r="AC466" t="s">
        <v>19</v>
      </c>
      <c r="AD466" t="s">
        <v>1128</v>
      </c>
      <c r="AE466">
        <v>1.127495556822528E-4</v>
      </c>
    </row>
    <row r="467" spans="29:31" x14ac:dyDescent="0.45">
      <c r="AC467" t="s">
        <v>19</v>
      </c>
      <c r="AD467" t="s">
        <v>1129</v>
      </c>
      <c r="AE467">
        <v>1.1232122738664419E-4</v>
      </c>
    </row>
    <row r="468" spans="29:31" x14ac:dyDescent="0.45">
      <c r="AC468" t="s">
        <v>19</v>
      </c>
      <c r="AD468" t="s">
        <v>1130</v>
      </c>
      <c r="AE468">
        <v>1.122498661246366E-4</v>
      </c>
    </row>
    <row r="469" spans="29:31" x14ac:dyDescent="0.45">
      <c r="AC469" t="s">
        <v>19</v>
      </c>
      <c r="AD469" t="s">
        <v>1131</v>
      </c>
      <c r="AE469">
        <v>1.122498661246366E-4</v>
      </c>
    </row>
    <row r="470" spans="29:31" x14ac:dyDescent="0.45">
      <c r="AC470" t="s">
        <v>19</v>
      </c>
      <c r="AD470" t="s">
        <v>1132</v>
      </c>
      <c r="AE470">
        <v>1.1229165425103745E-4</v>
      </c>
    </row>
    <row r="471" spans="29:31" x14ac:dyDescent="0.45">
      <c r="AC471" t="s">
        <v>19</v>
      </c>
      <c r="AD471" t="s">
        <v>1133</v>
      </c>
      <c r="AE471">
        <v>1.1281416655461103E-4</v>
      </c>
    </row>
    <row r="472" spans="29:31" x14ac:dyDescent="0.45">
      <c r="AC472" t="s">
        <v>19</v>
      </c>
      <c r="AD472" t="s">
        <v>1134</v>
      </c>
      <c r="AE472">
        <v>1.1393746353697824E-4</v>
      </c>
    </row>
    <row r="473" spans="29:31" x14ac:dyDescent="0.45">
      <c r="AC473" t="s">
        <v>19</v>
      </c>
      <c r="AD473" t="s">
        <v>1135</v>
      </c>
      <c r="AE473">
        <v>1.1480906741956192E-4</v>
      </c>
    </row>
    <row r="474" spans="29:31" x14ac:dyDescent="0.45">
      <c r="AC474" t="s">
        <v>19</v>
      </c>
      <c r="AD474" t="s">
        <v>1136</v>
      </c>
      <c r="AE474">
        <v>1.1541419163455869E-4</v>
      </c>
    </row>
    <row r="475" spans="29:31" x14ac:dyDescent="0.45">
      <c r="AC475" t="s">
        <v>19</v>
      </c>
      <c r="AD475" t="s">
        <v>1137</v>
      </c>
      <c r="AE475">
        <v>1.1564643718320954E-4</v>
      </c>
    </row>
    <row r="476" spans="29:31" x14ac:dyDescent="0.45">
      <c r="AC476" t="s">
        <v>19</v>
      </c>
      <c r="AD476" t="s">
        <v>1138</v>
      </c>
      <c r="AE476">
        <v>1.1564065113493865E-4</v>
      </c>
    </row>
    <row r="477" spans="29:31" x14ac:dyDescent="0.45">
      <c r="AC477" t="s">
        <v>19</v>
      </c>
      <c r="AD477" t="s">
        <v>1139</v>
      </c>
      <c r="AE477">
        <v>1.1557668315683273E-4</v>
      </c>
    </row>
    <row r="478" spans="29:31" x14ac:dyDescent="0.45">
      <c r="AC478" t="s">
        <v>19</v>
      </c>
      <c r="AD478" t="s">
        <v>1140</v>
      </c>
      <c r="AE478">
        <v>1.1556687901948486E-4</v>
      </c>
    </row>
    <row r="479" spans="29:31" x14ac:dyDescent="0.45">
      <c r="AC479" t="s">
        <v>19</v>
      </c>
      <c r="AD479" t="s">
        <v>1141</v>
      </c>
      <c r="AE479">
        <v>1.1556687901948486E-4</v>
      </c>
    </row>
    <row r="480" spans="29:31" x14ac:dyDescent="0.45">
      <c r="AC480" t="s">
        <v>19</v>
      </c>
      <c r="AD480" t="s">
        <v>1142</v>
      </c>
      <c r="AE480">
        <v>1.154977678873604E-4</v>
      </c>
    </row>
    <row r="481" spans="29:31" x14ac:dyDescent="0.45">
      <c r="AC481" t="s">
        <v>19</v>
      </c>
      <c r="AD481" t="s">
        <v>1143</v>
      </c>
      <c r="AE481">
        <v>1.1542351360121735E-4</v>
      </c>
    </row>
    <row r="482" spans="29:31" x14ac:dyDescent="0.45">
      <c r="AC482" t="s">
        <v>19</v>
      </c>
      <c r="AD482" t="s">
        <v>1144</v>
      </c>
      <c r="AE482">
        <v>1.1543010326730363E-4</v>
      </c>
    </row>
    <row r="483" spans="29:31" x14ac:dyDescent="0.45">
      <c r="AC483" t="s">
        <v>19</v>
      </c>
      <c r="AD483" t="s">
        <v>1145</v>
      </c>
      <c r="AE483">
        <v>1.1540390532652156E-4</v>
      </c>
    </row>
    <row r="484" spans="29:31" x14ac:dyDescent="0.45">
      <c r="AC484" t="s">
        <v>19</v>
      </c>
      <c r="AD484" t="s">
        <v>1146</v>
      </c>
      <c r="AE484">
        <v>1.1541740610582031E-4</v>
      </c>
    </row>
    <row r="485" spans="29:31" x14ac:dyDescent="0.45">
      <c r="AC485" t="s">
        <v>19</v>
      </c>
      <c r="AD485" t="s">
        <v>1147</v>
      </c>
      <c r="AE485">
        <v>1.1539908361962918E-4</v>
      </c>
    </row>
    <row r="486" spans="29:31" x14ac:dyDescent="0.45">
      <c r="AC486" t="s">
        <v>19</v>
      </c>
      <c r="AD486" t="s">
        <v>1148</v>
      </c>
      <c r="AE486">
        <v>1.1537031410183783E-4</v>
      </c>
    </row>
    <row r="487" spans="29:31" x14ac:dyDescent="0.45">
      <c r="AC487" t="s">
        <v>19</v>
      </c>
      <c r="AD487" t="s">
        <v>1149</v>
      </c>
      <c r="AE487">
        <v>1.1487416046260938E-4</v>
      </c>
    </row>
    <row r="488" spans="29:31" x14ac:dyDescent="0.45">
      <c r="AC488" t="s">
        <v>19</v>
      </c>
      <c r="AD488" t="s">
        <v>1150</v>
      </c>
      <c r="AE488">
        <v>1.1432995047801998E-4</v>
      </c>
    </row>
    <row r="489" spans="29:31" x14ac:dyDescent="0.45">
      <c r="AC489" t="s">
        <v>19</v>
      </c>
      <c r="AD489" t="s">
        <v>1151</v>
      </c>
      <c r="AE489">
        <v>1.1343825615005126E-4</v>
      </c>
    </row>
    <row r="490" spans="29:31" x14ac:dyDescent="0.45">
      <c r="AC490" t="s">
        <v>19</v>
      </c>
      <c r="AD490" t="s">
        <v>1152</v>
      </c>
      <c r="AE490">
        <v>1.127495556822528E-4</v>
      </c>
    </row>
    <row r="491" spans="29:31" x14ac:dyDescent="0.45">
      <c r="AC491" t="s">
        <v>19</v>
      </c>
      <c r="AD491" t="s">
        <v>1153</v>
      </c>
      <c r="AE491">
        <v>1.1232122738664418E-4</v>
      </c>
    </row>
    <row r="492" spans="29:31" x14ac:dyDescent="0.45">
      <c r="AC492" t="s">
        <v>19</v>
      </c>
      <c r="AD492" t="s">
        <v>1154</v>
      </c>
      <c r="AE492">
        <v>1.1224986612463659E-4</v>
      </c>
    </row>
    <row r="493" spans="29:31" x14ac:dyDescent="0.45">
      <c r="AC493" t="s">
        <v>19</v>
      </c>
      <c r="AD493" t="s">
        <v>1155</v>
      </c>
      <c r="AE493">
        <v>1.1224986612463659E-4</v>
      </c>
    </row>
    <row r="494" spans="29:31" x14ac:dyDescent="0.45">
      <c r="AC494" t="s">
        <v>19</v>
      </c>
      <c r="AD494" t="s">
        <v>1156</v>
      </c>
      <c r="AE494">
        <v>1.1229165425103743E-4</v>
      </c>
    </row>
    <row r="495" spans="29:31" x14ac:dyDescent="0.45">
      <c r="AC495" t="s">
        <v>19</v>
      </c>
      <c r="AD495" t="s">
        <v>1157</v>
      </c>
      <c r="AE495">
        <v>1.1281416655461103E-4</v>
      </c>
    </row>
    <row r="496" spans="29:31" x14ac:dyDescent="0.45">
      <c r="AC496" t="s">
        <v>19</v>
      </c>
      <c r="AD496" t="s">
        <v>1158</v>
      </c>
      <c r="AE496">
        <v>1.1393746353697824E-4</v>
      </c>
    </row>
    <row r="497" spans="29:31" x14ac:dyDescent="0.45">
      <c r="AC497" t="s">
        <v>19</v>
      </c>
      <c r="AD497" t="s">
        <v>1159</v>
      </c>
      <c r="AE497">
        <v>1.1483076510057772E-4</v>
      </c>
    </row>
    <row r="498" spans="29:31" x14ac:dyDescent="0.45">
      <c r="AC498" t="s">
        <v>19</v>
      </c>
      <c r="AD498" t="s">
        <v>1160</v>
      </c>
      <c r="AE498">
        <v>1.1536517094781925E-4</v>
      </c>
    </row>
    <row r="499" spans="29:31" x14ac:dyDescent="0.45">
      <c r="AC499" t="s">
        <v>19</v>
      </c>
      <c r="AD499" t="s">
        <v>1161</v>
      </c>
      <c r="AE499">
        <v>1.156167033240397E-4</v>
      </c>
    </row>
    <row r="500" spans="29:31" x14ac:dyDescent="0.45">
      <c r="AC500" t="s">
        <v>19</v>
      </c>
      <c r="AD500" t="s">
        <v>1162</v>
      </c>
      <c r="AE500">
        <v>1.155633431010971E-4</v>
      </c>
    </row>
    <row r="501" spans="29:31" x14ac:dyDescent="0.45">
      <c r="AC501" t="s">
        <v>19</v>
      </c>
      <c r="AD501" t="s">
        <v>1163</v>
      </c>
      <c r="AE501">
        <v>1.1555177100455532E-4</v>
      </c>
    </row>
    <row r="502" spans="29:31" x14ac:dyDescent="0.45">
      <c r="AC502" t="s">
        <v>19</v>
      </c>
      <c r="AD502" t="s">
        <v>1164</v>
      </c>
      <c r="AE502">
        <v>1.1556414671891248E-4</v>
      </c>
    </row>
    <row r="503" spans="29:31" x14ac:dyDescent="0.45">
      <c r="AC503" t="s">
        <v>19</v>
      </c>
      <c r="AD503" t="s">
        <v>1165</v>
      </c>
      <c r="AE503">
        <v>1.1556414671891248E-4</v>
      </c>
    </row>
    <row r="504" spans="29:31" x14ac:dyDescent="0.45">
      <c r="AC504" t="s">
        <v>19</v>
      </c>
      <c r="AD504" t="s">
        <v>1166</v>
      </c>
      <c r="AE504">
        <v>1.1549471413966186E-4</v>
      </c>
    </row>
    <row r="505" spans="29:31" x14ac:dyDescent="0.45">
      <c r="AC505" t="s">
        <v>19</v>
      </c>
      <c r="AD505" t="s">
        <v>1167</v>
      </c>
      <c r="AE505">
        <v>1.1541997768282958E-4</v>
      </c>
    </row>
    <row r="506" spans="29:31" x14ac:dyDescent="0.45">
      <c r="AC506" t="s">
        <v>19</v>
      </c>
      <c r="AD506" t="s">
        <v>1168</v>
      </c>
      <c r="AE506">
        <v>1.1542656734891587E-4</v>
      </c>
    </row>
    <row r="507" spans="29:31" x14ac:dyDescent="0.45">
      <c r="AC507" t="s">
        <v>19</v>
      </c>
      <c r="AD507" t="s">
        <v>1169</v>
      </c>
      <c r="AE507">
        <v>1.1540390532652156E-4</v>
      </c>
    </row>
    <row r="508" spans="29:31" x14ac:dyDescent="0.45">
      <c r="AC508" t="s">
        <v>19</v>
      </c>
      <c r="AD508" t="s">
        <v>1170</v>
      </c>
      <c r="AE508">
        <v>1.1540390532652156E-4</v>
      </c>
    </row>
    <row r="509" spans="29:31" x14ac:dyDescent="0.45">
      <c r="AC509" t="s">
        <v>19</v>
      </c>
      <c r="AD509" t="s">
        <v>1171</v>
      </c>
      <c r="AE509">
        <v>1.1539056527078593E-4</v>
      </c>
    </row>
    <row r="510" spans="29:31" x14ac:dyDescent="0.45">
      <c r="AC510" t="s">
        <v>19</v>
      </c>
      <c r="AD510" t="s">
        <v>1172</v>
      </c>
      <c r="AE510">
        <v>1.1531984690303065E-4</v>
      </c>
    </row>
    <row r="511" spans="29:31" x14ac:dyDescent="0.45">
      <c r="AC511" t="s">
        <v>19</v>
      </c>
      <c r="AD511" t="s">
        <v>1173</v>
      </c>
      <c r="AE511">
        <v>1.1485664159423365E-4</v>
      </c>
    </row>
    <row r="512" spans="29:31" x14ac:dyDescent="0.45">
      <c r="AC512" t="s">
        <v>19</v>
      </c>
      <c r="AD512" t="s">
        <v>1174</v>
      </c>
      <c r="AE512">
        <v>1.1439649003313514E-4</v>
      </c>
    </row>
    <row r="513" spans="29:31" x14ac:dyDescent="0.45">
      <c r="AC513" t="s">
        <v>19</v>
      </c>
      <c r="AD513" t="s">
        <v>1175</v>
      </c>
      <c r="AE513">
        <v>1.1312307724285108E-4</v>
      </c>
    </row>
    <row r="514" spans="29:31" x14ac:dyDescent="0.45">
      <c r="AC514" t="s">
        <v>19</v>
      </c>
      <c r="AD514" t="s">
        <v>1176</v>
      </c>
      <c r="AE514">
        <v>1.1244385946527435E-4</v>
      </c>
    </row>
    <row r="515" spans="29:31" x14ac:dyDescent="0.45">
      <c r="AC515" t="s">
        <v>19</v>
      </c>
      <c r="AD515" t="s">
        <v>1177</v>
      </c>
      <c r="AE515">
        <v>1.1195027740305519E-4</v>
      </c>
    </row>
    <row r="516" spans="29:31" x14ac:dyDescent="0.45">
      <c r="AC516" t="s">
        <v>19</v>
      </c>
      <c r="AD516" t="s">
        <v>1178</v>
      </c>
      <c r="AE516">
        <v>1.1173490782852779E-4</v>
      </c>
    </row>
    <row r="517" spans="29:31" x14ac:dyDescent="0.45">
      <c r="AC517" t="s">
        <v>19</v>
      </c>
      <c r="AD517" t="s">
        <v>1179</v>
      </c>
      <c r="AE517">
        <v>1.1173490782852779E-4</v>
      </c>
    </row>
    <row r="518" spans="29:31" x14ac:dyDescent="0.45">
      <c r="AC518" t="s">
        <v>19</v>
      </c>
      <c r="AD518" t="s">
        <v>1180</v>
      </c>
      <c r="AE518">
        <v>1.1174953367276809E-4</v>
      </c>
    </row>
    <row r="519" spans="29:31" x14ac:dyDescent="0.45">
      <c r="AC519" t="s">
        <v>19</v>
      </c>
      <c r="AD519" t="s">
        <v>1181</v>
      </c>
      <c r="AE519">
        <v>1.1178119621469488E-4</v>
      </c>
    </row>
    <row r="520" spans="29:31" x14ac:dyDescent="0.45">
      <c r="AC520" t="s">
        <v>19</v>
      </c>
      <c r="AD520" t="s">
        <v>1182</v>
      </c>
      <c r="AE520">
        <v>1.1190189961056807E-4</v>
      </c>
    </row>
    <row r="521" spans="29:31" x14ac:dyDescent="0.45">
      <c r="AC521" t="s">
        <v>19</v>
      </c>
      <c r="AD521" t="s">
        <v>1183</v>
      </c>
      <c r="AE521">
        <v>1.1228361807288344E-4</v>
      </c>
    </row>
    <row r="522" spans="29:31" x14ac:dyDescent="0.45">
      <c r="AC522" t="s">
        <v>19</v>
      </c>
      <c r="AD522" t="s">
        <v>1184</v>
      </c>
      <c r="AE522">
        <v>1.1289935004304351E-4</v>
      </c>
    </row>
    <row r="523" spans="29:31" x14ac:dyDescent="0.45">
      <c r="AC523" t="s">
        <v>19</v>
      </c>
      <c r="AD523" t="s">
        <v>1185</v>
      </c>
      <c r="AE523">
        <v>1.1356554921201076E-4</v>
      </c>
    </row>
    <row r="524" spans="29:31" x14ac:dyDescent="0.45">
      <c r="AC524" t="s">
        <v>19</v>
      </c>
      <c r="AD524" t="s">
        <v>1186</v>
      </c>
      <c r="AE524">
        <v>1.1365057197688016E-4</v>
      </c>
    </row>
    <row r="525" spans="29:31" x14ac:dyDescent="0.45">
      <c r="AC525" t="s">
        <v>19</v>
      </c>
      <c r="AD525" t="s">
        <v>1187</v>
      </c>
      <c r="AE525">
        <v>1.1364173218091074E-4</v>
      </c>
    </row>
    <row r="526" spans="29:31" x14ac:dyDescent="0.45">
      <c r="AC526" t="s">
        <v>19</v>
      </c>
      <c r="AD526" t="s">
        <v>1188</v>
      </c>
      <c r="AE526">
        <v>1.1365426861883102E-4</v>
      </c>
    </row>
    <row r="527" spans="29:31" x14ac:dyDescent="0.45">
      <c r="AC527" t="s">
        <v>19</v>
      </c>
      <c r="AD527" t="s">
        <v>1189</v>
      </c>
      <c r="AE527">
        <v>1.1365362572457868E-4</v>
      </c>
    </row>
    <row r="528" spans="29:31" x14ac:dyDescent="0.45">
      <c r="AC528" t="s">
        <v>19</v>
      </c>
      <c r="AD528" t="s">
        <v>1190</v>
      </c>
      <c r="AE528">
        <v>1.136089445740424E-4</v>
      </c>
    </row>
    <row r="529" spans="29:31" x14ac:dyDescent="0.45">
      <c r="AC529" t="s">
        <v>19</v>
      </c>
      <c r="AD529" t="s">
        <v>1191</v>
      </c>
      <c r="AE529">
        <v>1.1357069236602931E-4</v>
      </c>
    </row>
    <row r="530" spans="29:31" x14ac:dyDescent="0.45">
      <c r="AC530" t="s">
        <v>19</v>
      </c>
      <c r="AD530" t="s">
        <v>1192</v>
      </c>
      <c r="AE530">
        <v>1.1357069236602931E-4</v>
      </c>
    </row>
    <row r="531" spans="29:31" x14ac:dyDescent="0.45">
      <c r="AC531" t="s">
        <v>19</v>
      </c>
      <c r="AD531" t="s">
        <v>1193</v>
      </c>
      <c r="AE531">
        <v>1.1362565982460272E-4</v>
      </c>
    </row>
    <row r="532" spans="29:31" x14ac:dyDescent="0.45">
      <c r="AC532" t="s">
        <v>19</v>
      </c>
      <c r="AD532" t="s">
        <v>1194</v>
      </c>
      <c r="AE532">
        <v>1.1362565982460272E-4</v>
      </c>
    </row>
    <row r="533" spans="29:31" x14ac:dyDescent="0.45">
      <c r="AC533" t="s">
        <v>19</v>
      </c>
      <c r="AD533" t="s">
        <v>1195</v>
      </c>
      <c r="AE533">
        <v>1.1365716164296645E-4</v>
      </c>
    </row>
    <row r="534" spans="29:31" x14ac:dyDescent="0.45">
      <c r="AC534" t="s">
        <v>19</v>
      </c>
      <c r="AD534" t="s">
        <v>1196</v>
      </c>
      <c r="AE534">
        <v>1.1368062728317616E-4</v>
      </c>
    </row>
    <row r="535" spans="29:31" x14ac:dyDescent="0.45">
      <c r="AC535" t="s">
        <v>19</v>
      </c>
      <c r="AD535" t="s">
        <v>1197</v>
      </c>
      <c r="AE535">
        <v>1.1364446448148313E-4</v>
      </c>
    </row>
    <row r="536" spans="29:31" x14ac:dyDescent="0.45">
      <c r="AC536" t="s">
        <v>19</v>
      </c>
      <c r="AD536" t="s">
        <v>1198</v>
      </c>
      <c r="AE536">
        <v>1.1333057136278757E-4</v>
      </c>
    </row>
    <row r="537" spans="29:31" x14ac:dyDescent="0.45">
      <c r="AC537" t="s">
        <v>19</v>
      </c>
      <c r="AD537" t="s">
        <v>1199</v>
      </c>
      <c r="AE537">
        <v>1.1312307724285108E-4</v>
      </c>
    </row>
    <row r="538" spans="29:31" x14ac:dyDescent="0.45">
      <c r="AC538" t="s">
        <v>19</v>
      </c>
      <c r="AD538" t="s">
        <v>1200</v>
      </c>
      <c r="AE538">
        <v>1.1244385946527435E-4</v>
      </c>
    </row>
    <row r="539" spans="29:31" x14ac:dyDescent="0.45">
      <c r="AC539" t="s">
        <v>19</v>
      </c>
      <c r="AD539" t="s">
        <v>1201</v>
      </c>
      <c r="AE539">
        <v>1.1195027740305519E-4</v>
      </c>
    </row>
    <row r="540" spans="29:31" x14ac:dyDescent="0.45">
      <c r="AC540" t="s">
        <v>19</v>
      </c>
      <c r="AD540" t="s">
        <v>1202</v>
      </c>
      <c r="AE540">
        <v>1.1173490782852779E-4</v>
      </c>
    </row>
    <row r="541" spans="29:31" x14ac:dyDescent="0.45">
      <c r="AC541" t="s">
        <v>19</v>
      </c>
      <c r="AD541" t="s">
        <v>1203</v>
      </c>
      <c r="AE541">
        <v>1.1173490782852779E-4</v>
      </c>
    </row>
    <row r="542" spans="29:31" x14ac:dyDescent="0.45">
      <c r="AC542" t="s">
        <v>19</v>
      </c>
      <c r="AD542" t="s">
        <v>1204</v>
      </c>
      <c r="AE542">
        <v>1.1174953367276809E-4</v>
      </c>
    </row>
    <row r="543" spans="29:31" x14ac:dyDescent="0.45">
      <c r="AC543" t="s">
        <v>19</v>
      </c>
      <c r="AD543" t="s">
        <v>1205</v>
      </c>
      <c r="AE543">
        <v>1.1178119621469488E-4</v>
      </c>
    </row>
    <row r="544" spans="29:31" x14ac:dyDescent="0.45">
      <c r="AC544" t="s">
        <v>19</v>
      </c>
      <c r="AD544" t="s">
        <v>1206</v>
      </c>
      <c r="AE544">
        <v>1.1190189961056807E-4</v>
      </c>
    </row>
    <row r="545" spans="29:31" x14ac:dyDescent="0.45">
      <c r="AC545" t="s">
        <v>19</v>
      </c>
      <c r="AD545" t="s">
        <v>1207</v>
      </c>
      <c r="AE545">
        <v>1.1228361807288344E-4</v>
      </c>
    </row>
    <row r="546" spans="29:31" x14ac:dyDescent="0.45">
      <c r="AC546" t="s">
        <v>19</v>
      </c>
      <c r="AD546" t="s">
        <v>1208</v>
      </c>
      <c r="AE546">
        <v>1.1289935004304351E-4</v>
      </c>
    </row>
    <row r="547" spans="29:31" x14ac:dyDescent="0.45">
      <c r="AC547" t="s">
        <v>19</v>
      </c>
      <c r="AD547" t="s">
        <v>1209</v>
      </c>
      <c r="AE547">
        <v>1.1355944171661371E-4</v>
      </c>
    </row>
    <row r="548" spans="29:31" x14ac:dyDescent="0.45">
      <c r="AC548" t="s">
        <v>19</v>
      </c>
      <c r="AD548" t="s">
        <v>1210</v>
      </c>
      <c r="AE548">
        <v>1.1369541385097953E-4</v>
      </c>
    </row>
    <row r="549" spans="29:31" x14ac:dyDescent="0.45">
      <c r="AC549" t="s">
        <v>19</v>
      </c>
      <c r="AD549" t="s">
        <v>1211</v>
      </c>
      <c r="AE549">
        <v>1.1369316372109641E-4</v>
      </c>
    </row>
    <row r="550" spans="29:31" x14ac:dyDescent="0.45">
      <c r="AC550" t="s">
        <v>19</v>
      </c>
      <c r="AD550" t="s">
        <v>1212</v>
      </c>
      <c r="AE550">
        <v>1.1369171720902868E-4</v>
      </c>
    </row>
    <row r="551" spans="29:31" x14ac:dyDescent="0.45">
      <c r="AC551" t="s">
        <v>19</v>
      </c>
      <c r="AD551" t="s">
        <v>1213</v>
      </c>
      <c r="AE551">
        <v>1.1365860815503417E-4</v>
      </c>
    </row>
    <row r="552" spans="29:31" x14ac:dyDescent="0.45">
      <c r="AC552" t="s">
        <v>19</v>
      </c>
      <c r="AD552" t="s">
        <v>1214</v>
      </c>
      <c r="AE552">
        <v>1.1362244535334114E-4</v>
      </c>
    </row>
    <row r="553" spans="29:31" x14ac:dyDescent="0.45">
      <c r="AC553" t="s">
        <v>19</v>
      </c>
      <c r="AD553" t="s">
        <v>1215</v>
      </c>
      <c r="AE553">
        <v>1.1357069236602931E-4</v>
      </c>
    </row>
    <row r="554" spans="29:31" x14ac:dyDescent="0.45">
      <c r="AC554" t="s">
        <v>19</v>
      </c>
      <c r="AD554" t="s">
        <v>1216</v>
      </c>
      <c r="AE554">
        <v>1.1358419314532805E-4</v>
      </c>
    </row>
    <row r="555" spans="29:31" x14ac:dyDescent="0.45">
      <c r="AC555" t="s">
        <v>19</v>
      </c>
      <c r="AD555" t="s">
        <v>1217</v>
      </c>
      <c r="AE555">
        <v>1.1367982366536075E-4</v>
      </c>
    </row>
    <row r="556" spans="29:31" x14ac:dyDescent="0.45">
      <c r="AC556" t="s">
        <v>19</v>
      </c>
      <c r="AD556" t="s">
        <v>1218</v>
      </c>
      <c r="AE556">
        <v>1.1370955752453059E-4</v>
      </c>
    </row>
    <row r="557" spans="29:31" x14ac:dyDescent="0.45">
      <c r="AC557" t="s">
        <v>19</v>
      </c>
      <c r="AD557" t="s">
        <v>1219</v>
      </c>
      <c r="AE557">
        <v>1.1364992908262783E-4</v>
      </c>
    </row>
    <row r="558" spans="29:31" x14ac:dyDescent="0.45">
      <c r="AC558" t="s">
        <v>19</v>
      </c>
      <c r="AD558" t="s">
        <v>1220</v>
      </c>
      <c r="AE558">
        <v>1.1367162676364366E-4</v>
      </c>
    </row>
    <row r="559" spans="29:31" x14ac:dyDescent="0.45">
      <c r="AC559" t="s">
        <v>19</v>
      </c>
      <c r="AD559" t="s">
        <v>1221</v>
      </c>
      <c r="AE559">
        <v>1.1361971305276878E-4</v>
      </c>
    </row>
    <row r="560" spans="29:31" x14ac:dyDescent="0.45">
      <c r="AC560" t="s">
        <v>19</v>
      </c>
      <c r="AD560" t="s">
        <v>1222</v>
      </c>
      <c r="AE560">
        <v>1.1333105353347682E-4</v>
      </c>
    </row>
    <row r="561" spans="29:31" x14ac:dyDescent="0.45">
      <c r="AC561" t="s">
        <v>19</v>
      </c>
      <c r="AD561" t="s">
        <v>1223</v>
      </c>
      <c r="AE561">
        <v>1.1343825615005126E-4</v>
      </c>
    </row>
    <row r="562" spans="29:31" x14ac:dyDescent="0.45">
      <c r="AC562" t="s">
        <v>19</v>
      </c>
      <c r="AD562" t="s">
        <v>1224</v>
      </c>
      <c r="AE562">
        <v>1.1274955568225282E-4</v>
      </c>
    </row>
    <row r="563" spans="29:31" x14ac:dyDescent="0.45">
      <c r="AC563" t="s">
        <v>19</v>
      </c>
      <c r="AD563" t="s">
        <v>1225</v>
      </c>
      <c r="AE563">
        <v>1.1232122738664419E-4</v>
      </c>
    </row>
    <row r="564" spans="29:31" x14ac:dyDescent="0.45">
      <c r="AC564" t="s">
        <v>19</v>
      </c>
      <c r="AD564" t="s">
        <v>1226</v>
      </c>
      <c r="AE564">
        <v>1.122498661246366E-4</v>
      </c>
    </row>
    <row r="565" spans="29:31" x14ac:dyDescent="0.45">
      <c r="AC565" t="s">
        <v>19</v>
      </c>
      <c r="AD565" t="s">
        <v>1227</v>
      </c>
      <c r="AE565">
        <v>1.122498661246366E-4</v>
      </c>
    </row>
    <row r="566" spans="29:31" x14ac:dyDescent="0.45">
      <c r="AC566" t="s">
        <v>19</v>
      </c>
      <c r="AD566" t="s">
        <v>1228</v>
      </c>
      <c r="AE566">
        <v>1.1229165425103745E-4</v>
      </c>
    </row>
    <row r="567" spans="29:31" x14ac:dyDescent="0.45">
      <c r="AC567" t="s">
        <v>19</v>
      </c>
      <c r="AD567" t="s">
        <v>1229</v>
      </c>
      <c r="AE567">
        <v>1.1283586423562686E-4</v>
      </c>
    </row>
    <row r="568" spans="29:31" x14ac:dyDescent="0.45">
      <c r="AC568" t="s">
        <v>19</v>
      </c>
      <c r="AD568" t="s">
        <v>1230</v>
      </c>
      <c r="AE568">
        <v>1.1395916121799407E-4</v>
      </c>
    </row>
    <row r="569" spans="29:31" x14ac:dyDescent="0.45">
      <c r="AC569" t="s">
        <v>19</v>
      </c>
      <c r="AD569" t="s">
        <v>1231</v>
      </c>
      <c r="AE569">
        <v>1.1483076510057775E-4</v>
      </c>
    </row>
    <row r="570" spans="29:31" x14ac:dyDescent="0.45">
      <c r="AC570" t="s">
        <v>19</v>
      </c>
      <c r="AD570" t="s">
        <v>1232</v>
      </c>
      <c r="AE570">
        <v>1.153981192782507E-4</v>
      </c>
    </row>
    <row r="571" spans="29:31" x14ac:dyDescent="0.45">
      <c r="AC571" t="s">
        <v>19</v>
      </c>
      <c r="AD571" t="s">
        <v>1233</v>
      </c>
      <c r="AE571">
        <v>1.156419369234433E-4</v>
      </c>
    </row>
    <row r="572" spans="29:31" x14ac:dyDescent="0.45">
      <c r="AC572" t="s">
        <v>19</v>
      </c>
      <c r="AD572" t="s">
        <v>1234</v>
      </c>
      <c r="AE572">
        <v>1.1564065113493865E-4</v>
      </c>
    </row>
    <row r="573" spans="29:31" x14ac:dyDescent="0.45">
      <c r="AC573" t="s">
        <v>19</v>
      </c>
      <c r="AD573" t="s">
        <v>1235</v>
      </c>
      <c r="AE573">
        <v>1.1563165061540617E-4</v>
      </c>
    </row>
    <row r="574" spans="29:31" x14ac:dyDescent="0.45">
      <c r="AC574" t="s">
        <v>19</v>
      </c>
      <c r="AD574" t="s">
        <v>1236</v>
      </c>
      <c r="AE574">
        <v>1.156281146970184E-4</v>
      </c>
    </row>
    <row r="575" spans="29:31" x14ac:dyDescent="0.45">
      <c r="AC575" t="s">
        <v>19</v>
      </c>
      <c r="AD575" t="s">
        <v>1237</v>
      </c>
      <c r="AE575">
        <v>1.1561316740565196E-4</v>
      </c>
    </row>
    <row r="576" spans="29:31" x14ac:dyDescent="0.45">
      <c r="AC576" t="s">
        <v>19</v>
      </c>
      <c r="AD576" t="s">
        <v>1238</v>
      </c>
      <c r="AE576">
        <v>1.1557330796200807E-4</v>
      </c>
    </row>
    <row r="577" spans="29:31" x14ac:dyDescent="0.45">
      <c r="AC577" t="s">
        <v>19</v>
      </c>
      <c r="AD577" t="s">
        <v>1239</v>
      </c>
      <c r="AE577">
        <v>1.1548571362012939E-4</v>
      </c>
    </row>
    <row r="578" spans="29:31" x14ac:dyDescent="0.45">
      <c r="AC578" t="s">
        <v>19</v>
      </c>
      <c r="AD578" t="s">
        <v>1240</v>
      </c>
      <c r="AE578">
        <v>1.1550226814712663E-4</v>
      </c>
    </row>
    <row r="579" spans="29:31" x14ac:dyDescent="0.45">
      <c r="AC579" t="s">
        <v>19</v>
      </c>
      <c r="AD579" t="s">
        <v>1241</v>
      </c>
      <c r="AE579">
        <v>1.1553907384307199E-4</v>
      </c>
    </row>
    <row r="580" spans="29:31" x14ac:dyDescent="0.45">
      <c r="AC580" t="s">
        <v>19</v>
      </c>
      <c r="AD580" t="s">
        <v>1242</v>
      </c>
      <c r="AE580">
        <v>1.1562200720162135E-4</v>
      </c>
    </row>
    <row r="581" spans="29:31" x14ac:dyDescent="0.45">
      <c r="AC581" t="s">
        <v>19</v>
      </c>
      <c r="AD581" t="s">
        <v>1243</v>
      </c>
      <c r="AE581">
        <v>1.1561541753553507E-4</v>
      </c>
    </row>
    <row r="582" spans="29:31" x14ac:dyDescent="0.45">
      <c r="AC582" t="s">
        <v>19</v>
      </c>
      <c r="AD582" t="s">
        <v>1244</v>
      </c>
      <c r="AE582">
        <v>1.1541644176444183E-4</v>
      </c>
    </row>
    <row r="583" spans="29:31" x14ac:dyDescent="0.45">
      <c r="AC583" t="s">
        <v>19</v>
      </c>
      <c r="AD583" t="s">
        <v>1245</v>
      </c>
      <c r="AE583">
        <v>1.1459353712147144E-4</v>
      </c>
    </row>
    <row r="584" spans="29:31" x14ac:dyDescent="0.45">
      <c r="AC584" t="s">
        <v>19</v>
      </c>
      <c r="AD584" t="s">
        <v>1246</v>
      </c>
      <c r="AE584">
        <v>1.1406218502192844E-4</v>
      </c>
    </row>
    <row r="585" spans="29:31" x14ac:dyDescent="0.45">
      <c r="AC585" t="s">
        <v>19</v>
      </c>
      <c r="AD585" t="s">
        <v>1247</v>
      </c>
      <c r="AE585">
        <v>1.1344388147475907E-4</v>
      </c>
    </row>
    <row r="586" spans="29:31" x14ac:dyDescent="0.45">
      <c r="AC586" t="s">
        <v>19</v>
      </c>
      <c r="AD586" t="s">
        <v>1248</v>
      </c>
      <c r="AE586">
        <v>1.1273284043169248E-4</v>
      </c>
    </row>
    <row r="587" spans="29:31" x14ac:dyDescent="0.45">
      <c r="AC587" t="s">
        <v>19</v>
      </c>
      <c r="AD587" t="s">
        <v>337</v>
      </c>
      <c r="AE587">
        <v>2.0915466787247622E-2</v>
      </c>
    </row>
    <row r="588" spans="29:31" x14ac:dyDescent="0.45">
      <c r="AC588" t="s">
        <v>19</v>
      </c>
      <c r="AD588" t="s">
        <v>338</v>
      </c>
      <c r="AE588">
        <v>3.5425036657276538E-3</v>
      </c>
    </row>
    <row r="589" spans="29:31" x14ac:dyDescent="0.45">
      <c r="AC589" t="s">
        <v>19</v>
      </c>
      <c r="AD589" t="s">
        <v>339</v>
      </c>
      <c r="AE589">
        <v>3.5614042745751909E-3</v>
      </c>
    </row>
    <row r="590" spans="29:31" x14ac:dyDescent="0.45">
      <c r="AC590" t="s">
        <v>19</v>
      </c>
      <c r="AD590" t="s">
        <v>340</v>
      </c>
      <c r="AE590">
        <v>3.5678517003081517E-3</v>
      </c>
    </row>
    <row r="591" spans="29:31" x14ac:dyDescent="0.45">
      <c r="AC591" t="s">
        <v>19</v>
      </c>
      <c r="AD591" t="s">
        <v>341</v>
      </c>
      <c r="AE591">
        <v>2.4950444486950562E-2</v>
      </c>
    </row>
    <row r="592" spans="29:31" x14ac:dyDescent="0.45">
      <c r="AC592" t="s">
        <v>19</v>
      </c>
      <c r="AD592" t="s">
        <v>342</v>
      </c>
      <c r="AE592">
        <v>3.5633445294286949E-3</v>
      </c>
    </row>
    <row r="593" spans="29:31" x14ac:dyDescent="0.45">
      <c r="AC593" t="s">
        <v>19</v>
      </c>
      <c r="AD593" t="s">
        <v>343</v>
      </c>
      <c r="AE593">
        <v>3.5657004154163235E-3</v>
      </c>
    </row>
    <row r="594" spans="29:31" x14ac:dyDescent="0.45">
      <c r="AC594" t="s">
        <v>19</v>
      </c>
      <c r="AD594" t="s">
        <v>344</v>
      </c>
      <c r="AE594">
        <v>2.1219325933900073E-2</v>
      </c>
    </row>
    <row r="595" spans="29:31" x14ac:dyDescent="0.45">
      <c r="AC595" t="s">
        <v>19</v>
      </c>
      <c r="AD595" t="s">
        <v>703</v>
      </c>
      <c r="AE595">
        <v>1.5494149017923486E-2</v>
      </c>
    </row>
    <row r="596" spans="29:31" x14ac:dyDescent="0.45">
      <c r="AC596" t="s">
        <v>19</v>
      </c>
      <c r="AD596" t="s">
        <v>704</v>
      </c>
      <c r="AE596">
        <v>2.628199583592073E-3</v>
      </c>
    </row>
    <row r="597" spans="29:31" x14ac:dyDescent="0.45">
      <c r="AC597" t="s">
        <v>19</v>
      </c>
      <c r="AD597" t="s">
        <v>705</v>
      </c>
      <c r="AE597">
        <v>2.6373434685428294E-3</v>
      </c>
    </row>
    <row r="598" spans="29:31" x14ac:dyDescent="0.45">
      <c r="AC598" t="s">
        <v>19</v>
      </c>
      <c r="AD598" t="s">
        <v>706</v>
      </c>
      <c r="AE598">
        <v>2.645950858240024E-3</v>
      </c>
    </row>
    <row r="599" spans="29:31" x14ac:dyDescent="0.45">
      <c r="AC599" t="s">
        <v>19</v>
      </c>
      <c r="AD599" t="s">
        <v>707</v>
      </c>
      <c r="AE599">
        <v>1.8522296491079043E-2</v>
      </c>
    </row>
    <row r="600" spans="29:31" x14ac:dyDescent="0.45">
      <c r="AC600" t="s">
        <v>19</v>
      </c>
      <c r="AD600" t="s">
        <v>708</v>
      </c>
      <c r="AE600">
        <v>2.649486133733535E-3</v>
      </c>
    </row>
    <row r="601" spans="29:31" x14ac:dyDescent="0.45">
      <c r="AC601" t="s">
        <v>19</v>
      </c>
      <c r="AD601" t="s">
        <v>709</v>
      </c>
      <c r="AE601">
        <v>2.6510486882138002E-3</v>
      </c>
    </row>
    <row r="602" spans="29:31" x14ac:dyDescent="0.45">
      <c r="AC602" t="s">
        <v>19</v>
      </c>
      <c r="AD602" t="s">
        <v>710</v>
      </c>
      <c r="AE602">
        <v>1.576168351425488E-2</v>
      </c>
    </row>
    <row r="603" spans="29:31" x14ac:dyDescent="0.45">
      <c r="AC603" t="s">
        <v>19</v>
      </c>
      <c r="AD603" t="s">
        <v>1249</v>
      </c>
      <c r="AE603">
        <v>1.1229225595987672E-4</v>
      </c>
    </row>
    <row r="604" spans="29:31" x14ac:dyDescent="0.45">
      <c r="AC604" t="s">
        <v>19</v>
      </c>
      <c r="AD604" t="s">
        <v>1250</v>
      </c>
      <c r="AE604">
        <v>1.1206676080087526E-4</v>
      </c>
    </row>
    <row r="605" spans="29:31" x14ac:dyDescent="0.45">
      <c r="AC605" t="s">
        <v>19</v>
      </c>
      <c r="AD605" t="s">
        <v>1251</v>
      </c>
      <c r="AE605">
        <v>1.1204265226641324E-4</v>
      </c>
    </row>
    <row r="606" spans="29:31" x14ac:dyDescent="0.45">
      <c r="AC606" t="s">
        <v>19</v>
      </c>
      <c r="AD606" t="s">
        <v>1252</v>
      </c>
      <c r="AE606">
        <v>1.1204265226641324E-4</v>
      </c>
    </row>
    <row r="607" spans="29:31" x14ac:dyDescent="0.45">
      <c r="AC607" t="s">
        <v>19</v>
      </c>
      <c r="AD607" t="s">
        <v>1253</v>
      </c>
      <c r="AE607">
        <v>1.1236843892877671E-4</v>
      </c>
    </row>
    <row r="608" spans="29:31" x14ac:dyDescent="0.45">
      <c r="AC608" t="s">
        <v>19</v>
      </c>
      <c r="AD608" t="s">
        <v>1254</v>
      </c>
      <c r="AE608">
        <v>1.1392826110846963E-4</v>
      </c>
    </row>
    <row r="609" spans="29:31" x14ac:dyDescent="0.45">
      <c r="AC609" t="s">
        <v>19</v>
      </c>
      <c r="AD609" t="s">
        <v>1255</v>
      </c>
      <c r="AE609">
        <v>1.1511247232124421E-4</v>
      </c>
    </row>
    <row r="610" spans="29:31" x14ac:dyDescent="0.45">
      <c r="AC610" t="s">
        <v>19</v>
      </c>
      <c r="AD610" t="s">
        <v>1256</v>
      </c>
      <c r="AE610">
        <v>1.1549129775942413E-4</v>
      </c>
    </row>
    <row r="611" spans="29:31" x14ac:dyDescent="0.45">
      <c r="AC611" t="s">
        <v>19</v>
      </c>
      <c r="AD611" t="s">
        <v>1257</v>
      </c>
      <c r="AE611">
        <v>1.1574170507070301E-4</v>
      </c>
    </row>
    <row r="612" spans="29:31" x14ac:dyDescent="0.45">
      <c r="AC612" t="s">
        <v>19</v>
      </c>
      <c r="AD612" t="s">
        <v>1258</v>
      </c>
      <c r="AE612">
        <v>1.1578783273330703E-4</v>
      </c>
    </row>
    <row r="613" spans="29:31" x14ac:dyDescent="0.45">
      <c r="AC613" t="s">
        <v>19</v>
      </c>
      <c r="AD613" t="s">
        <v>1259</v>
      </c>
      <c r="AE613">
        <v>1.1566503993111379E-4</v>
      </c>
    </row>
    <row r="614" spans="29:31" x14ac:dyDescent="0.45">
      <c r="AC614" t="s">
        <v>19</v>
      </c>
      <c r="AD614" t="s">
        <v>1260</v>
      </c>
      <c r="AE614">
        <v>1.1563723475470093E-4</v>
      </c>
    </row>
    <row r="615" spans="29:31" x14ac:dyDescent="0.45">
      <c r="AC615" t="s">
        <v>19</v>
      </c>
      <c r="AD615" t="s">
        <v>1261</v>
      </c>
      <c r="AE615">
        <v>1.1564961046905809E-4</v>
      </c>
    </row>
    <row r="616" spans="29:31" x14ac:dyDescent="0.45">
      <c r="AC616" t="s">
        <v>19</v>
      </c>
      <c r="AD616" t="s">
        <v>1262</v>
      </c>
      <c r="AE616">
        <v>1.1564961046905809E-4</v>
      </c>
    </row>
    <row r="617" spans="29:31" x14ac:dyDescent="0.45">
      <c r="AC617" t="s">
        <v>19</v>
      </c>
      <c r="AD617" t="s">
        <v>1263</v>
      </c>
      <c r="AE617">
        <v>1.1560412570070641E-4</v>
      </c>
    </row>
    <row r="618" spans="29:31" x14ac:dyDescent="0.45">
      <c r="AC618" t="s">
        <v>19</v>
      </c>
      <c r="AD618" t="s">
        <v>1264</v>
      </c>
      <c r="AE618">
        <v>1.1563723475470093E-4</v>
      </c>
    </row>
    <row r="619" spans="29:31" x14ac:dyDescent="0.45">
      <c r="AC619" t="s">
        <v>19</v>
      </c>
      <c r="AD619" t="s">
        <v>1265</v>
      </c>
      <c r="AE619">
        <v>1.1565668230583361E-4</v>
      </c>
    </row>
    <row r="620" spans="29:31" x14ac:dyDescent="0.45">
      <c r="AC620" t="s">
        <v>19</v>
      </c>
      <c r="AD620" t="s">
        <v>1266</v>
      </c>
      <c r="AE620">
        <v>1.1565507507020282E-4</v>
      </c>
    </row>
    <row r="621" spans="29:31" x14ac:dyDescent="0.45">
      <c r="AC621" t="s">
        <v>19</v>
      </c>
      <c r="AD621" t="s">
        <v>1267</v>
      </c>
      <c r="AE621">
        <v>1.1565507507020282E-4</v>
      </c>
    </row>
    <row r="622" spans="29:31" x14ac:dyDescent="0.45">
      <c r="AC622" t="s">
        <v>19</v>
      </c>
      <c r="AD622" t="s">
        <v>1268</v>
      </c>
      <c r="AE622">
        <v>1.1543552668303533E-4</v>
      </c>
    </row>
    <row r="623" spans="29:31" x14ac:dyDescent="0.45">
      <c r="AC623" t="s">
        <v>19</v>
      </c>
      <c r="AD623" t="s">
        <v>1269</v>
      </c>
      <c r="AE623">
        <v>1.148866557151166E-4</v>
      </c>
    </row>
    <row r="624" spans="29:31" x14ac:dyDescent="0.45">
      <c r="AC624" t="s">
        <v>19</v>
      </c>
      <c r="AD624" t="s">
        <v>1270</v>
      </c>
      <c r="AE624">
        <v>1.1414989890195716E-4</v>
      </c>
    </row>
    <row r="625" spans="29:31" x14ac:dyDescent="0.45">
      <c r="AC625" t="s">
        <v>19</v>
      </c>
      <c r="AD625" t="s">
        <v>1271</v>
      </c>
      <c r="AE625">
        <v>1.1368733648741246E-4</v>
      </c>
    </row>
    <row r="626" spans="29:31" x14ac:dyDescent="0.45">
      <c r="AC626" t="s">
        <v>19</v>
      </c>
      <c r="AD626" t="s">
        <v>1272</v>
      </c>
      <c r="AE626">
        <v>1.1272829898651318E-4</v>
      </c>
    </row>
    <row r="627" spans="29:31" x14ac:dyDescent="0.45">
      <c r="AC627" t="s">
        <v>19</v>
      </c>
      <c r="AD627" t="s">
        <v>1273</v>
      </c>
      <c r="AE627">
        <v>1.1228984510643054E-4</v>
      </c>
    </row>
    <row r="628" spans="29:31" x14ac:dyDescent="0.45">
      <c r="AC628" t="s">
        <v>19</v>
      </c>
      <c r="AD628" t="s">
        <v>1274</v>
      </c>
      <c r="AE628">
        <v>1.1206676080087527E-4</v>
      </c>
    </row>
    <row r="629" spans="29:31" x14ac:dyDescent="0.45">
      <c r="AC629" t="s">
        <v>19</v>
      </c>
      <c r="AD629" t="s">
        <v>1275</v>
      </c>
      <c r="AE629">
        <v>1.1205342074513962E-4</v>
      </c>
    </row>
    <row r="630" spans="29:31" x14ac:dyDescent="0.45">
      <c r="AC630" t="s">
        <v>19</v>
      </c>
      <c r="AD630" t="s">
        <v>1276</v>
      </c>
      <c r="AE630">
        <v>1.1211128122784847E-4</v>
      </c>
    </row>
    <row r="631" spans="29:31" x14ac:dyDescent="0.45">
      <c r="AC631" t="s">
        <v>19</v>
      </c>
      <c r="AD631" t="s">
        <v>1277</v>
      </c>
      <c r="AE631">
        <v>1.1246053353042166E-4</v>
      </c>
    </row>
    <row r="632" spans="29:31" x14ac:dyDescent="0.45">
      <c r="AC632" t="s">
        <v>19</v>
      </c>
      <c r="AD632" t="s">
        <v>1278</v>
      </c>
      <c r="AE632">
        <v>1.1424954751106688E-4</v>
      </c>
    </row>
    <row r="633" spans="29:31" x14ac:dyDescent="0.45">
      <c r="AC633" t="s">
        <v>19</v>
      </c>
      <c r="AD633" t="s">
        <v>1279</v>
      </c>
      <c r="AE633">
        <v>1.1536014733195074E-4</v>
      </c>
    </row>
    <row r="634" spans="29:31" x14ac:dyDescent="0.45">
      <c r="AC634" t="s">
        <v>19</v>
      </c>
      <c r="AD634" t="s">
        <v>1280</v>
      </c>
      <c r="AE634">
        <v>1.1563835981964249E-4</v>
      </c>
    </row>
    <row r="635" spans="29:31" x14ac:dyDescent="0.45">
      <c r="AC635" t="s">
        <v>19</v>
      </c>
      <c r="AD635" t="s">
        <v>1281</v>
      </c>
      <c r="AE635">
        <v>1.1595064570270724E-4</v>
      </c>
    </row>
    <row r="636" spans="29:31" x14ac:dyDescent="0.45">
      <c r="AC636" t="s">
        <v>19</v>
      </c>
      <c r="AD636" t="s">
        <v>1282</v>
      </c>
      <c r="AE636">
        <v>1.1609674342154711E-4</v>
      </c>
    </row>
    <row r="637" spans="29:31" x14ac:dyDescent="0.45">
      <c r="AC637" t="s">
        <v>19</v>
      </c>
      <c r="AD637" t="s">
        <v>1283</v>
      </c>
      <c r="AE637">
        <v>1.1595723536879352E-4</v>
      </c>
    </row>
    <row r="638" spans="29:31" x14ac:dyDescent="0.45">
      <c r="AC638" t="s">
        <v>19</v>
      </c>
      <c r="AD638" t="s">
        <v>1284</v>
      </c>
      <c r="AE638">
        <v>1.1584826479302517E-4</v>
      </c>
    </row>
    <row r="639" spans="29:31" x14ac:dyDescent="0.45">
      <c r="AC639" t="s">
        <v>19</v>
      </c>
      <c r="AD639" t="s">
        <v>1285</v>
      </c>
      <c r="AE639">
        <v>1.1580278002467349E-4</v>
      </c>
    </row>
    <row r="640" spans="29:31" x14ac:dyDescent="0.45">
      <c r="AC640" t="s">
        <v>19</v>
      </c>
      <c r="AD640" t="s">
        <v>1286</v>
      </c>
      <c r="AE640">
        <v>1.1579924410628573E-4</v>
      </c>
    </row>
    <row r="641" spans="29:31" x14ac:dyDescent="0.45">
      <c r="AC641" t="s">
        <v>19</v>
      </c>
      <c r="AD641" t="s">
        <v>1287</v>
      </c>
      <c r="AE641">
        <v>1.1580278002467349E-4</v>
      </c>
    </row>
    <row r="642" spans="29:31" x14ac:dyDescent="0.45">
      <c r="AC642" t="s">
        <v>19</v>
      </c>
      <c r="AD642" t="s">
        <v>1288</v>
      </c>
      <c r="AE642">
        <v>1.1583331750165873E-4</v>
      </c>
    </row>
    <row r="643" spans="29:31" x14ac:dyDescent="0.45">
      <c r="AC643" t="s">
        <v>19</v>
      </c>
      <c r="AD643" t="s">
        <v>1289</v>
      </c>
      <c r="AE643">
        <v>1.1599002297566187E-4</v>
      </c>
    </row>
    <row r="644" spans="29:31" x14ac:dyDescent="0.45">
      <c r="AC644" t="s">
        <v>19</v>
      </c>
      <c r="AD644" t="s">
        <v>1290</v>
      </c>
      <c r="AE644">
        <v>1.1601091703886231E-4</v>
      </c>
    </row>
    <row r="645" spans="29:31" x14ac:dyDescent="0.45">
      <c r="AC645" t="s">
        <v>19</v>
      </c>
      <c r="AD645" t="s">
        <v>1291</v>
      </c>
      <c r="AE645">
        <v>1.1607761731754056E-4</v>
      </c>
    </row>
    <row r="646" spans="29:31" x14ac:dyDescent="0.45">
      <c r="AC646" t="s">
        <v>19</v>
      </c>
      <c r="AD646" t="s">
        <v>1292</v>
      </c>
      <c r="AE646">
        <v>1.1589342811425071E-4</v>
      </c>
    </row>
    <row r="647" spans="29:31" x14ac:dyDescent="0.45">
      <c r="AC647" t="s">
        <v>19</v>
      </c>
      <c r="AD647" t="s">
        <v>1293</v>
      </c>
      <c r="AE647">
        <v>1.1533153853772247E-4</v>
      </c>
    </row>
    <row r="648" spans="29:31" x14ac:dyDescent="0.45">
      <c r="AC648" t="s">
        <v>19</v>
      </c>
      <c r="AD648" t="s">
        <v>1294</v>
      </c>
      <c r="AE648">
        <v>1.1461230059293877E-4</v>
      </c>
    </row>
    <row r="649" spans="29:31" x14ac:dyDescent="0.45">
      <c r="AC649" t="s">
        <v>19</v>
      </c>
      <c r="AD649" t="s">
        <v>1295</v>
      </c>
      <c r="AE649">
        <v>1.1397358515325825E-4</v>
      </c>
    </row>
    <row r="650" spans="29:31" x14ac:dyDescent="0.45">
      <c r="AC650" t="s">
        <v>19</v>
      </c>
      <c r="AD650" t="s">
        <v>1296</v>
      </c>
      <c r="AE650">
        <v>1.1268892171355856E-4</v>
      </c>
    </row>
    <row r="651" spans="29:31" x14ac:dyDescent="0.45">
      <c r="AC651" t="s">
        <v>19</v>
      </c>
      <c r="AD651" t="s">
        <v>1297</v>
      </c>
      <c r="AE651">
        <v>1.1237567148911532E-4</v>
      </c>
    </row>
    <row r="652" spans="29:31" x14ac:dyDescent="0.45">
      <c r="AC652" t="s">
        <v>19</v>
      </c>
      <c r="AD652" t="s">
        <v>1298</v>
      </c>
      <c r="AE652">
        <v>1.1217749933583748E-4</v>
      </c>
    </row>
    <row r="653" spans="29:31" x14ac:dyDescent="0.45">
      <c r="AC653" t="s">
        <v>19</v>
      </c>
      <c r="AD653" t="s">
        <v>1299</v>
      </c>
      <c r="AE653">
        <v>1.1215355152493855E-4</v>
      </c>
    </row>
    <row r="654" spans="29:31" x14ac:dyDescent="0.45">
      <c r="AC654" t="s">
        <v>19</v>
      </c>
      <c r="AD654" t="s">
        <v>1300</v>
      </c>
      <c r="AE654">
        <v>1.1217396341744972E-4</v>
      </c>
    </row>
    <row r="655" spans="29:31" x14ac:dyDescent="0.45">
      <c r="AC655" t="s">
        <v>19</v>
      </c>
      <c r="AD655" t="s">
        <v>1301</v>
      </c>
      <c r="AE655">
        <v>1.1258123692629485E-4</v>
      </c>
    </row>
    <row r="656" spans="29:31" x14ac:dyDescent="0.45">
      <c r="AC656" t="s">
        <v>19</v>
      </c>
      <c r="AD656" t="s">
        <v>1302</v>
      </c>
      <c r="AE656">
        <v>1.1429069274321539E-4</v>
      </c>
    </row>
    <row r="657" spans="29:31" x14ac:dyDescent="0.45">
      <c r="AC657" t="s">
        <v>19</v>
      </c>
      <c r="AD657" t="s">
        <v>1303</v>
      </c>
      <c r="AE657">
        <v>1.154908155887349E-4</v>
      </c>
    </row>
    <row r="658" spans="29:31" x14ac:dyDescent="0.45">
      <c r="AC658" t="s">
        <v>19</v>
      </c>
      <c r="AD658" t="s">
        <v>1304</v>
      </c>
      <c r="AE658">
        <v>1.1574716967184774E-4</v>
      </c>
    </row>
    <row r="659" spans="29:31" x14ac:dyDescent="0.45">
      <c r="AC659" t="s">
        <v>19</v>
      </c>
      <c r="AD659" t="s">
        <v>1305</v>
      </c>
      <c r="AE659">
        <v>1.1611201216003971E-4</v>
      </c>
    </row>
    <row r="660" spans="29:31" x14ac:dyDescent="0.45">
      <c r="AC660" t="s">
        <v>19</v>
      </c>
      <c r="AD660" t="s">
        <v>1306</v>
      </c>
      <c r="AE660">
        <v>1.163161310851515E-4</v>
      </c>
    </row>
    <row r="661" spans="29:31" x14ac:dyDescent="0.45">
      <c r="AC661" t="s">
        <v>19</v>
      </c>
      <c r="AD661" t="s">
        <v>1307</v>
      </c>
      <c r="AE661">
        <v>1.1617308711401017E-4</v>
      </c>
    </row>
    <row r="662" spans="29:31" x14ac:dyDescent="0.45">
      <c r="AC662" t="s">
        <v>19</v>
      </c>
      <c r="AD662" t="s">
        <v>1308</v>
      </c>
      <c r="AE662">
        <v>1.1600529171415447E-4</v>
      </c>
    </row>
    <row r="663" spans="29:31" x14ac:dyDescent="0.45">
      <c r="AC663" t="s">
        <v>19</v>
      </c>
      <c r="AD663" t="s">
        <v>1309</v>
      </c>
      <c r="AE663">
        <v>1.1597202193659689E-4</v>
      </c>
    </row>
    <row r="664" spans="29:31" x14ac:dyDescent="0.45">
      <c r="AC664" t="s">
        <v>19</v>
      </c>
      <c r="AD664" t="s">
        <v>1310</v>
      </c>
      <c r="AE664">
        <v>1.1597202193659689E-4</v>
      </c>
    </row>
    <row r="665" spans="29:31" x14ac:dyDescent="0.45">
      <c r="AC665" t="s">
        <v>19</v>
      </c>
      <c r="AD665" t="s">
        <v>1311</v>
      </c>
      <c r="AE665">
        <v>1.1597202193659689E-4</v>
      </c>
    </row>
    <row r="666" spans="29:31" x14ac:dyDescent="0.45">
      <c r="AC666" t="s">
        <v>19</v>
      </c>
      <c r="AD666" t="s">
        <v>1312</v>
      </c>
      <c r="AE666">
        <v>1.1605238371813696E-4</v>
      </c>
    </row>
    <row r="667" spans="29:31" x14ac:dyDescent="0.45">
      <c r="AC667" t="s">
        <v>19</v>
      </c>
      <c r="AD667" t="s">
        <v>1313</v>
      </c>
      <c r="AE667">
        <v>1.1624782357084245E-4</v>
      </c>
    </row>
    <row r="668" spans="29:31" x14ac:dyDescent="0.45">
      <c r="AC668" t="s">
        <v>19</v>
      </c>
      <c r="AD668" t="s">
        <v>1314</v>
      </c>
      <c r="AE668">
        <v>1.1624782357084245E-4</v>
      </c>
    </row>
    <row r="669" spans="29:31" x14ac:dyDescent="0.45">
      <c r="AC669" t="s">
        <v>19</v>
      </c>
      <c r="AD669" t="s">
        <v>1315</v>
      </c>
      <c r="AE669">
        <v>1.1623657292142682E-4</v>
      </c>
    </row>
    <row r="670" spans="29:31" x14ac:dyDescent="0.45">
      <c r="AC670" t="s">
        <v>19</v>
      </c>
      <c r="AD670" t="s">
        <v>1316</v>
      </c>
      <c r="AE670">
        <v>1.1595016353201798E-4</v>
      </c>
    </row>
    <row r="671" spans="29:31" x14ac:dyDescent="0.45">
      <c r="AC671" t="s">
        <v>19</v>
      </c>
      <c r="AD671" t="s">
        <v>1317</v>
      </c>
      <c r="AE671">
        <v>1.1533153853772247E-4</v>
      </c>
    </row>
    <row r="672" spans="29:31" x14ac:dyDescent="0.45">
      <c r="AC672" t="s">
        <v>19</v>
      </c>
      <c r="AD672" t="s">
        <v>1318</v>
      </c>
      <c r="AE672">
        <v>1.1461230059293877E-4</v>
      </c>
    </row>
    <row r="673" spans="29:31" x14ac:dyDescent="0.45">
      <c r="AC673" t="s">
        <v>19</v>
      </c>
      <c r="AD673" t="s">
        <v>1319</v>
      </c>
      <c r="AE673">
        <v>1.1396426318659958E-4</v>
      </c>
    </row>
    <row r="674" spans="29:31" x14ac:dyDescent="0.45">
      <c r="AC674" t="s">
        <v>19</v>
      </c>
      <c r="AD674" t="s">
        <v>1320</v>
      </c>
      <c r="AE674">
        <v>1.1277185507210791E-4</v>
      </c>
    </row>
    <row r="675" spans="29:31" x14ac:dyDescent="0.45">
      <c r="AC675" t="s">
        <v>19</v>
      </c>
      <c r="AD675" t="s">
        <v>1321</v>
      </c>
      <c r="AE675">
        <v>1.123888508212879E-4</v>
      </c>
    </row>
    <row r="676" spans="29:31" x14ac:dyDescent="0.45">
      <c r="AC676" t="s">
        <v>19</v>
      </c>
      <c r="AD676" t="s">
        <v>1322</v>
      </c>
      <c r="AE676">
        <v>1.1220241148811492E-4</v>
      </c>
    </row>
    <row r="677" spans="29:31" x14ac:dyDescent="0.45">
      <c r="AC677" t="s">
        <v>19</v>
      </c>
      <c r="AD677" t="s">
        <v>1323</v>
      </c>
      <c r="AE677">
        <v>1.1217846367721599E-4</v>
      </c>
    </row>
    <row r="678" spans="29:31" x14ac:dyDescent="0.45">
      <c r="AC678" t="s">
        <v>19</v>
      </c>
      <c r="AD678" t="s">
        <v>1324</v>
      </c>
      <c r="AE678">
        <v>1.1217846367721599E-4</v>
      </c>
    </row>
    <row r="679" spans="29:31" x14ac:dyDescent="0.45">
      <c r="AC679" t="s">
        <v>19</v>
      </c>
      <c r="AD679" t="s">
        <v>1325</v>
      </c>
      <c r="AE679">
        <v>1.1257609377227628E-4</v>
      </c>
    </row>
    <row r="680" spans="29:31" x14ac:dyDescent="0.45">
      <c r="AC680" t="s">
        <v>19</v>
      </c>
      <c r="AD680" t="s">
        <v>1326</v>
      </c>
      <c r="AE680">
        <v>1.1424954751106688E-4</v>
      </c>
    </row>
    <row r="681" spans="29:31" x14ac:dyDescent="0.45">
      <c r="AC681" t="s">
        <v>19</v>
      </c>
      <c r="AD681" t="s">
        <v>1327</v>
      </c>
      <c r="AE681">
        <v>1.1536014733195074E-4</v>
      </c>
    </row>
    <row r="682" spans="29:31" x14ac:dyDescent="0.45">
      <c r="AC682" t="s">
        <v>19</v>
      </c>
      <c r="AD682" t="s">
        <v>1328</v>
      </c>
      <c r="AE682">
        <v>1.155734275001581E-4</v>
      </c>
    </row>
    <row r="683" spans="29:31" x14ac:dyDescent="0.45">
      <c r="AC683" t="s">
        <v>19</v>
      </c>
      <c r="AD683" t="s">
        <v>1329</v>
      </c>
      <c r="AE683">
        <v>1.15839907167745E-4</v>
      </c>
    </row>
    <row r="684" spans="29:31" x14ac:dyDescent="0.45">
      <c r="AC684" t="s">
        <v>19</v>
      </c>
      <c r="AD684" t="s">
        <v>1330</v>
      </c>
      <c r="AE684">
        <v>1.1594919919063951E-4</v>
      </c>
    </row>
    <row r="685" spans="29:31" x14ac:dyDescent="0.45">
      <c r="AC685" t="s">
        <v>19</v>
      </c>
      <c r="AD685" t="s">
        <v>1331</v>
      </c>
      <c r="AE685">
        <v>1.1593618058203002E-4</v>
      </c>
    </row>
    <row r="686" spans="29:31" x14ac:dyDescent="0.45">
      <c r="AC686" t="s">
        <v>19</v>
      </c>
      <c r="AD686" t="s">
        <v>1332</v>
      </c>
      <c r="AE686">
        <v>1.1584826479302517E-4</v>
      </c>
    </row>
    <row r="687" spans="29:31" x14ac:dyDescent="0.45">
      <c r="AC687" t="s">
        <v>19</v>
      </c>
      <c r="AD687" t="s">
        <v>1333</v>
      </c>
      <c r="AE687">
        <v>1.1583910354992962E-4</v>
      </c>
    </row>
    <row r="688" spans="29:31" x14ac:dyDescent="0.45">
      <c r="AC688" t="s">
        <v>19</v>
      </c>
      <c r="AD688" t="s">
        <v>1334</v>
      </c>
      <c r="AE688">
        <v>1.1580278002467349E-4</v>
      </c>
    </row>
    <row r="689" spans="29:31" x14ac:dyDescent="0.45">
      <c r="AC689" t="s">
        <v>19</v>
      </c>
      <c r="AD689" t="s">
        <v>1335</v>
      </c>
      <c r="AE689">
        <v>1.1580278002467349E-4</v>
      </c>
    </row>
    <row r="690" spans="29:31" x14ac:dyDescent="0.45">
      <c r="AC690" t="s">
        <v>19</v>
      </c>
      <c r="AD690" t="s">
        <v>1336</v>
      </c>
      <c r="AE690">
        <v>1.1581869165741843E-4</v>
      </c>
    </row>
    <row r="691" spans="29:31" x14ac:dyDescent="0.45">
      <c r="AC691" t="s">
        <v>19</v>
      </c>
      <c r="AD691" t="s">
        <v>1337</v>
      </c>
      <c r="AE691">
        <v>1.1583829993211419E-4</v>
      </c>
    </row>
    <row r="692" spans="29:31" x14ac:dyDescent="0.45">
      <c r="AC692" t="s">
        <v>19</v>
      </c>
      <c r="AD692" t="s">
        <v>1338</v>
      </c>
      <c r="AE692">
        <v>1.1583669269648342E-4</v>
      </c>
    </row>
    <row r="693" spans="29:31" x14ac:dyDescent="0.45">
      <c r="AC693" t="s">
        <v>19</v>
      </c>
      <c r="AD693" t="s">
        <v>1339</v>
      </c>
      <c r="AE693">
        <v>1.1583669269648342E-4</v>
      </c>
    </row>
    <row r="694" spans="29:31" x14ac:dyDescent="0.45">
      <c r="AC694" t="s">
        <v>19</v>
      </c>
      <c r="AD694" t="s">
        <v>1340</v>
      </c>
      <c r="AE694">
        <v>1.1559062492140769E-4</v>
      </c>
    </row>
    <row r="695" spans="29:31" x14ac:dyDescent="0.45">
      <c r="AC695" t="s">
        <v>19</v>
      </c>
      <c r="AD695" t="s">
        <v>1341</v>
      </c>
      <c r="AE695">
        <v>1.1504979013164295E-4</v>
      </c>
    </row>
    <row r="696" spans="29:31" x14ac:dyDescent="0.45">
      <c r="AC696" t="s">
        <v>19</v>
      </c>
      <c r="AD696" t="s">
        <v>1342</v>
      </c>
      <c r="AE696">
        <v>1.1431865864319135E-4</v>
      </c>
    </row>
    <row r="697" spans="29:31" x14ac:dyDescent="0.45">
      <c r="AC697" t="s">
        <v>19</v>
      </c>
      <c r="AD697" t="s">
        <v>1343</v>
      </c>
      <c r="AE697">
        <v>1.1375050084770298E-4</v>
      </c>
    </row>
    <row r="698" spans="29:31" x14ac:dyDescent="0.45">
      <c r="AC698" t="s">
        <v>19</v>
      </c>
      <c r="AD698" t="s">
        <v>1344</v>
      </c>
      <c r="AE698">
        <v>1.1256484312286067E-4</v>
      </c>
    </row>
    <row r="699" spans="29:31" x14ac:dyDescent="0.45">
      <c r="AC699" t="s">
        <v>19</v>
      </c>
      <c r="AD699" t="s">
        <v>1345</v>
      </c>
      <c r="AE699">
        <v>1.1214326521690142E-4</v>
      </c>
    </row>
    <row r="700" spans="29:31" x14ac:dyDescent="0.45">
      <c r="AC700" t="s">
        <v>19</v>
      </c>
      <c r="AD700" t="s">
        <v>1346</v>
      </c>
      <c r="AE700">
        <v>1.1187341035448985E-4</v>
      </c>
    </row>
    <row r="701" spans="29:31" x14ac:dyDescent="0.45">
      <c r="AC701" t="s">
        <v>19</v>
      </c>
      <c r="AD701" t="s">
        <v>1347</v>
      </c>
      <c r="AE701">
        <v>1.1180028113328838E-4</v>
      </c>
    </row>
    <row r="702" spans="29:31" x14ac:dyDescent="0.45">
      <c r="AC702" t="s">
        <v>19</v>
      </c>
      <c r="AD702" t="s">
        <v>1348</v>
      </c>
      <c r="AE702">
        <v>1.1180028113328838E-4</v>
      </c>
    </row>
    <row r="703" spans="29:31" x14ac:dyDescent="0.45">
      <c r="AC703" t="s">
        <v>19</v>
      </c>
      <c r="AD703" t="s">
        <v>1349</v>
      </c>
      <c r="AE703">
        <v>1.1185171267347402E-4</v>
      </c>
    </row>
    <row r="704" spans="29:31" x14ac:dyDescent="0.45">
      <c r="AC704" t="s">
        <v>19</v>
      </c>
      <c r="AD704" t="s">
        <v>1350</v>
      </c>
      <c r="AE704">
        <v>1.1214149725770754E-4</v>
      </c>
    </row>
    <row r="705" spans="29:31" x14ac:dyDescent="0.45">
      <c r="AC705" t="s">
        <v>19</v>
      </c>
      <c r="AD705" t="s">
        <v>1351</v>
      </c>
      <c r="AE705">
        <v>1.1256468239929759E-4</v>
      </c>
    </row>
    <row r="706" spans="29:31" x14ac:dyDescent="0.45">
      <c r="AC706" t="s">
        <v>19</v>
      </c>
      <c r="AD706" t="s">
        <v>1352</v>
      </c>
      <c r="AE706">
        <v>1.1308574819080347E-4</v>
      </c>
    </row>
    <row r="707" spans="29:31" x14ac:dyDescent="0.45">
      <c r="AC707" t="s">
        <v>19</v>
      </c>
      <c r="AD707" t="s">
        <v>1353</v>
      </c>
      <c r="AE707">
        <v>1.1376609103332177E-4</v>
      </c>
    </row>
    <row r="708" spans="29:31" x14ac:dyDescent="0.45">
      <c r="AC708" t="s">
        <v>19</v>
      </c>
      <c r="AD708" t="s">
        <v>1354</v>
      </c>
      <c r="AE708">
        <v>1.141643640226344E-4</v>
      </c>
    </row>
    <row r="709" spans="29:31" x14ac:dyDescent="0.45">
      <c r="AC709" t="s">
        <v>19</v>
      </c>
      <c r="AD709" t="s">
        <v>1355</v>
      </c>
      <c r="AE709">
        <v>1.1403755313136414E-4</v>
      </c>
    </row>
    <row r="710" spans="29:31" x14ac:dyDescent="0.45">
      <c r="AC710" t="s">
        <v>19</v>
      </c>
      <c r="AD710" t="s">
        <v>1356</v>
      </c>
      <c r="AE710">
        <v>1.1402855261183166E-4</v>
      </c>
    </row>
    <row r="711" spans="29:31" x14ac:dyDescent="0.45">
      <c r="AC711" t="s">
        <v>19</v>
      </c>
      <c r="AD711" t="s">
        <v>1357</v>
      </c>
      <c r="AE711">
        <v>1.1404800016296434E-4</v>
      </c>
    </row>
    <row r="712" spans="29:31" x14ac:dyDescent="0.45">
      <c r="AC712" t="s">
        <v>19</v>
      </c>
      <c r="AD712" t="s">
        <v>1358</v>
      </c>
      <c r="AE712">
        <v>1.1406166166582616E-4</v>
      </c>
    </row>
    <row r="713" spans="29:31" x14ac:dyDescent="0.45">
      <c r="AC713" t="s">
        <v>19</v>
      </c>
      <c r="AD713" t="s">
        <v>1359</v>
      </c>
      <c r="AE713">
        <v>1.1406166166582616E-4</v>
      </c>
    </row>
    <row r="714" spans="29:31" x14ac:dyDescent="0.45">
      <c r="AC714" t="s">
        <v>19</v>
      </c>
      <c r="AD714" t="s">
        <v>1360</v>
      </c>
      <c r="AE714">
        <v>1.1409557433763608E-4</v>
      </c>
    </row>
    <row r="715" spans="29:31" x14ac:dyDescent="0.45">
      <c r="AC715" t="s">
        <v>19</v>
      </c>
      <c r="AD715" t="s">
        <v>1361</v>
      </c>
      <c r="AE715">
        <v>1.1452583131600167E-4</v>
      </c>
    </row>
    <row r="716" spans="29:31" x14ac:dyDescent="0.45">
      <c r="AC716" t="s">
        <v>19</v>
      </c>
      <c r="AD716" t="s">
        <v>1362</v>
      </c>
      <c r="AE716">
        <v>1.1459719257800926E-4</v>
      </c>
    </row>
    <row r="717" spans="29:31" x14ac:dyDescent="0.45">
      <c r="AC717" t="s">
        <v>19</v>
      </c>
      <c r="AD717" t="s">
        <v>1363</v>
      </c>
      <c r="AE717">
        <v>1.1473075385892885E-4</v>
      </c>
    </row>
    <row r="718" spans="29:31" x14ac:dyDescent="0.45">
      <c r="AC718" t="s">
        <v>19</v>
      </c>
      <c r="AD718" t="s">
        <v>1364</v>
      </c>
      <c r="AE718">
        <v>1.1458385252227358E-4</v>
      </c>
    </row>
    <row r="719" spans="29:31" x14ac:dyDescent="0.45">
      <c r="AC719" t="s">
        <v>19</v>
      </c>
      <c r="AD719" t="s">
        <v>1365</v>
      </c>
      <c r="AE719">
        <v>1.1431303331848353E-4</v>
      </c>
    </row>
    <row r="720" spans="29:31" x14ac:dyDescent="0.45">
      <c r="AC720" t="s">
        <v>19</v>
      </c>
      <c r="AD720" t="s">
        <v>1366</v>
      </c>
      <c r="AE720">
        <v>1.1387747246253629E-4</v>
      </c>
    </row>
    <row r="721" spans="29:31" x14ac:dyDescent="0.45">
      <c r="AC721" t="s">
        <v>19</v>
      </c>
      <c r="AD721" t="s">
        <v>1367</v>
      </c>
      <c r="AE721">
        <v>1.1346393073473106E-4</v>
      </c>
    </row>
    <row r="722" spans="29:31" x14ac:dyDescent="0.45">
      <c r="AC722" t="s">
        <v>19</v>
      </c>
      <c r="AD722" t="s">
        <v>1368</v>
      </c>
      <c r="AE722">
        <v>1.1265999147220413E-4</v>
      </c>
    </row>
    <row r="723" spans="29:31" x14ac:dyDescent="0.45">
      <c r="AC723" t="s">
        <v>19</v>
      </c>
      <c r="AD723" t="s">
        <v>1369</v>
      </c>
      <c r="AE723">
        <v>1.1218424972548685E-4</v>
      </c>
    </row>
    <row r="724" spans="29:31" x14ac:dyDescent="0.45">
      <c r="AC724" t="s">
        <v>19</v>
      </c>
      <c r="AD724" t="s">
        <v>1370</v>
      </c>
      <c r="AE724">
        <v>1.1200375716414786E-4</v>
      </c>
    </row>
    <row r="725" spans="29:31" x14ac:dyDescent="0.45">
      <c r="AC725" t="s">
        <v>19</v>
      </c>
      <c r="AD725" t="s">
        <v>1371</v>
      </c>
      <c r="AE725">
        <v>1.1192885998375249E-4</v>
      </c>
    </row>
    <row r="726" spans="29:31" x14ac:dyDescent="0.45">
      <c r="AC726" t="s">
        <v>19</v>
      </c>
      <c r="AD726" t="s">
        <v>1372</v>
      </c>
      <c r="AE726">
        <v>1.1191246618031833E-4</v>
      </c>
    </row>
    <row r="727" spans="29:31" x14ac:dyDescent="0.45">
      <c r="AC727" t="s">
        <v>19</v>
      </c>
      <c r="AD727" t="s">
        <v>1373</v>
      </c>
      <c r="AE727">
        <v>1.1198029152393815E-4</v>
      </c>
    </row>
    <row r="728" spans="29:31" x14ac:dyDescent="0.45">
      <c r="AC728" t="s">
        <v>19</v>
      </c>
      <c r="AD728" t="s">
        <v>1374</v>
      </c>
      <c r="AE728">
        <v>1.1221494792603519E-4</v>
      </c>
    </row>
    <row r="729" spans="29:31" x14ac:dyDescent="0.45">
      <c r="AC729" t="s">
        <v>19</v>
      </c>
      <c r="AD729" t="s">
        <v>1375</v>
      </c>
      <c r="AE729">
        <v>1.1264600852221615E-4</v>
      </c>
    </row>
    <row r="730" spans="29:31" x14ac:dyDescent="0.45">
      <c r="AC730" t="s">
        <v>19</v>
      </c>
      <c r="AD730" t="s">
        <v>1376</v>
      </c>
      <c r="AE730">
        <v>1.1311403553790557E-4</v>
      </c>
    </row>
    <row r="731" spans="29:31" x14ac:dyDescent="0.45">
      <c r="AC731" t="s">
        <v>19</v>
      </c>
      <c r="AD731" t="s">
        <v>1377</v>
      </c>
      <c r="AE731">
        <v>1.1392568953146035E-4</v>
      </c>
    </row>
    <row r="732" spans="29:31" x14ac:dyDescent="0.45">
      <c r="AC732" t="s">
        <v>19</v>
      </c>
      <c r="AD732" t="s">
        <v>1378</v>
      </c>
      <c r="AE732">
        <v>1.1437619767877403E-4</v>
      </c>
    </row>
    <row r="733" spans="29:31" x14ac:dyDescent="0.45">
      <c r="AC733" t="s">
        <v>19</v>
      </c>
      <c r="AD733" t="s">
        <v>1379</v>
      </c>
      <c r="AE733">
        <v>1.1423765396739895E-4</v>
      </c>
    </row>
    <row r="734" spans="29:31" x14ac:dyDescent="0.45">
      <c r="AC734" t="s">
        <v>19</v>
      </c>
      <c r="AD734" t="s">
        <v>1380</v>
      </c>
      <c r="AE734">
        <v>1.1417818624905927E-4</v>
      </c>
    </row>
    <row r="735" spans="29:31" x14ac:dyDescent="0.45">
      <c r="AC735" t="s">
        <v>19</v>
      </c>
      <c r="AD735" t="s">
        <v>1381</v>
      </c>
      <c r="AE735">
        <v>1.1419072268697954E-4</v>
      </c>
    </row>
    <row r="736" spans="29:31" x14ac:dyDescent="0.45">
      <c r="AC736" t="s">
        <v>19</v>
      </c>
      <c r="AD736" t="s">
        <v>1382</v>
      </c>
      <c r="AE736">
        <v>1.1420438418984134E-4</v>
      </c>
    </row>
    <row r="737" spans="29:31" x14ac:dyDescent="0.45">
      <c r="AC737" t="s">
        <v>19</v>
      </c>
      <c r="AD737" t="s">
        <v>1383</v>
      </c>
      <c r="AE737">
        <v>1.1420438418984134E-4</v>
      </c>
    </row>
    <row r="738" spans="29:31" x14ac:dyDescent="0.45">
      <c r="AC738" t="s">
        <v>19</v>
      </c>
      <c r="AD738" t="s">
        <v>1384</v>
      </c>
      <c r="AE738">
        <v>1.1429583589723395E-4</v>
      </c>
    </row>
    <row r="739" spans="29:31" x14ac:dyDescent="0.45">
      <c r="AC739" t="s">
        <v>19</v>
      </c>
      <c r="AD739" t="s">
        <v>1385</v>
      </c>
      <c r="AE739">
        <v>1.1474521897960605E-4</v>
      </c>
    </row>
    <row r="740" spans="29:31" x14ac:dyDescent="0.45">
      <c r="AC740" t="s">
        <v>19</v>
      </c>
      <c r="AD740" t="s">
        <v>1386</v>
      </c>
      <c r="AE740">
        <v>1.1484567120653117E-4</v>
      </c>
    </row>
    <row r="741" spans="29:31" x14ac:dyDescent="0.45">
      <c r="AC741" t="s">
        <v>19</v>
      </c>
      <c r="AD741" t="s">
        <v>1387</v>
      </c>
      <c r="AE741">
        <v>1.1494017666162228E-4</v>
      </c>
    </row>
    <row r="742" spans="29:31" x14ac:dyDescent="0.45">
      <c r="AC742" t="s">
        <v>19</v>
      </c>
      <c r="AD742" t="s">
        <v>1388</v>
      </c>
      <c r="AE742">
        <v>1.1478572131750225E-4</v>
      </c>
    </row>
    <row r="743" spans="29:31" x14ac:dyDescent="0.45">
      <c r="AC743" t="s">
        <v>19</v>
      </c>
      <c r="AD743" t="s">
        <v>1389</v>
      </c>
      <c r="AE743">
        <v>1.1452856361657402E-4</v>
      </c>
    </row>
    <row r="744" spans="29:31" x14ac:dyDescent="0.45">
      <c r="AC744" t="s">
        <v>19</v>
      </c>
      <c r="AD744" t="s">
        <v>1390</v>
      </c>
      <c r="AE744">
        <v>1.1405185752847826E-4</v>
      </c>
    </row>
    <row r="745" spans="29:31" x14ac:dyDescent="0.45">
      <c r="AC745" t="s">
        <v>19</v>
      </c>
      <c r="AD745" t="s">
        <v>1391</v>
      </c>
      <c r="AE745">
        <v>1.1360938555931862E-4</v>
      </c>
    </row>
    <row r="746" spans="29:31" x14ac:dyDescent="0.45">
      <c r="AC746" t="s">
        <v>19</v>
      </c>
      <c r="AD746" t="s">
        <v>1392</v>
      </c>
      <c r="AE746">
        <v>1.1274630002557817E-4</v>
      </c>
    </row>
    <row r="747" spans="29:31" x14ac:dyDescent="0.45">
      <c r="AC747" t="s">
        <v>19</v>
      </c>
      <c r="AD747" t="s">
        <v>1393</v>
      </c>
      <c r="AE747">
        <v>1.1248512423557291E-4</v>
      </c>
    </row>
    <row r="748" spans="29:31" x14ac:dyDescent="0.45">
      <c r="AC748" t="s">
        <v>19</v>
      </c>
      <c r="AD748" t="s">
        <v>1394</v>
      </c>
      <c r="AE748">
        <v>1.1241762033907925E-4</v>
      </c>
    </row>
    <row r="749" spans="29:31" x14ac:dyDescent="0.45">
      <c r="AC749" t="s">
        <v>19</v>
      </c>
      <c r="AD749" t="s">
        <v>1395</v>
      </c>
      <c r="AE749">
        <v>1.1253607360506931E-4</v>
      </c>
    </row>
    <row r="750" spans="29:31" x14ac:dyDescent="0.45">
      <c r="AC750" t="s">
        <v>19</v>
      </c>
      <c r="AD750" t="s">
        <v>1396</v>
      </c>
      <c r="AE750">
        <v>1.1253607360506931E-4</v>
      </c>
    </row>
    <row r="751" spans="29:31" x14ac:dyDescent="0.45">
      <c r="AC751" t="s">
        <v>19</v>
      </c>
      <c r="AD751" t="s">
        <v>1397</v>
      </c>
      <c r="AE751">
        <v>1.1290927371854143E-4</v>
      </c>
    </row>
    <row r="752" spans="29:31" x14ac:dyDescent="0.45">
      <c r="AC752" t="s">
        <v>19</v>
      </c>
      <c r="AD752" t="s">
        <v>1398</v>
      </c>
      <c r="AE752">
        <v>1.1449224009131791E-4</v>
      </c>
    </row>
    <row r="753" spans="29:31" x14ac:dyDescent="0.45">
      <c r="AC753" t="s">
        <v>19</v>
      </c>
      <c r="AD753" t="s">
        <v>1399</v>
      </c>
      <c r="AE753">
        <v>1.156917200425851E-4</v>
      </c>
    </row>
    <row r="754" spans="29:31" x14ac:dyDescent="0.45">
      <c r="AC754" t="s">
        <v>19</v>
      </c>
      <c r="AD754" t="s">
        <v>1400</v>
      </c>
      <c r="AE754">
        <v>1.1591239349469416E-4</v>
      </c>
    </row>
    <row r="755" spans="29:31" x14ac:dyDescent="0.45">
      <c r="AC755" t="s">
        <v>19</v>
      </c>
      <c r="AD755" t="s">
        <v>1401</v>
      </c>
      <c r="AE755">
        <v>1.1614222818989878E-4</v>
      </c>
    </row>
    <row r="756" spans="29:31" x14ac:dyDescent="0.45">
      <c r="AC756" t="s">
        <v>19</v>
      </c>
      <c r="AD756" t="s">
        <v>1402</v>
      </c>
      <c r="AE756">
        <v>1.163161310851515E-4</v>
      </c>
    </row>
    <row r="757" spans="29:31" x14ac:dyDescent="0.45">
      <c r="AC757" t="s">
        <v>19</v>
      </c>
      <c r="AD757" t="s">
        <v>1403</v>
      </c>
      <c r="AE757">
        <v>1.1617308711401017E-4</v>
      </c>
    </row>
    <row r="758" spans="29:31" x14ac:dyDescent="0.45">
      <c r="AC758" t="s">
        <v>19</v>
      </c>
      <c r="AD758" t="s">
        <v>1404</v>
      </c>
      <c r="AE758">
        <v>1.1600529171415447E-4</v>
      </c>
    </row>
    <row r="759" spans="29:31" x14ac:dyDescent="0.45">
      <c r="AC759" t="s">
        <v>19</v>
      </c>
      <c r="AD759" t="s">
        <v>1405</v>
      </c>
      <c r="AE759">
        <v>1.1597202193659689E-4</v>
      </c>
    </row>
    <row r="760" spans="29:31" x14ac:dyDescent="0.45">
      <c r="AC760" t="s">
        <v>19</v>
      </c>
      <c r="AD760" t="s">
        <v>1406</v>
      </c>
      <c r="AE760">
        <v>1.1595096714983338E-4</v>
      </c>
    </row>
    <row r="761" spans="29:31" x14ac:dyDescent="0.45">
      <c r="AC761" t="s">
        <v>19</v>
      </c>
      <c r="AD761" t="s">
        <v>1407</v>
      </c>
      <c r="AE761">
        <v>1.1597202193659689E-4</v>
      </c>
    </row>
    <row r="762" spans="29:31" x14ac:dyDescent="0.45">
      <c r="AC762" t="s">
        <v>19</v>
      </c>
      <c r="AD762" t="s">
        <v>1408</v>
      </c>
      <c r="AE762">
        <v>1.1605238371813696E-4</v>
      </c>
    </row>
    <row r="763" spans="29:31" x14ac:dyDescent="0.45">
      <c r="AC763" t="s">
        <v>19</v>
      </c>
      <c r="AD763" t="s">
        <v>1409</v>
      </c>
      <c r="AE763">
        <v>1.1624782357084245E-4</v>
      </c>
    </row>
    <row r="764" spans="29:31" x14ac:dyDescent="0.45">
      <c r="AC764" t="s">
        <v>19</v>
      </c>
      <c r="AD764" t="s">
        <v>1410</v>
      </c>
      <c r="AE764">
        <v>1.1628736156736015E-4</v>
      </c>
    </row>
    <row r="765" spans="29:31" x14ac:dyDescent="0.45">
      <c r="AC765" t="s">
        <v>19</v>
      </c>
      <c r="AD765" t="s">
        <v>1411</v>
      </c>
      <c r="AE765">
        <v>1.1634972230983526E-4</v>
      </c>
    </row>
    <row r="766" spans="29:31" x14ac:dyDescent="0.45">
      <c r="AC766" t="s">
        <v>19</v>
      </c>
      <c r="AD766" t="s">
        <v>1412</v>
      </c>
      <c r="AE766">
        <v>1.1598166535038171E-4</v>
      </c>
    </row>
    <row r="767" spans="29:31" x14ac:dyDescent="0.45">
      <c r="AC767" t="s">
        <v>19</v>
      </c>
      <c r="AD767" t="s">
        <v>1413</v>
      </c>
      <c r="AE767">
        <v>1.154625282416328E-4</v>
      </c>
    </row>
    <row r="768" spans="29:31" x14ac:dyDescent="0.45">
      <c r="AC768" t="s">
        <v>19</v>
      </c>
      <c r="AD768" t="s">
        <v>1414</v>
      </c>
      <c r="AE768">
        <v>1.1484101022320182E-4</v>
      </c>
    </row>
    <row r="769" spans="29:31" x14ac:dyDescent="0.45">
      <c r="AC769" t="s">
        <v>19</v>
      </c>
      <c r="AD769" t="s">
        <v>1415</v>
      </c>
      <c r="AE769">
        <v>1.1422206378178016E-4</v>
      </c>
    </row>
    <row r="770" spans="29:31" x14ac:dyDescent="0.45">
      <c r="AC770" t="s">
        <v>19</v>
      </c>
      <c r="AD770" t="s">
        <v>1416</v>
      </c>
      <c r="AE770">
        <v>1.1291988147370473E-4</v>
      </c>
    </row>
    <row r="771" spans="29:31" x14ac:dyDescent="0.45">
      <c r="AC771" t="s">
        <v>19</v>
      </c>
      <c r="AD771" t="s">
        <v>735</v>
      </c>
      <c r="AE771">
        <v>2.0886124944902419E-2</v>
      </c>
    </row>
    <row r="772" spans="29:31" x14ac:dyDescent="0.45">
      <c r="AC772" t="s">
        <v>19</v>
      </c>
      <c r="AD772" t="s">
        <v>736</v>
      </c>
      <c r="AE772">
        <v>3.5533767775026348E-3</v>
      </c>
    </row>
    <row r="773" spans="29:31" x14ac:dyDescent="0.45">
      <c r="AC773" t="s">
        <v>19</v>
      </c>
      <c r="AD773" t="s">
        <v>737</v>
      </c>
      <c r="AE773">
        <v>3.5609515183070393E-3</v>
      </c>
    </row>
    <row r="774" spans="29:31" x14ac:dyDescent="0.45">
      <c r="AC774" t="s">
        <v>19</v>
      </c>
      <c r="AD774" t="s">
        <v>738</v>
      </c>
      <c r="AE774">
        <v>3.571774964491983E-3</v>
      </c>
    </row>
    <row r="775" spans="29:31" x14ac:dyDescent="0.45">
      <c r="AC775" t="s">
        <v>19</v>
      </c>
      <c r="AD775" t="s">
        <v>739</v>
      </c>
      <c r="AE775">
        <v>2.4996673258739058E-2</v>
      </c>
    </row>
    <row r="776" spans="29:31" x14ac:dyDescent="0.45">
      <c r="AC776" t="s">
        <v>19</v>
      </c>
      <c r="AD776" t="s">
        <v>740</v>
      </c>
      <c r="AE776">
        <v>3.5757184778357179E-3</v>
      </c>
    </row>
    <row r="777" spans="29:31" x14ac:dyDescent="0.45">
      <c r="AC777" t="s">
        <v>19</v>
      </c>
      <c r="AD777" t="s">
        <v>741</v>
      </c>
      <c r="AE777">
        <v>3.5767721815152713E-3</v>
      </c>
    </row>
    <row r="778" spans="29:31" x14ac:dyDescent="0.45">
      <c r="AC778" t="s">
        <v>19</v>
      </c>
      <c r="AD778" t="s">
        <v>742</v>
      </c>
      <c r="AE778">
        <v>2.1248640798795224E-2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7710-731A-411D-968E-4B4F364EA702}">
  <dimension ref="A9:AM874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105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235</v>
      </c>
      <c r="L10" t="s">
        <v>30</v>
      </c>
      <c r="N10" t="s">
        <v>13</v>
      </c>
      <c r="O10" t="s">
        <v>134</v>
      </c>
      <c r="P10" t="s">
        <v>235</v>
      </c>
      <c r="Q10" t="s">
        <v>30</v>
      </c>
      <c r="S10" t="s">
        <v>13</v>
      </c>
      <c r="T10" t="s">
        <v>134</v>
      </c>
      <c r="U10" t="s">
        <v>235</v>
      </c>
      <c r="V10" t="s">
        <v>30</v>
      </c>
      <c r="X10" t="s">
        <v>348</v>
      </c>
      <c r="Y10" t="s">
        <v>235</v>
      </c>
      <c r="Z10" t="s">
        <v>134</v>
      </c>
      <c r="AA10" t="s">
        <v>13</v>
      </c>
      <c r="AC10" t="s">
        <v>13</v>
      </c>
      <c r="AD10" t="s">
        <v>134</v>
      </c>
      <c r="AE10" t="s">
        <v>235</v>
      </c>
      <c r="AG10" t="s">
        <v>13</v>
      </c>
      <c r="AH10" t="s">
        <v>134</v>
      </c>
      <c r="AI10" t="s">
        <v>354</v>
      </c>
      <c r="AK10" t="s">
        <v>134</v>
      </c>
      <c r="AL10" t="s">
        <v>355</v>
      </c>
      <c r="AM10" t="s">
        <v>356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178</v>
      </c>
      <c r="F11" t="s">
        <v>359</v>
      </c>
      <c r="G11" t="s">
        <v>149</v>
      </c>
      <c r="I11" t="s">
        <v>236</v>
      </c>
      <c r="J11" t="s">
        <v>237</v>
      </c>
      <c r="K11">
        <v>0</v>
      </c>
      <c r="L11" t="s">
        <v>238</v>
      </c>
      <c r="N11" t="s">
        <v>346</v>
      </c>
      <c r="O11" t="s">
        <v>237</v>
      </c>
      <c r="P11">
        <v>4.4155047742032917E-2</v>
      </c>
      <c r="Q11" t="s">
        <v>238</v>
      </c>
      <c r="S11" t="s">
        <v>347</v>
      </c>
      <c r="T11" t="s">
        <v>237</v>
      </c>
      <c r="U11">
        <v>4.2330575516464429E-2</v>
      </c>
      <c r="V11" t="s">
        <v>238</v>
      </c>
      <c r="X11">
        <v>4.041095890410959E-2</v>
      </c>
      <c r="Y11">
        <v>8.6444737256461904E-3</v>
      </c>
      <c r="Z11" t="s">
        <v>237</v>
      </c>
      <c r="AA11" t="s">
        <v>25</v>
      </c>
      <c r="AC11" t="s">
        <v>22</v>
      </c>
      <c r="AD11" t="s">
        <v>237</v>
      </c>
      <c r="AE11">
        <v>3.6138622036271613E-2</v>
      </c>
      <c r="AG11" t="s">
        <v>97</v>
      </c>
      <c r="AH11" t="s">
        <v>237</v>
      </c>
      <c r="AI11">
        <v>0.20993758754647396</v>
      </c>
      <c r="AK11" t="s">
        <v>155</v>
      </c>
      <c r="AL11">
        <v>9.0812180062272388E-2</v>
      </c>
      <c r="AM11" t="s">
        <v>357</v>
      </c>
    </row>
    <row r="12" spans="1:39" x14ac:dyDescent="0.45">
      <c r="C12" t="s">
        <v>150</v>
      </c>
      <c r="D12" t="s">
        <v>149</v>
      </c>
      <c r="E12" t="s">
        <v>179</v>
      </c>
      <c r="F12" t="s">
        <v>150</v>
      </c>
      <c r="G12" t="s">
        <v>149</v>
      </c>
      <c r="I12" t="s">
        <v>236</v>
      </c>
      <c r="J12" t="s">
        <v>239</v>
      </c>
      <c r="K12">
        <v>0</v>
      </c>
      <c r="L12" t="s">
        <v>238</v>
      </c>
      <c r="N12" t="s">
        <v>346</v>
      </c>
      <c r="O12" t="s">
        <v>239</v>
      </c>
      <c r="P12">
        <v>7.4771968628568157E-3</v>
      </c>
      <c r="Q12" t="s">
        <v>238</v>
      </c>
      <c r="S12" t="s">
        <v>347</v>
      </c>
      <c r="T12" t="s">
        <v>239</v>
      </c>
      <c r="U12">
        <v>7.0255051417868024E-3</v>
      </c>
      <c r="V12" t="s">
        <v>238</v>
      </c>
      <c r="X12">
        <v>6.735159817351598E-3</v>
      </c>
      <c r="Y12">
        <v>9.9743927603609898E-3</v>
      </c>
      <c r="Z12" t="s">
        <v>239</v>
      </c>
      <c r="AA12" t="s">
        <v>25</v>
      </c>
      <c r="AC12" t="s">
        <v>22</v>
      </c>
      <c r="AD12" t="s">
        <v>239</v>
      </c>
      <c r="AE12">
        <v>8.5508495229955229E-3</v>
      </c>
      <c r="AG12" t="s">
        <v>97</v>
      </c>
      <c r="AH12" t="s">
        <v>239</v>
      </c>
      <c r="AI12">
        <v>8.4513738967735286E-2</v>
      </c>
      <c r="AK12" t="s">
        <v>363</v>
      </c>
      <c r="AL12">
        <v>7.4790226397171353E-2</v>
      </c>
      <c r="AM12" t="s">
        <v>357</v>
      </c>
    </row>
    <row r="13" spans="1:39" x14ac:dyDescent="0.45">
      <c r="C13" t="s">
        <v>152</v>
      </c>
      <c r="D13" t="s">
        <v>153</v>
      </c>
      <c r="E13" t="s">
        <v>180</v>
      </c>
      <c r="F13" t="s">
        <v>150</v>
      </c>
      <c r="G13" t="s">
        <v>149</v>
      </c>
      <c r="I13" t="s">
        <v>236</v>
      </c>
      <c r="J13" t="s">
        <v>240</v>
      </c>
      <c r="K13">
        <v>2.1283100409942801E-4</v>
      </c>
      <c r="L13" t="s">
        <v>238</v>
      </c>
      <c r="N13" t="s">
        <v>346</v>
      </c>
      <c r="O13" t="s">
        <v>240</v>
      </c>
      <c r="P13">
        <v>7.486052410617448E-3</v>
      </c>
      <c r="Q13" t="s">
        <v>238</v>
      </c>
      <c r="S13" t="s">
        <v>347</v>
      </c>
      <c r="T13" t="s">
        <v>240</v>
      </c>
      <c r="U13">
        <v>7.0289935279836818E-3</v>
      </c>
      <c r="V13" t="s">
        <v>238</v>
      </c>
      <c r="X13">
        <v>6.735159817351598E-3</v>
      </c>
      <c r="Y13">
        <v>1.124563889648543E-2</v>
      </c>
      <c r="Z13" t="s">
        <v>240</v>
      </c>
      <c r="AA13" t="s">
        <v>25</v>
      </c>
      <c r="AC13" t="s">
        <v>22</v>
      </c>
      <c r="AD13" t="s">
        <v>240</v>
      </c>
      <c r="AE13">
        <v>8.9794169198168568E-3</v>
      </c>
      <c r="AG13" t="s">
        <v>97</v>
      </c>
      <c r="AH13" t="s">
        <v>240</v>
      </c>
      <c r="AI13">
        <v>8.4639654187265601E-2</v>
      </c>
      <c r="AK13" t="s">
        <v>366</v>
      </c>
      <c r="AL13">
        <v>8.4099424771755762E-2</v>
      </c>
      <c r="AM13" t="s">
        <v>357</v>
      </c>
    </row>
    <row r="14" spans="1:39" x14ac:dyDescent="0.45">
      <c r="C14" t="s">
        <v>155</v>
      </c>
      <c r="D14" t="s">
        <v>156</v>
      </c>
      <c r="E14" t="s">
        <v>181</v>
      </c>
      <c r="F14" t="s">
        <v>152</v>
      </c>
      <c r="G14" t="s">
        <v>149</v>
      </c>
      <c r="I14" t="s">
        <v>236</v>
      </c>
      <c r="J14" t="s">
        <v>241</v>
      </c>
      <c r="K14">
        <v>2.5148696506666463E-3</v>
      </c>
      <c r="L14" t="s">
        <v>238</v>
      </c>
      <c r="N14" t="s">
        <v>346</v>
      </c>
      <c r="O14" t="s">
        <v>241</v>
      </c>
      <c r="P14">
        <v>7.4313732460396372E-3</v>
      </c>
      <c r="Q14" t="s">
        <v>238</v>
      </c>
      <c r="S14" t="s">
        <v>347</v>
      </c>
      <c r="T14" t="s">
        <v>241</v>
      </c>
      <c r="U14">
        <v>7.0672308248558137E-3</v>
      </c>
      <c r="V14" t="s">
        <v>238</v>
      </c>
      <c r="X14">
        <v>6.735159817351598E-3</v>
      </c>
      <c r="Y14">
        <v>8.6053584599192871E-3</v>
      </c>
      <c r="Z14" t="s">
        <v>241</v>
      </c>
      <c r="AA14" t="s">
        <v>25</v>
      </c>
      <c r="AC14" t="s">
        <v>22</v>
      </c>
      <c r="AD14" t="s">
        <v>241</v>
      </c>
      <c r="AE14">
        <v>9.323225878081709E-3</v>
      </c>
      <c r="AG14" t="s">
        <v>97</v>
      </c>
      <c r="AH14" t="s">
        <v>241</v>
      </c>
      <c r="AI14">
        <v>8.0333357720038912E-2</v>
      </c>
      <c r="AK14" t="s">
        <v>152</v>
      </c>
      <c r="AL14">
        <v>0.44259855401340426</v>
      </c>
      <c r="AM14" t="s">
        <v>357</v>
      </c>
    </row>
    <row r="15" spans="1:39" x14ac:dyDescent="0.45">
      <c r="C15" t="s">
        <v>363</v>
      </c>
      <c r="D15" t="s">
        <v>364</v>
      </c>
      <c r="E15" t="s">
        <v>182</v>
      </c>
      <c r="F15" t="s">
        <v>363</v>
      </c>
      <c r="G15" t="s">
        <v>149</v>
      </c>
      <c r="I15" t="s">
        <v>236</v>
      </c>
      <c r="J15" t="s">
        <v>242</v>
      </c>
      <c r="K15">
        <v>6.2558672439296206E-2</v>
      </c>
      <c r="L15" t="s">
        <v>238</v>
      </c>
      <c r="N15" t="s">
        <v>346</v>
      </c>
      <c r="O15" t="s">
        <v>242</v>
      </c>
      <c r="P15">
        <v>5.0253045596220534E-2</v>
      </c>
      <c r="Q15" t="s">
        <v>238</v>
      </c>
      <c r="S15" t="s">
        <v>347</v>
      </c>
      <c r="T15" t="s">
        <v>242</v>
      </c>
      <c r="U15">
        <v>4.9448650671140848E-2</v>
      </c>
      <c r="V15" t="s">
        <v>238</v>
      </c>
      <c r="X15">
        <v>4.714611872146119E-2</v>
      </c>
      <c r="Y15">
        <v>6.137185192551526E-2</v>
      </c>
      <c r="Z15" t="s">
        <v>242</v>
      </c>
      <c r="AA15" t="s">
        <v>25</v>
      </c>
      <c r="AC15" t="s">
        <v>22</v>
      </c>
      <c r="AD15" t="s">
        <v>242</v>
      </c>
      <c r="AE15">
        <v>6.5788489902556563E-2</v>
      </c>
      <c r="AG15" t="s">
        <v>97</v>
      </c>
      <c r="AH15" t="s">
        <v>242</v>
      </c>
      <c r="AI15">
        <v>8.572772625404057E-2</v>
      </c>
      <c r="AK15" t="s">
        <v>145</v>
      </c>
      <c r="AL15">
        <v>0.18244762256583458</v>
      </c>
      <c r="AM15" t="s">
        <v>357</v>
      </c>
    </row>
    <row r="16" spans="1:39" x14ac:dyDescent="0.45">
      <c r="C16" t="s">
        <v>366</v>
      </c>
      <c r="E16" t="s">
        <v>183</v>
      </c>
      <c r="G16" t="s">
        <v>149</v>
      </c>
      <c r="I16" t="s">
        <v>236</v>
      </c>
      <c r="J16" t="s">
        <v>243</v>
      </c>
      <c r="K16">
        <v>4.884449944847249E-3</v>
      </c>
      <c r="L16" t="s">
        <v>238</v>
      </c>
      <c r="N16" t="s">
        <v>346</v>
      </c>
      <c r="O16" t="s">
        <v>243</v>
      </c>
      <c r="P16">
        <v>7.1465471045658894E-3</v>
      </c>
      <c r="Q16" t="s">
        <v>238</v>
      </c>
      <c r="S16" t="s">
        <v>347</v>
      </c>
      <c r="T16" t="s">
        <v>243</v>
      </c>
      <c r="U16">
        <v>7.1736352625391417E-3</v>
      </c>
      <c r="V16" t="s">
        <v>238</v>
      </c>
      <c r="X16">
        <v>6.735159817351598E-3</v>
      </c>
      <c r="Y16">
        <v>1.3103614018513452E-2</v>
      </c>
      <c r="Z16" t="s">
        <v>243</v>
      </c>
      <c r="AA16" t="s">
        <v>25</v>
      </c>
      <c r="AC16" t="s">
        <v>22</v>
      </c>
      <c r="AD16" t="s">
        <v>243</v>
      </c>
      <c r="AE16">
        <v>9.6263596139477565E-3</v>
      </c>
      <c r="AG16" t="s">
        <v>97</v>
      </c>
      <c r="AH16" t="s">
        <v>243</v>
      </c>
      <c r="AI16">
        <v>7.9506794508142686E-2</v>
      </c>
      <c r="AK16" t="s">
        <v>150</v>
      </c>
      <c r="AL16">
        <v>0.32525199218956147</v>
      </c>
      <c r="AM16" t="s">
        <v>357</v>
      </c>
    </row>
    <row r="17" spans="5:35" x14ac:dyDescent="0.45">
      <c r="E17" t="s">
        <v>184</v>
      </c>
      <c r="G17" t="s">
        <v>149</v>
      </c>
      <c r="I17" t="s">
        <v>236</v>
      </c>
      <c r="J17" t="s">
        <v>244</v>
      </c>
      <c r="K17">
        <v>1.8062387930995159E-3</v>
      </c>
      <c r="L17" t="s">
        <v>238</v>
      </c>
      <c r="N17" t="s">
        <v>346</v>
      </c>
      <c r="O17" t="s">
        <v>244</v>
      </c>
      <c r="P17">
        <v>7.2770367486697917E-3</v>
      </c>
      <c r="Q17" t="s">
        <v>238</v>
      </c>
      <c r="S17" t="s">
        <v>347</v>
      </c>
      <c r="T17" t="s">
        <v>244</v>
      </c>
      <c r="U17">
        <v>7.2869486355689019E-3</v>
      </c>
      <c r="V17" t="s">
        <v>238</v>
      </c>
      <c r="X17">
        <v>6.735159817351598E-3</v>
      </c>
      <c r="Y17">
        <v>1.3103614018513452E-2</v>
      </c>
      <c r="Z17" t="s">
        <v>244</v>
      </c>
      <c r="AA17" t="s">
        <v>25</v>
      </c>
      <c r="AC17" t="s">
        <v>22</v>
      </c>
      <c r="AD17" t="s">
        <v>244</v>
      </c>
      <c r="AE17">
        <v>9.6700816802201377E-3</v>
      </c>
      <c r="AG17" t="s">
        <v>97</v>
      </c>
      <c r="AH17" t="s">
        <v>244</v>
      </c>
      <c r="AI17">
        <v>8.0562479560222666E-2</v>
      </c>
    </row>
    <row r="18" spans="5:35" x14ac:dyDescent="0.45">
      <c r="E18" t="s">
        <v>185</v>
      </c>
      <c r="G18" t="s">
        <v>149</v>
      </c>
      <c r="I18" t="s">
        <v>236</v>
      </c>
      <c r="J18" t="s">
        <v>245</v>
      </c>
      <c r="K18">
        <v>1.260548737735539E-4</v>
      </c>
      <c r="L18" t="s">
        <v>238</v>
      </c>
      <c r="N18" t="s">
        <v>346</v>
      </c>
      <c r="O18" t="s">
        <v>245</v>
      </c>
      <c r="P18">
        <v>4.4361212419593996E-2</v>
      </c>
      <c r="Q18" t="s">
        <v>238</v>
      </c>
      <c r="S18" t="s">
        <v>347</v>
      </c>
      <c r="T18" t="s">
        <v>245</v>
      </c>
      <c r="U18">
        <v>4.3299572710980228E-2</v>
      </c>
      <c r="V18" t="s">
        <v>238</v>
      </c>
      <c r="X18">
        <v>4.041095890410959E-2</v>
      </c>
      <c r="Y18">
        <v>3.5594891811484314E-2</v>
      </c>
      <c r="Z18" t="s">
        <v>245</v>
      </c>
      <c r="AA18" t="s">
        <v>25</v>
      </c>
      <c r="AC18" t="s">
        <v>22</v>
      </c>
      <c r="AD18" t="s">
        <v>245</v>
      </c>
      <c r="AE18">
        <v>5.0177962677305961E-2</v>
      </c>
      <c r="AG18" t="s">
        <v>97</v>
      </c>
      <c r="AH18" t="s">
        <v>245</v>
      </c>
      <c r="AI18">
        <v>0.18372287613182636</v>
      </c>
    </row>
    <row r="19" spans="5:35" x14ac:dyDescent="0.45">
      <c r="E19" t="s">
        <v>186</v>
      </c>
      <c r="G19" t="s">
        <v>149</v>
      </c>
      <c r="I19" t="s">
        <v>236</v>
      </c>
      <c r="J19" t="s">
        <v>247</v>
      </c>
      <c r="K19">
        <v>1.7390279363962665E-3</v>
      </c>
      <c r="L19" t="s">
        <v>238</v>
      </c>
      <c r="N19" t="s">
        <v>346</v>
      </c>
      <c r="O19" t="s">
        <v>247</v>
      </c>
      <c r="P19">
        <v>5.9146627803629268E-2</v>
      </c>
      <c r="Q19" t="s">
        <v>238</v>
      </c>
      <c r="S19" t="s">
        <v>347</v>
      </c>
      <c r="T19" t="s">
        <v>247</v>
      </c>
      <c r="U19">
        <v>5.9374597289763846E-2</v>
      </c>
      <c r="V19" t="s">
        <v>238</v>
      </c>
      <c r="X19">
        <v>6.1643835616438353E-2</v>
      </c>
      <c r="Y19">
        <v>1.3186485344206054E-2</v>
      </c>
      <c r="Z19" t="s">
        <v>247</v>
      </c>
      <c r="AA19" t="s">
        <v>25</v>
      </c>
      <c r="AC19" t="s">
        <v>22</v>
      </c>
      <c r="AD19" t="s">
        <v>247</v>
      </c>
      <c r="AE19">
        <v>4.7041831908290956E-2</v>
      </c>
      <c r="AG19" t="s">
        <v>97</v>
      </c>
      <c r="AH19" t="s">
        <v>247</v>
      </c>
      <c r="AI19">
        <v>0.33797202312163077</v>
      </c>
    </row>
    <row r="20" spans="5:35" x14ac:dyDescent="0.45">
      <c r="E20" t="s">
        <v>187</v>
      </c>
      <c r="G20" t="s">
        <v>149</v>
      </c>
      <c r="I20" t="s">
        <v>236</v>
      </c>
      <c r="J20" t="s">
        <v>248</v>
      </c>
      <c r="K20">
        <v>7.1998476246754352E-3</v>
      </c>
      <c r="L20" t="s">
        <v>238</v>
      </c>
      <c r="N20" t="s">
        <v>346</v>
      </c>
      <c r="O20" t="s">
        <v>248</v>
      </c>
      <c r="P20">
        <v>9.4416779242883775E-3</v>
      </c>
      <c r="Q20" t="s">
        <v>238</v>
      </c>
      <c r="S20" t="s">
        <v>347</v>
      </c>
      <c r="T20" t="s">
        <v>248</v>
      </c>
      <c r="U20">
        <v>9.4527215988316812E-3</v>
      </c>
      <c r="V20" t="s">
        <v>238</v>
      </c>
      <c r="X20">
        <v>1.0273972602739725E-2</v>
      </c>
      <c r="Y20">
        <v>1.5215175397160829E-2</v>
      </c>
      <c r="Z20" t="s">
        <v>248</v>
      </c>
      <c r="AA20" t="s">
        <v>25</v>
      </c>
      <c r="AC20" t="s">
        <v>22</v>
      </c>
      <c r="AD20" t="s">
        <v>248</v>
      </c>
      <c r="AE20">
        <v>1.1002582917992061E-2</v>
      </c>
      <c r="AG20" t="s">
        <v>97</v>
      </c>
      <c r="AH20" t="s">
        <v>248</v>
      </c>
      <c r="AI20">
        <v>0.21998134886209697</v>
      </c>
    </row>
    <row r="21" spans="5:35" x14ac:dyDescent="0.45">
      <c r="E21" t="s">
        <v>188</v>
      </c>
      <c r="G21" t="s">
        <v>149</v>
      </c>
      <c r="I21" t="s">
        <v>236</v>
      </c>
      <c r="J21" t="s">
        <v>249</v>
      </c>
      <c r="K21">
        <v>1.4507054945027643E-2</v>
      </c>
      <c r="L21" t="s">
        <v>238</v>
      </c>
      <c r="N21" t="s">
        <v>346</v>
      </c>
      <c r="O21" t="s">
        <v>249</v>
      </c>
      <c r="P21">
        <v>9.0277529681907949E-3</v>
      </c>
      <c r="Q21" t="s">
        <v>238</v>
      </c>
      <c r="S21" t="s">
        <v>347</v>
      </c>
      <c r="T21" t="s">
        <v>249</v>
      </c>
      <c r="U21">
        <v>9.3518488258691034E-3</v>
      </c>
      <c r="V21" t="s">
        <v>238</v>
      </c>
      <c r="X21">
        <v>1.0273972602739725E-2</v>
      </c>
      <c r="Y21">
        <v>1.7154364418367599E-2</v>
      </c>
      <c r="Z21" t="s">
        <v>249</v>
      </c>
      <c r="AA21" t="s">
        <v>25</v>
      </c>
      <c r="AC21" t="s">
        <v>22</v>
      </c>
      <c r="AD21" t="s">
        <v>249</v>
      </c>
      <c r="AE21">
        <v>1.1901740080431067E-2</v>
      </c>
      <c r="AG21" t="s">
        <v>97</v>
      </c>
      <c r="AH21" t="s">
        <v>249</v>
      </c>
      <c r="AI21">
        <v>0.20041284381906688</v>
      </c>
    </row>
    <row r="22" spans="5:35" x14ac:dyDescent="0.45">
      <c r="E22" t="s">
        <v>189</v>
      </c>
      <c r="G22" t="s">
        <v>149</v>
      </c>
      <c r="I22" t="s">
        <v>236</v>
      </c>
      <c r="J22" t="s">
        <v>250</v>
      </c>
      <c r="K22">
        <v>2.1577849712901838E-2</v>
      </c>
      <c r="L22" t="s">
        <v>238</v>
      </c>
      <c r="N22" t="s">
        <v>346</v>
      </c>
      <c r="O22" t="s">
        <v>250</v>
      </c>
      <c r="P22">
        <v>8.8735638575170184E-3</v>
      </c>
      <c r="Q22" t="s">
        <v>238</v>
      </c>
      <c r="S22" t="s">
        <v>347</v>
      </c>
      <c r="T22" t="s">
        <v>250</v>
      </c>
      <c r="U22">
        <v>9.3241106401813385E-3</v>
      </c>
      <c r="V22" t="s">
        <v>238</v>
      </c>
      <c r="X22">
        <v>1.0273972602739725E-2</v>
      </c>
      <c r="Y22">
        <v>1.3126817989707386E-2</v>
      </c>
      <c r="Z22" t="s">
        <v>250</v>
      </c>
      <c r="AA22" t="s">
        <v>25</v>
      </c>
      <c r="AC22" t="s">
        <v>22</v>
      </c>
      <c r="AD22" t="s">
        <v>250</v>
      </c>
      <c r="AE22">
        <v>1.2356281606304474E-2</v>
      </c>
      <c r="AG22" t="s">
        <v>97</v>
      </c>
      <c r="AH22" t="s">
        <v>250</v>
      </c>
      <c r="AI22">
        <v>0.19450285624325292</v>
      </c>
    </row>
    <row r="23" spans="5:35" x14ac:dyDescent="0.45">
      <c r="E23" t="s">
        <v>190</v>
      </c>
      <c r="G23" t="s">
        <v>149</v>
      </c>
      <c r="I23" t="s">
        <v>236</v>
      </c>
      <c r="J23" t="s">
        <v>251</v>
      </c>
      <c r="K23">
        <v>0.20442559013309511</v>
      </c>
      <c r="L23" t="s">
        <v>238</v>
      </c>
      <c r="N23" t="s">
        <v>346</v>
      </c>
      <c r="O23" t="s">
        <v>251</v>
      </c>
      <c r="P23">
        <v>6.4488457694907589E-2</v>
      </c>
      <c r="Q23" t="s">
        <v>238</v>
      </c>
      <c r="S23" t="s">
        <v>347</v>
      </c>
      <c r="T23" t="s">
        <v>251</v>
      </c>
      <c r="U23">
        <v>6.3960614978390729E-2</v>
      </c>
      <c r="V23" t="s">
        <v>238</v>
      </c>
      <c r="X23">
        <v>7.1917808219178078E-2</v>
      </c>
      <c r="Y23">
        <v>9.3618079208413099E-2</v>
      </c>
      <c r="Z23" t="s">
        <v>251</v>
      </c>
      <c r="AA23" t="s">
        <v>25</v>
      </c>
      <c r="AC23" t="s">
        <v>22</v>
      </c>
      <c r="AD23" t="s">
        <v>251</v>
      </c>
      <c r="AE23">
        <v>8.5001301506702848E-2</v>
      </c>
      <c r="AG23" t="s">
        <v>97</v>
      </c>
      <c r="AH23" t="s">
        <v>251</v>
      </c>
      <c r="AI23">
        <v>0.20343147207256562</v>
      </c>
    </row>
    <row r="24" spans="5:35" x14ac:dyDescent="0.45">
      <c r="E24" t="s">
        <v>191</v>
      </c>
      <c r="G24" t="s">
        <v>149</v>
      </c>
      <c r="I24" t="s">
        <v>236</v>
      </c>
      <c r="J24" t="s">
        <v>252</v>
      </c>
      <c r="K24">
        <v>2.1291591881499646E-2</v>
      </c>
      <c r="L24" t="s">
        <v>238</v>
      </c>
      <c r="N24" t="s">
        <v>346</v>
      </c>
      <c r="O24" t="s">
        <v>252</v>
      </c>
      <c r="P24">
        <v>9.4367298642731023E-3</v>
      </c>
      <c r="Q24" t="s">
        <v>238</v>
      </c>
      <c r="S24" t="s">
        <v>347</v>
      </c>
      <c r="T24" t="s">
        <v>252</v>
      </c>
      <c r="U24">
        <v>9.624270690432422E-3</v>
      </c>
      <c r="V24" t="s">
        <v>238</v>
      </c>
      <c r="X24">
        <v>1.0273972602739725E-2</v>
      </c>
      <c r="Y24">
        <v>1.9988563757054423E-2</v>
      </c>
      <c r="Z24" t="s">
        <v>252</v>
      </c>
      <c r="AA24" t="s">
        <v>25</v>
      </c>
      <c r="AC24" t="s">
        <v>22</v>
      </c>
      <c r="AD24" t="s">
        <v>252</v>
      </c>
      <c r="AE24">
        <v>1.2130955606837406E-2</v>
      </c>
      <c r="AG24" t="s">
        <v>97</v>
      </c>
      <c r="AH24" t="s">
        <v>252</v>
      </c>
      <c r="AI24">
        <v>0.21529467096535959</v>
      </c>
    </row>
    <row r="25" spans="5:35" x14ac:dyDescent="0.45">
      <c r="E25" t="s">
        <v>192</v>
      </c>
      <c r="G25" t="s">
        <v>149</v>
      </c>
      <c r="I25" t="s">
        <v>236</v>
      </c>
      <c r="J25" t="s">
        <v>253</v>
      </c>
      <c r="K25">
        <v>1.5517882273777026E-2</v>
      </c>
      <c r="L25" t="s">
        <v>238</v>
      </c>
      <c r="N25" t="s">
        <v>346</v>
      </c>
      <c r="O25" t="s">
        <v>253</v>
      </c>
      <c r="P25">
        <v>9.2075079845304695E-3</v>
      </c>
      <c r="Q25" t="s">
        <v>238</v>
      </c>
      <c r="S25" t="s">
        <v>347</v>
      </c>
      <c r="T25" t="s">
        <v>253</v>
      </c>
      <c r="U25">
        <v>9.7328068626633367E-3</v>
      </c>
      <c r="V25" t="s">
        <v>238</v>
      </c>
      <c r="X25">
        <v>1.0273972602739725E-2</v>
      </c>
      <c r="Y25">
        <v>1.9988563757054423E-2</v>
      </c>
      <c r="Z25" t="s">
        <v>253</v>
      </c>
      <c r="AA25" t="s">
        <v>25</v>
      </c>
      <c r="AC25" t="s">
        <v>22</v>
      </c>
      <c r="AD25" t="s">
        <v>253</v>
      </c>
      <c r="AE25">
        <v>1.2213297780685113E-2</v>
      </c>
      <c r="AG25" t="s">
        <v>97</v>
      </c>
      <c r="AH25" t="s">
        <v>253</v>
      </c>
      <c r="AI25">
        <v>0.21288780079710046</v>
      </c>
    </row>
    <row r="26" spans="5:35" x14ac:dyDescent="0.45">
      <c r="E26" t="s">
        <v>193</v>
      </c>
      <c r="G26" t="s">
        <v>149</v>
      </c>
      <c r="I26" t="s">
        <v>236</v>
      </c>
      <c r="J26" t="s">
        <v>254</v>
      </c>
      <c r="K26">
        <v>1.1888551496600286E-2</v>
      </c>
      <c r="L26" t="s">
        <v>238</v>
      </c>
      <c r="N26" t="s">
        <v>346</v>
      </c>
      <c r="O26" t="s">
        <v>254</v>
      </c>
      <c r="P26">
        <v>5.984695750433177E-2</v>
      </c>
      <c r="Q26" t="s">
        <v>238</v>
      </c>
      <c r="S26" t="s">
        <v>347</v>
      </c>
      <c r="T26" t="s">
        <v>254</v>
      </c>
      <c r="U26">
        <v>6.0216169091390145E-2</v>
      </c>
      <c r="V26" t="s">
        <v>238</v>
      </c>
      <c r="X26">
        <v>6.1643835616438353E-2</v>
      </c>
      <c r="Y26">
        <v>5.4297292593789633E-2</v>
      </c>
      <c r="Z26" t="s">
        <v>254</v>
      </c>
      <c r="AA26" t="s">
        <v>25</v>
      </c>
      <c r="AC26" t="s">
        <v>22</v>
      </c>
      <c r="AD26" t="s">
        <v>254</v>
      </c>
      <c r="AE26">
        <v>6.3079108173897808E-2</v>
      </c>
      <c r="AG26" t="s">
        <v>97</v>
      </c>
      <c r="AH26" t="s">
        <v>254</v>
      </c>
      <c r="AI26">
        <v>0.32476924717324906</v>
      </c>
    </row>
    <row r="27" spans="5:35" x14ac:dyDescent="0.45">
      <c r="E27" t="s">
        <v>194</v>
      </c>
      <c r="G27" t="s">
        <v>149</v>
      </c>
      <c r="I27" t="s">
        <v>236</v>
      </c>
      <c r="J27" t="s">
        <v>1419</v>
      </c>
      <c r="K27">
        <v>0</v>
      </c>
      <c r="L27" t="s">
        <v>238</v>
      </c>
      <c r="N27" t="s">
        <v>346</v>
      </c>
      <c r="O27" t="s">
        <v>1419</v>
      </c>
      <c r="P27">
        <v>1.5832985536250001E-4</v>
      </c>
      <c r="Q27" t="s">
        <v>238</v>
      </c>
      <c r="S27" t="s">
        <v>347</v>
      </c>
      <c r="T27" t="s">
        <v>1419</v>
      </c>
      <c r="U27">
        <v>1.856921150705E-4</v>
      </c>
      <c r="V27" t="s">
        <v>238</v>
      </c>
      <c r="X27">
        <v>1.1415525114155251E-4</v>
      </c>
      <c r="Y27">
        <v>2.1546544680075254E-5</v>
      </c>
      <c r="Z27" t="s">
        <v>1419</v>
      </c>
      <c r="AA27" t="s">
        <v>25</v>
      </c>
      <c r="AC27" t="s">
        <v>22</v>
      </c>
      <c r="AD27" t="s">
        <v>1419</v>
      </c>
      <c r="AE27">
        <v>1.0839772356306478E-4</v>
      </c>
      <c r="AG27" t="s">
        <v>97</v>
      </c>
      <c r="AH27" t="s">
        <v>1419</v>
      </c>
      <c r="AI27">
        <v>0</v>
      </c>
    </row>
    <row r="28" spans="5:35" x14ac:dyDescent="0.45">
      <c r="E28" t="s">
        <v>195</v>
      </c>
      <c r="G28" t="s">
        <v>149</v>
      </c>
      <c r="I28" t="s">
        <v>236</v>
      </c>
      <c r="J28" t="s">
        <v>1420</v>
      </c>
      <c r="K28">
        <v>0</v>
      </c>
      <c r="L28" t="s">
        <v>238</v>
      </c>
      <c r="N28" t="s">
        <v>346</v>
      </c>
      <c r="O28" t="s">
        <v>1420</v>
      </c>
      <c r="P28">
        <v>1.7059377134159999E-4</v>
      </c>
      <c r="Q28" t="s">
        <v>238</v>
      </c>
      <c r="S28" t="s">
        <v>347</v>
      </c>
      <c r="T28" t="s">
        <v>1420</v>
      </c>
      <c r="U28">
        <v>1.8793490987569999E-4</v>
      </c>
      <c r="V28" t="s">
        <v>238</v>
      </c>
      <c r="X28">
        <v>1.1415525114155251E-4</v>
      </c>
      <c r="Y28">
        <v>1.4916838624667481E-5</v>
      </c>
      <c r="Z28" t="s">
        <v>1420</v>
      </c>
      <c r="AA28" t="s">
        <v>25</v>
      </c>
      <c r="AC28" t="s">
        <v>22</v>
      </c>
      <c r="AD28" t="s">
        <v>1420</v>
      </c>
      <c r="AE28">
        <v>1.0711076881307792E-4</v>
      </c>
      <c r="AG28" t="s">
        <v>97</v>
      </c>
      <c r="AH28" t="s">
        <v>1420</v>
      </c>
      <c r="AI28">
        <v>0</v>
      </c>
    </row>
    <row r="29" spans="5:35" x14ac:dyDescent="0.45">
      <c r="E29" t="s">
        <v>196</v>
      </c>
      <c r="G29" t="s">
        <v>149</v>
      </c>
      <c r="I29" t="s">
        <v>236</v>
      </c>
      <c r="J29" t="s">
        <v>1421</v>
      </c>
      <c r="K29">
        <v>0</v>
      </c>
      <c r="L29" t="s">
        <v>238</v>
      </c>
      <c r="N29" t="s">
        <v>346</v>
      </c>
      <c r="O29" t="s">
        <v>1421</v>
      </c>
      <c r="P29">
        <v>1.8453593137699999E-4</v>
      </c>
      <c r="Q29" t="s">
        <v>238</v>
      </c>
      <c r="S29" t="s">
        <v>347</v>
      </c>
      <c r="T29" t="s">
        <v>1421</v>
      </c>
      <c r="U29">
        <v>1.897540777589E-4</v>
      </c>
      <c r="V29" t="s">
        <v>238</v>
      </c>
      <c r="X29">
        <v>1.1415525114155251E-4</v>
      </c>
      <c r="Y29">
        <v>1.6574265138519424E-5</v>
      </c>
      <c r="Z29" t="s">
        <v>1421</v>
      </c>
      <c r="AA29" t="s">
        <v>25</v>
      </c>
      <c r="AC29" t="s">
        <v>22</v>
      </c>
      <c r="AD29" t="s">
        <v>1421</v>
      </c>
      <c r="AE29">
        <v>1.0691299625684389E-4</v>
      </c>
      <c r="AG29" t="s">
        <v>97</v>
      </c>
      <c r="AH29" t="s">
        <v>1421</v>
      </c>
      <c r="AI29">
        <v>0</v>
      </c>
    </row>
    <row r="30" spans="5:35" x14ac:dyDescent="0.45">
      <c r="E30" t="s">
        <v>197</v>
      </c>
      <c r="G30" t="s">
        <v>149</v>
      </c>
      <c r="I30" t="s">
        <v>236</v>
      </c>
      <c r="J30" t="s">
        <v>1422</v>
      </c>
      <c r="K30">
        <v>0</v>
      </c>
      <c r="L30" t="s">
        <v>238</v>
      </c>
      <c r="N30" t="s">
        <v>346</v>
      </c>
      <c r="O30" t="s">
        <v>1422</v>
      </c>
      <c r="P30">
        <v>1.9143493384760001E-4</v>
      </c>
      <c r="Q30" t="s">
        <v>238</v>
      </c>
      <c r="S30" t="s">
        <v>347</v>
      </c>
      <c r="T30" t="s">
        <v>1422</v>
      </c>
      <c r="U30">
        <v>1.917012166071E-4</v>
      </c>
      <c r="V30" t="s">
        <v>238</v>
      </c>
      <c r="X30">
        <v>1.1415525114155251E-4</v>
      </c>
      <c r="Y30">
        <v>1.4585353321897093E-5</v>
      </c>
      <c r="Z30" t="s">
        <v>1422</v>
      </c>
      <c r="AA30" t="s">
        <v>25</v>
      </c>
      <c r="AC30" t="s">
        <v>22</v>
      </c>
      <c r="AD30" t="s">
        <v>1422</v>
      </c>
      <c r="AE30">
        <v>1.0691299625684389E-4</v>
      </c>
      <c r="AG30" t="s">
        <v>97</v>
      </c>
      <c r="AH30" t="s">
        <v>1422</v>
      </c>
      <c r="AI30">
        <v>0</v>
      </c>
    </row>
    <row r="31" spans="5:35" x14ac:dyDescent="0.45">
      <c r="E31" t="s">
        <v>198</v>
      </c>
      <c r="G31" t="s">
        <v>149</v>
      </c>
      <c r="I31" t="s">
        <v>236</v>
      </c>
      <c r="J31" t="s">
        <v>1423</v>
      </c>
      <c r="K31">
        <v>0</v>
      </c>
      <c r="L31" t="s">
        <v>238</v>
      </c>
      <c r="N31" t="s">
        <v>346</v>
      </c>
      <c r="O31" t="s">
        <v>1423</v>
      </c>
      <c r="P31">
        <v>2.012353496609E-4</v>
      </c>
      <c r="Q31" t="s">
        <v>238</v>
      </c>
      <c r="S31" t="s">
        <v>347</v>
      </c>
      <c r="T31" t="s">
        <v>1423</v>
      </c>
      <c r="U31">
        <v>1.9441451134129999E-4</v>
      </c>
      <c r="V31" t="s">
        <v>238</v>
      </c>
      <c r="X31">
        <v>1.1415525114155251E-4</v>
      </c>
      <c r="Y31">
        <v>2.1215059377304864E-5</v>
      </c>
      <c r="Z31" t="s">
        <v>1423</v>
      </c>
      <c r="AA31" t="s">
        <v>25</v>
      </c>
      <c r="AC31" t="s">
        <v>22</v>
      </c>
      <c r="AD31" t="s">
        <v>1423</v>
      </c>
      <c r="AE31">
        <v>1.0750631392554605E-4</v>
      </c>
      <c r="AG31" t="s">
        <v>97</v>
      </c>
      <c r="AH31" t="s">
        <v>1423</v>
      </c>
      <c r="AI31">
        <v>0</v>
      </c>
    </row>
    <row r="32" spans="5:35" x14ac:dyDescent="0.45">
      <c r="E32" t="s">
        <v>199</v>
      </c>
      <c r="G32" t="s">
        <v>149</v>
      </c>
      <c r="I32" t="s">
        <v>236</v>
      </c>
      <c r="J32" t="s">
        <v>1424</v>
      </c>
      <c r="K32">
        <v>0</v>
      </c>
      <c r="L32" t="s">
        <v>238</v>
      </c>
      <c r="N32" t="s">
        <v>346</v>
      </c>
      <c r="O32" t="s">
        <v>1424</v>
      </c>
      <c r="P32">
        <v>2.1318476717620001E-4</v>
      </c>
      <c r="Q32" t="s">
        <v>238</v>
      </c>
      <c r="S32" t="s">
        <v>347</v>
      </c>
      <c r="T32" t="s">
        <v>1424</v>
      </c>
      <c r="U32">
        <v>1.9756791310889999E-4</v>
      </c>
      <c r="V32" t="s">
        <v>238</v>
      </c>
      <c r="X32">
        <v>1.1415525114155251E-4</v>
      </c>
      <c r="Y32">
        <v>5.7678442682047593E-5</v>
      </c>
      <c r="Z32" t="s">
        <v>1424</v>
      </c>
      <c r="AA32" t="s">
        <v>25</v>
      </c>
      <c r="AC32" t="s">
        <v>22</v>
      </c>
      <c r="AD32" t="s">
        <v>1424</v>
      </c>
      <c r="AE32">
        <v>1.0901683765214527E-4</v>
      </c>
      <c r="AG32" t="s">
        <v>97</v>
      </c>
      <c r="AH32" t="s">
        <v>1424</v>
      </c>
      <c r="AI32">
        <v>0</v>
      </c>
    </row>
    <row r="33" spans="5:35" x14ac:dyDescent="0.45">
      <c r="E33" t="s">
        <v>200</v>
      </c>
      <c r="G33" t="s">
        <v>149</v>
      </c>
      <c r="I33" t="s">
        <v>236</v>
      </c>
      <c r="J33" t="s">
        <v>1425</v>
      </c>
      <c r="K33">
        <v>0</v>
      </c>
      <c r="L33" t="s">
        <v>238</v>
      </c>
      <c r="N33" t="s">
        <v>346</v>
      </c>
      <c r="O33" t="s">
        <v>1425</v>
      </c>
      <c r="P33">
        <v>2.230225184376E-4</v>
      </c>
      <c r="Q33" t="s">
        <v>238</v>
      </c>
      <c r="S33" t="s">
        <v>347</v>
      </c>
      <c r="T33" t="s">
        <v>1425</v>
      </c>
      <c r="U33">
        <v>2.001360728439E-4</v>
      </c>
      <c r="V33" t="s">
        <v>238</v>
      </c>
      <c r="X33">
        <v>1.1415525114155251E-4</v>
      </c>
      <c r="Y33">
        <v>1.6905750441289813E-4</v>
      </c>
      <c r="Z33" t="s">
        <v>1425</v>
      </c>
      <c r="AA33" t="s">
        <v>25</v>
      </c>
      <c r="AC33" t="s">
        <v>22</v>
      </c>
      <c r="AD33" t="s">
        <v>1425</v>
      </c>
      <c r="AE33">
        <v>1.2184625738698043E-4</v>
      </c>
      <c r="AG33" t="s">
        <v>97</v>
      </c>
      <c r="AH33" t="s">
        <v>1425</v>
      </c>
      <c r="AI33">
        <v>0</v>
      </c>
    </row>
    <row r="34" spans="5:35" x14ac:dyDescent="0.45">
      <c r="E34" t="s">
        <v>201</v>
      </c>
      <c r="G34" t="s">
        <v>149</v>
      </c>
      <c r="I34" t="s">
        <v>236</v>
      </c>
      <c r="J34" t="s">
        <v>1426</v>
      </c>
      <c r="K34">
        <v>2.0974050716279999E-4</v>
      </c>
      <c r="L34" t="s">
        <v>238</v>
      </c>
      <c r="N34" t="s">
        <v>346</v>
      </c>
      <c r="O34" t="s">
        <v>1426</v>
      </c>
      <c r="P34">
        <v>2.323000808932E-4</v>
      </c>
      <c r="Q34" t="s">
        <v>238</v>
      </c>
      <c r="S34" t="s">
        <v>347</v>
      </c>
      <c r="T34" t="s">
        <v>1426</v>
      </c>
      <c r="U34">
        <v>2.0323414170909999E-4</v>
      </c>
      <c r="V34" t="s">
        <v>238</v>
      </c>
      <c r="X34">
        <v>1.1415525114155251E-4</v>
      </c>
      <c r="Y34">
        <v>1.9060404909297337E-4</v>
      </c>
      <c r="Z34" t="s">
        <v>1426</v>
      </c>
      <c r="AA34" t="s">
        <v>25</v>
      </c>
      <c r="AC34" t="s">
        <v>22</v>
      </c>
      <c r="AD34" t="s">
        <v>1426</v>
      </c>
      <c r="AE34">
        <v>1.3805787446031099E-4</v>
      </c>
      <c r="AG34" t="s">
        <v>97</v>
      </c>
      <c r="AH34" t="s">
        <v>1426</v>
      </c>
      <c r="AI34">
        <v>0</v>
      </c>
    </row>
    <row r="35" spans="5:35" x14ac:dyDescent="0.45">
      <c r="E35" t="s">
        <v>391</v>
      </c>
      <c r="G35" t="s">
        <v>153</v>
      </c>
      <c r="I35" t="s">
        <v>236</v>
      </c>
      <c r="J35" t="s">
        <v>1427</v>
      </c>
      <c r="K35">
        <v>4.134263125449E-4</v>
      </c>
      <c r="L35" t="s">
        <v>238</v>
      </c>
      <c r="N35" t="s">
        <v>346</v>
      </c>
      <c r="O35" t="s">
        <v>1427</v>
      </c>
      <c r="P35">
        <v>2.3448495798969999E-4</v>
      </c>
      <c r="Q35" t="s">
        <v>238</v>
      </c>
      <c r="S35" t="s">
        <v>347</v>
      </c>
      <c r="T35" t="s">
        <v>1427</v>
      </c>
      <c r="U35">
        <v>2.0576529202509999E-4</v>
      </c>
      <c r="V35" t="s">
        <v>238</v>
      </c>
      <c r="X35">
        <v>1.1415525114155251E-4</v>
      </c>
      <c r="Y35">
        <v>1.4585353321897094E-4</v>
      </c>
      <c r="Z35" t="s">
        <v>1427</v>
      </c>
      <c r="AA35" t="s">
        <v>25</v>
      </c>
      <c r="AC35" t="s">
        <v>22</v>
      </c>
      <c r="AD35" t="s">
        <v>1427</v>
      </c>
      <c r="AE35">
        <v>1.4656782691623721E-4</v>
      </c>
      <c r="AG35" t="s">
        <v>97</v>
      </c>
      <c r="AH35" t="s">
        <v>1427</v>
      </c>
      <c r="AI35">
        <v>0</v>
      </c>
    </row>
    <row r="36" spans="5:35" x14ac:dyDescent="0.45">
      <c r="E36" t="s">
        <v>392</v>
      </c>
      <c r="G36" t="s">
        <v>153</v>
      </c>
      <c r="I36" t="s">
        <v>236</v>
      </c>
      <c r="J36" t="s">
        <v>1428</v>
      </c>
      <c r="K36">
        <v>5.2038179641350003E-4</v>
      </c>
      <c r="L36" t="s">
        <v>238</v>
      </c>
      <c r="N36" t="s">
        <v>346</v>
      </c>
      <c r="O36" t="s">
        <v>1428</v>
      </c>
      <c r="P36">
        <v>2.1780667760220001E-4</v>
      </c>
      <c r="Q36" t="s">
        <v>238</v>
      </c>
      <c r="S36" t="s">
        <v>347</v>
      </c>
      <c r="T36" t="s">
        <v>1428</v>
      </c>
      <c r="U36">
        <v>2.050612304714E-4</v>
      </c>
      <c r="V36" t="s">
        <v>238</v>
      </c>
      <c r="X36">
        <v>1.1415525114155251E-4</v>
      </c>
      <c r="Y36">
        <v>1.4452759200788939E-4</v>
      </c>
      <c r="Z36" t="s">
        <v>1428</v>
      </c>
      <c r="AA36" t="s">
        <v>25</v>
      </c>
      <c r="AC36" t="s">
        <v>22</v>
      </c>
      <c r="AD36" t="s">
        <v>1428</v>
      </c>
      <c r="AE36">
        <v>1.4731305683827854E-4</v>
      </c>
      <c r="AG36" t="s">
        <v>97</v>
      </c>
      <c r="AH36" t="s">
        <v>1428</v>
      </c>
      <c r="AI36">
        <v>0</v>
      </c>
    </row>
    <row r="37" spans="5:35" x14ac:dyDescent="0.45">
      <c r="E37" t="s">
        <v>393</v>
      </c>
      <c r="G37" t="s">
        <v>153</v>
      </c>
      <c r="I37" t="s">
        <v>236</v>
      </c>
      <c r="J37" t="s">
        <v>1429</v>
      </c>
      <c r="K37">
        <v>5.5732879959829995E-4</v>
      </c>
      <c r="L37" t="s">
        <v>238</v>
      </c>
      <c r="N37" t="s">
        <v>346</v>
      </c>
      <c r="O37" t="s">
        <v>1429</v>
      </c>
      <c r="P37">
        <v>1.994143644006E-4</v>
      </c>
      <c r="Q37" t="s">
        <v>238</v>
      </c>
      <c r="S37" t="s">
        <v>347</v>
      </c>
      <c r="T37" t="s">
        <v>1429</v>
      </c>
      <c r="U37">
        <v>2.045851722269E-4</v>
      </c>
      <c r="V37" t="s">
        <v>238</v>
      </c>
      <c r="X37">
        <v>1.1415525114155251E-4</v>
      </c>
      <c r="Y37">
        <v>1.408812536774151E-4</v>
      </c>
      <c r="Z37" t="s">
        <v>1429</v>
      </c>
      <c r="AA37" t="s">
        <v>25</v>
      </c>
      <c r="AC37" t="s">
        <v>22</v>
      </c>
      <c r="AD37" t="s">
        <v>1429</v>
      </c>
      <c r="AE37">
        <v>1.4626113614062787E-4</v>
      </c>
      <c r="AG37" t="s">
        <v>97</v>
      </c>
      <c r="AH37" t="s">
        <v>1429</v>
      </c>
      <c r="AI37">
        <v>0</v>
      </c>
    </row>
    <row r="38" spans="5:35" x14ac:dyDescent="0.45">
      <c r="E38" t="s">
        <v>394</v>
      </c>
      <c r="G38" t="s">
        <v>153</v>
      </c>
      <c r="I38" t="s">
        <v>236</v>
      </c>
      <c r="J38" t="s">
        <v>1430</v>
      </c>
      <c r="K38">
        <v>5.3490434812619996E-4</v>
      </c>
      <c r="L38" t="s">
        <v>238</v>
      </c>
      <c r="N38" t="s">
        <v>346</v>
      </c>
      <c r="O38" t="s">
        <v>1430</v>
      </c>
      <c r="P38">
        <v>2.0805834084899999E-4</v>
      </c>
      <c r="Q38" t="s">
        <v>238</v>
      </c>
      <c r="S38" t="s">
        <v>347</v>
      </c>
      <c r="T38" t="s">
        <v>1430</v>
      </c>
      <c r="U38">
        <v>2.036663117265E-4</v>
      </c>
      <c r="V38" t="s">
        <v>238</v>
      </c>
      <c r="X38">
        <v>1.1415525114155251E-4</v>
      </c>
      <c r="Y38">
        <v>1.4054976837464471E-4</v>
      </c>
      <c r="Z38" t="s">
        <v>1430</v>
      </c>
      <c r="AA38" t="s">
        <v>25</v>
      </c>
      <c r="AC38" t="s">
        <v>22</v>
      </c>
      <c r="AD38" t="s">
        <v>1430</v>
      </c>
      <c r="AE38">
        <v>1.4520061663618437E-4</v>
      </c>
      <c r="AG38" t="s">
        <v>97</v>
      </c>
      <c r="AH38" t="s">
        <v>1430</v>
      </c>
      <c r="AI38">
        <v>0</v>
      </c>
    </row>
    <row r="39" spans="5:35" x14ac:dyDescent="0.45">
      <c r="E39" t="s">
        <v>395</v>
      </c>
      <c r="G39" t="s">
        <v>153</v>
      </c>
      <c r="I39" t="s">
        <v>236</v>
      </c>
      <c r="J39" t="s">
        <v>1431</v>
      </c>
      <c r="K39">
        <v>4.653956157316E-4</v>
      </c>
      <c r="L39" t="s">
        <v>238</v>
      </c>
      <c r="N39" t="s">
        <v>346</v>
      </c>
      <c r="O39" t="s">
        <v>1431</v>
      </c>
      <c r="P39">
        <v>2.2086245447500001E-4</v>
      </c>
      <c r="Q39" t="s">
        <v>238</v>
      </c>
      <c r="S39" t="s">
        <v>347</v>
      </c>
      <c r="T39" t="s">
        <v>1431</v>
      </c>
      <c r="U39">
        <v>2.0673099292049999E-4</v>
      </c>
      <c r="V39" t="s">
        <v>238</v>
      </c>
      <c r="X39">
        <v>1.1415525114155251E-4</v>
      </c>
      <c r="Y39">
        <v>1.4253868019126702E-4</v>
      </c>
      <c r="Z39" t="s">
        <v>1431</v>
      </c>
      <c r="AA39" t="s">
        <v>25</v>
      </c>
      <c r="AC39" t="s">
        <v>22</v>
      </c>
      <c r="AD39" t="s">
        <v>1431</v>
      </c>
      <c r="AE39">
        <v>1.4308817643409022E-4</v>
      </c>
      <c r="AG39" t="s">
        <v>97</v>
      </c>
      <c r="AH39" t="s">
        <v>1431</v>
      </c>
      <c r="AI39">
        <v>0</v>
      </c>
    </row>
    <row r="40" spans="5:35" x14ac:dyDescent="0.45">
      <c r="E40" t="s">
        <v>396</v>
      </c>
      <c r="G40" t="s">
        <v>153</v>
      </c>
      <c r="I40" t="s">
        <v>236</v>
      </c>
      <c r="J40" t="s">
        <v>1432</v>
      </c>
      <c r="K40">
        <v>4.6465007560019997E-4</v>
      </c>
      <c r="L40" t="s">
        <v>238</v>
      </c>
      <c r="N40" t="s">
        <v>346</v>
      </c>
      <c r="O40" t="s">
        <v>1432</v>
      </c>
      <c r="P40">
        <v>2.228167749251E-4</v>
      </c>
      <c r="Q40" t="s">
        <v>238</v>
      </c>
      <c r="S40" t="s">
        <v>347</v>
      </c>
      <c r="T40" t="s">
        <v>1432</v>
      </c>
      <c r="U40">
        <v>2.087194115515E-4</v>
      </c>
      <c r="V40" t="s">
        <v>238</v>
      </c>
      <c r="X40">
        <v>1.1415525114155251E-4</v>
      </c>
      <c r="Y40">
        <v>1.4883690094390442E-4</v>
      </c>
      <c r="Z40" t="s">
        <v>1432</v>
      </c>
      <c r="AA40" t="s">
        <v>25</v>
      </c>
      <c r="AC40" t="s">
        <v>22</v>
      </c>
      <c r="AD40" t="s">
        <v>1432</v>
      </c>
      <c r="AE40">
        <v>1.4257798056438497E-4</v>
      </c>
      <c r="AG40" t="s">
        <v>97</v>
      </c>
      <c r="AH40" t="s">
        <v>1432</v>
      </c>
      <c r="AI40">
        <v>0</v>
      </c>
    </row>
    <row r="41" spans="5:35" x14ac:dyDescent="0.45">
      <c r="E41" t="s">
        <v>397</v>
      </c>
      <c r="G41" t="s">
        <v>153</v>
      </c>
      <c r="I41" t="s">
        <v>236</v>
      </c>
      <c r="J41" t="s">
        <v>1433</v>
      </c>
      <c r="K41">
        <v>4.7980849579500002E-4</v>
      </c>
      <c r="L41" t="s">
        <v>238</v>
      </c>
      <c r="N41" t="s">
        <v>346</v>
      </c>
      <c r="O41" t="s">
        <v>1433</v>
      </c>
      <c r="P41">
        <v>2.223482587351E-4</v>
      </c>
      <c r="Q41" t="s">
        <v>238</v>
      </c>
      <c r="S41" t="s">
        <v>347</v>
      </c>
      <c r="T41" t="s">
        <v>1433</v>
      </c>
      <c r="U41">
        <v>2.1077203246610001E-4</v>
      </c>
      <c r="V41" t="s">
        <v>238</v>
      </c>
      <c r="X41">
        <v>1.1415525114155251E-4</v>
      </c>
      <c r="Y41">
        <v>1.5049432745775637E-4</v>
      </c>
      <c r="Z41" t="s">
        <v>1433</v>
      </c>
      <c r="AA41" t="s">
        <v>25</v>
      </c>
      <c r="AC41" t="s">
        <v>22</v>
      </c>
      <c r="AD41" t="s">
        <v>1433</v>
      </c>
      <c r="AE41">
        <v>1.4156618763176728E-4</v>
      </c>
      <c r="AG41" t="s">
        <v>97</v>
      </c>
      <c r="AH41" t="s">
        <v>1433</v>
      </c>
      <c r="AI41">
        <v>0</v>
      </c>
    </row>
    <row r="42" spans="5:35" x14ac:dyDescent="0.45">
      <c r="E42" t="s">
        <v>398</v>
      </c>
      <c r="G42" t="s">
        <v>153</v>
      </c>
      <c r="I42" t="s">
        <v>236</v>
      </c>
      <c r="J42" t="s">
        <v>1434</v>
      </c>
      <c r="K42">
        <v>4.3668424148220002E-4</v>
      </c>
      <c r="L42" t="s">
        <v>238</v>
      </c>
      <c r="N42" t="s">
        <v>346</v>
      </c>
      <c r="O42" t="s">
        <v>1434</v>
      </c>
      <c r="P42">
        <v>2.2490970225849999E-4</v>
      </c>
      <c r="Q42" t="s">
        <v>238</v>
      </c>
      <c r="S42" t="s">
        <v>347</v>
      </c>
      <c r="T42" t="s">
        <v>1434</v>
      </c>
      <c r="U42">
        <v>2.1156293795779999E-4</v>
      </c>
      <c r="V42" t="s">
        <v>238</v>
      </c>
      <c r="X42">
        <v>1.1415525114155251E-4</v>
      </c>
      <c r="Y42">
        <v>1.7237235744060203E-4</v>
      </c>
      <c r="Z42" t="s">
        <v>1434</v>
      </c>
      <c r="AA42" t="s">
        <v>25</v>
      </c>
      <c r="AC42" t="s">
        <v>22</v>
      </c>
      <c r="AD42" t="s">
        <v>1434</v>
      </c>
      <c r="AE42">
        <v>1.4234008024311792E-4</v>
      </c>
      <c r="AG42" t="s">
        <v>97</v>
      </c>
      <c r="AH42" t="s">
        <v>1434</v>
      </c>
      <c r="AI42">
        <v>0</v>
      </c>
    </row>
    <row r="43" spans="5:35" x14ac:dyDescent="0.45">
      <c r="E43" t="s">
        <v>399</v>
      </c>
      <c r="G43" t="s">
        <v>153</v>
      </c>
      <c r="I43" t="s">
        <v>236</v>
      </c>
      <c r="J43" t="s">
        <v>1435</v>
      </c>
      <c r="K43">
        <v>3.2927149270340001E-4</v>
      </c>
      <c r="L43" t="s">
        <v>238</v>
      </c>
      <c r="N43" t="s">
        <v>346</v>
      </c>
      <c r="O43" t="s">
        <v>1435</v>
      </c>
      <c r="P43">
        <v>2.306361675358E-4</v>
      </c>
      <c r="Q43" t="s">
        <v>238</v>
      </c>
      <c r="S43" t="s">
        <v>347</v>
      </c>
      <c r="T43" t="s">
        <v>1435</v>
      </c>
      <c r="U43">
        <v>2.122410318043E-4</v>
      </c>
      <c r="V43" t="s">
        <v>238</v>
      </c>
      <c r="X43">
        <v>1.1415525114155251E-4</v>
      </c>
      <c r="Y43">
        <v>2.2209515285616027E-4</v>
      </c>
      <c r="Z43" t="s">
        <v>1435</v>
      </c>
      <c r="AA43" t="s">
        <v>25</v>
      </c>
      <c r="AC43" t="s">
        <v>22</v>
      </c>
      <c r="AD43" t="s">
        <v>1435</v>
      </c>
      <c r="AE43">
        <v>1.479035082380498E-4</v>
      </c>
      <c r="AG43" t="s">
        <v>97</v>
      </c>
      <c r="AH43" t="s">
        <v>1435</v>
      </c>
      <c r="AI43">
        <v>0</v>
      </c>
    </row>
    <row r="44" spans="5:35" x14ac:dyDescent="0.45">
      <c r="E44" t="s">
        <v>400</v>
      </c>
      <c r="G44" t="s">
        <v>153</v>
      </c>
      <c r="I44" t="s">
        <v>236</v>
      </c>
      <c r="J44" t="s">
        <v>1436</v>
      </c>
      <c r="K44">
        <v>2.277431684175E-4</v>
      </c>
      <c r="L44" t="s">
        <v>238</v>
      </c>
      <c r="N44" t="s">
        <v>346</v>
      </c>
      <c r="O44" t="s">
        <v>1436</v>
      </c>
      <c r="P44">
        <v>2.4954148224589999E-4</v>
      </c>
      <c r="Q44" t="s">
        <v>238</v>
      </c>
      <c r="S44" t="s">
        <v>347</v>
      </c>
      <c r="T44" t="s">
        <v>1436</v>
      </c>
      <c r="U44">
        <v>2.158873171191E-4</v>
      </c>
      <c r="V44" t="s">
        <v>238</v>
      </c>
      <c r="X44">
        <v>1.1415525114155251E-4</v>
      </c>
      <c r="Y44">
        <v>2.2209515285616027E-4</v>
      </c>
      <c r="Z44" t="s">
        <v>1436</v>
      </c>
      <c r="AA44" t="s">
        <v>25</v>
      </c>
      <c r="AC44" t="s">
        <v>22</v>
      </c>
      <c r="AD44" t="s">
        <v>1436</v>
      </c>
      <c r="AE44">
        <v>1.4854268620964679E-4</v>
      </c>
      <c r="AG44" t="s">
        <v>97</v>
      </c>
      <c r="AH44" t="s">
        <v>1436</v>
      </c>
      <c r="AI44">
        <v>0</v>
      </c>
    </row>
    <row r="45" spans="5:35" x14ac:dyDescent="0.45">
      <c r="E45" t="s">
        <v>401</v>
      </c>
      <c r="G45" t="s">
        <v>153</v>
      </c>
      <c r="I45" t="s">
        <v>236</v>
      </c>
      <c r="J45" t="s">
        <v>1437</v>
      </c>
      <c r="K45">
        <v>1.0883376893E-4</v>
      </c>
      <c r="L45" t="s">
        <v>238</v>
      </c>
      <c r="N45" t="s">
        <v>346</v>
      </c>
      <c r="O45" t="s">
        <v>1437</v>
      </c>
      <c r="P45">
        <v>2.6549504873579999E-4</v>
      </c>
      <c r="Q45" t="s">
        <v>238</v>
      </c>
      <c r="S45" t="s">
        <v>347</v>
      </c>
      <c r="T45" t="s">
        <v>1437</v>
      </c>
      <c r="U45">
        <v>2.1992628621109999E-4</v>
      </c>
      <c r="V45" t="s">
        <v>238</v>
      </c>
      <c r="X45">
        <v>1.1415525114155251E-4</v>
      </c>
      <c r="Y45">
        <v>1.7237235744060203E-4</v>
      </c>
      <c r="Z45" t="s">
        <v>1437</v>
      </c>
      <c r="AA45" t="s">
        <v>25</v>
      </c>
      <c r="AC45" t="s">
        <v>22</v>
      </c>
      <c r="AD45" t="s">
        <v>1437</v>
      </c>
      <c r="AE45">
        <v>1.5175577368121743E-4</v>
      </c>
      <c r="AG45" t="s">
        <v>97</v>
      </c>
      <c r="AH45" t="s">
        <v>1437</v>
      </c>
      <c r="AI45">
        <v>0</v>
      </c>
    </row>
    <row r="46" spans="5:35" x14ac:dyDescent="0.45">
      <c r="E46" t="s">
        <v>402</v>
      </c>
      <c r="G46" t="s">
        <v>153</v>
      </c>
      <c r="I46" t="s">
        <v>236</v>
      </c>
      <c r="J46" t="s">
        <v>1438</v>
      </c>
      <c r="K46">
        <v>0</v>
      </c>
      <c r="L46" t="s">
        <v>238</v>
      </c>
      <c r="N46" t="s">
        <v>346</v>
      </c>
      <c r="O46" t="s">
        <v>1438</v>
      </c>
      <c r="P46">
        <v>2.718546497209E-4</v>
      </c>
      <c r="Q46" t="s">
        <v>238</v>
      </c>
      <c r="S46" t="s">
        <v>347</v>
      </c>
      <c r="T46" t="s">
        <v>1438</v>
      </c>
      <c r="U46">
        <v>2.217799344636E-4</v>
      </c>
      <c r="V46" t="s">
        <v>238</v>
      </c>
      <c r="X46">
        <v>1.1415525114155251E-4</v>
      </c>
      <c r="Y46">
        <v>1.5579809230208258E-4</v>
      </c>
      <c r="Z46" t="s">
        <v>1438</v>
      </c>
      <c r="AA46" t="s">
        <v>25</v>
      </c>
      <c r="AC46" t="s">
        <v>22</v>
      </c>
      <c r="AD46" t="s">
        <v>1438</v>
      </c>
      <c r="AE46">
        <v>1.4804108914673433E-4</v>
      </c>
      <c r="AG46" t="s">
        <v>97</v>
      </c>
      <c r="AH46" t="s">
        <v>1438</v>
      </c>
      <c r="AI46">
        <v>0</v>
      </c>
    </row>
    <row r="47" spans="5:35" x14ac:dyDescent="0.45">
      <c r="E47" t="s">
        <v>403</v>
      </c>
      <c r="G47" t="s">
        <v>153</v>
      </c>
      <c r="I47" t="s">
        <v>236</v>
      </c>
      <c r="J47" t="s">
        <v>1439</v>
      </c>
      <c r="K47">
        <v>0</v>
      </c>
      <c r="L47" t="s">
        <v>238</v>
      </c>
      <c r="N47" t="s">
        <v>346</v>
      </c>
      <c r="O47" t="s">
        <v>1439</v>
      </c>
      <c r="P47">
        <v>2.734988031843E-4</v>
      </c>
      <c r="Q47" t="s">
        <v>238</v>
      </c>
      <c r="S47" t="s">
        <v>347</v>
      </c>
      <c r="T47" t="s">
        <v>1439</v>
      </c>
      <c r="U47">
        <v>2.2228807845660001E-4</v>
      </c>
      <c r="V47" t="s">
        <v>238</v>
      </c>
      <c r="X47">
        <v>1.1415525114155251E-4</v>
      </c>
      <c r="Y47">
        <v>1.093901499142282E-4</v>
      </c>
      <c r="Z47" t="s">
        <v>1439</v>
      </c>
      <c r="AA47" t="s">
        <v>25</v>
      </c>
      <c r="AC47" t="s">
        <v>22</v>
      </c>
      <c r="AD47" t="s">
        <v>1439</v>
      </c>
      <c r="AE47">
        <v>1.4550730741179371E-4</v>
      </c>
      <c r="AG47" t="s">
        <v>97</v>
      </c>
      <c r="AH47" t="s">
        <v>1439</v>
      </c>
      <c r="AI47">
        <v>0</v>
      </c>
    </row>
    <row r="48" spans="5:35" x14ac:dyDescent="0.45">
      <c r="E48" t="s">
        <v>404</v>
      </c>
      <c r="G48" t="s">
        <v>153</v>
      </c>
      <c r="I48" t="s">
        <v>236</v>
      </c>
      <c r="J48" t="s">
        <v>1440</v>
      </c>
      <c r="K48">
        <v>0</v>
      </c>
      <c r="L48" t="s">
        <v>238</v>
      </c>
      <c r="N48" t="s">
        <v>346</v>
      </c>
      <c r="O48" t="s">
        <v>1440</v>
      </c>
      <c r="P48">
        <v>2.7373053322289999E-4</v>
      </c>
      <c r="Q48" t="s">
        <v>238</v>
      </c>
      <c r="S48" t="s">
        <v>347</v>
      </c>
      <c r="T48" t="s">
        <v>1440</v>
      </c>
      <c r="U48">
        <v>2.2238187173470001E-4</v>
      </c>
      <c r="V48" t="s">
        <v>238</v>
      </c>
      <c r="X48">
        <v>1.1415525114155251E-4</v>
      </c>
      <c r="Y48">
        <v>7.9556472664893237E-5</v>
      </c>
      <c r="Z48" t="s">
        <v>1440</v>
      </c>
      <c r="AA48" t="s">
        <v>25</v>
      </c>
      <c r="AC48" t="s">
        <v>22</v>
      </c>
      <c r="AD48" t="s">
        <v>1440</v>
      </c>
      <c r="AE48">
        <v>1.4095853861841045E-4</v>
      </c>
      <c r="AG48" t="s">
        <v>97</v>
      </c>
      <c r="AH48" t="s">
        <v>1440</v>
      </c>
      <c r="AI48">
        <v>0</v>
      </c>
    </row>
    <row r="49" spans="5:35" x14ac:dyDescent="0.45">
      <c r="E49" t="s">
        <v>405</v>
      </c>
      <c r="G49" t="s">
        <v>153</v>
      </c>
      <c r="I49" t="s">
        <v>236</v>
      </c>
      <c r="J49" t="s">
        <v>1441</v>
      </c>
      <c r="K49">
        <v>0</v>
      </c>
      <c r="L49" t="s">
        <v>238</v>
      </c>
      <c r="N49" t="s">
        <v>346</v>
      </c>
      <c r="O49" t="s">
        <v>1441</v>
      </c>
      <c r="P49">
        <v>2.7213931748789997E-4</v>
      </c>
      <c r="Q49" t="s">
        <v>238</v>
      </c>
      <c r="S49" t="s">
        <v>347</v>
      </c>
      <c r="T49" t="s">
        <v>1441</v>
      </c>
      <c r="U49">
        <v>2.2236565828030001E-4</v>
      </c>
      <c r="V49" t="s">
        <v>238</v>
      </c>
      <c r="X49">
        <v>1.1415525114155251E-4</v>
      </c>
      <c r="Y49">
        <v>5.6352501470966035E-5</v>
      </c>
      <c r="Z49" t="s">
        <v>1441</v>
      </c>
      <c r="AA49" t="s">
        <v>25</v>
      </c>
      <c r="AC49" t="s">
        <v>22</v>
      </c>
      <c r="AD49" t="s">
        <v>1441</v>
      </c>
      <c r="AE49">
        <v>1.3659321103660663E-4</v>
      </c>
      <c r="AG49" t="s">
        <v>97</v>
      </c>
      <c r="AH49" t="s">
        <v>1441</v>
      </c>
      <c r="AI49">
        <v>0</v>
      </c>
    </row>
    <row r="50" spans="5:35" x14ac:dyDescent="0.45">
      <c r="E50" t="s">
        <v>406</v>
      </c>
      <c r="G50" t="s">
        <v>153</v>
      </c>
      <c r="I50" t="s">
        <v>236</v>
      </c>
      <c r="J50" t="s">
        <v>1442</v>
      </c>
      <c r="K50">
        <v>0</v>
      </c>
      <c r="L50" t="s">
        <v>238</v>
      </c>
      <c r="N50" t="s">
        <v>346</v>
      </c>
      <c r="O50" t="s">
        <v>1442</v>
      </c>
      <c r="P50">
        <v>2.7003796895970001E-4</v>
      </c>
      <c r="Q50" t="s">
        <v>238</v>
      </c>
      <c r="S50" t="s">
        <v>347</v>
      </c>
      <c r="T50" t="s">
        <v>1442</v>
      </c>
      <c r="U50">
        <v>2.2216261661259999E-4</v>
      </c>
      <c r="V50" t="s">
        <v>238</v>
      </c>
      <c r="X50">
        <v>1.1415525114155251E-4</v>
      </c>
      <c r="Y50">
        <v>2.9833677249334962E-5</v>
      </c>
      <c r="Z50" t="s">
        <v>1442</v>
      </c>
      <c r="AA50" t="s">
        <v>25</v>
      </c>
      <c r="AC50" t="s">
        <v>22</v>
      </c>
      <c r="AD50" t="s">
        <v>1442</v>
      </c>
      <c r="AE50">
        <v>1.0215212356257194E-4</v>
      </c>
      <c r="AG50" t="s">
        <v>97</v>
      </c>
      <c r="AH50" t="s">
        <v>1442</v>
      </c>
      <c r="AI50">
        <v>0</v>
      </c>
    </row>
    <row r="51" spans="5:35" x14ac:dyDescent="0.45">
      <c r="E51" t="s">
        <v>407</v>
      </c>
      <c r="G51" t="s">
        <v>153</v>
      </c>
      <c r="I51" t="s">
        <v>236</v>
      </c>
      <c r="J51" t="s">
        <v>1443</v>
      </c>
      <c r="K51">
        <v>0</v>
      </c>
      <c r="L51" t="s">
        <v>238</v>
      </c>
      <c r="N51" t="s">
        <v>346</v>
      </c>
      <c r="O51" t="s">
        <v>1443</v>
      </c>
      <c r="P51">
        <v>2.6885814166130001E-4</v>
      </c>
      <c r="Q51" t="s">
        <v>238</v>
      </c>
      <c r="S51" t="s">
        <v>347</v>
      </c>
      <c r="T51" t="s">
        <v>1443</v>
      </c>
      <c r="U51">
        <v>2.2191719649199999E-4</v>
      </c>
      <c r="V51" t="s">
        <v>238</v>
      </c>
      <c r="X51">
        <v>1.1415525114155251E-4</v>
      </c>
      <c r="Y51">
        <v>2.1546544680075254E-5</v>
      </c>
      <c r="Z51" t="s">
        <v>1443</v>
      </c>
      <c r="AA51" t="s">
        <v>25</v>
      </c>
      <c r="AC51" t="s">
        <v>22</v>
      </c>
      <c r="AD51" t="s">
        <v>1443</v>
      </c>
      <c r="AE51">
        <v>9.6551434071538009E-5</v>
      </c>
      <c r="AG51" t="s">
        <v>97</v>
      </c>
      <c r="AH51" t="s">
        <v>1443</v>
      </c>
      <c r="AI51">
        <v>0</v>
      </c>
    </row>
    <row r="52" spans="5:35" x14ac:dyDescent="0.45">
      <c r="E52" t="s">
        <v>408</v>
      </c>
      <c r="G52" t="s">
        <v>153</v>
      </c>
      <c r="I52" t="s">
        <v>236</v>
      </c>
      <c r="J52" t="s">
        <v>1444</v>
      </c>
      <c r="K52">
        <v>0</v>
      </c>
      <c r="L52" t="s">
        <v>238</v>
      </c>
      <c r="N52" t="s">
        <v>346</v>
      </c>
      <c r="O52" t="s">
        <v>1444</v>
      </c>
      <c r="P52">
        <v>2.6966259696540001E-4</v>
      </c>
      <c r="Q52" t="s">
        <v>238</v>
      </c>
      <c r="S52" t="s">
        <v>347</v>
      </c>
      <c r="T52" t="s">
        <v>1444</v>
      </c>
      <c r="U52">
        <v>2.2133083757479999E-4</v>
      </c>
      <c r="V52" t="s">
        <v>238</v>
      </c>
      <c r="X52">
        <v>1.1415525114155251E-4</v>
      </c>
      <c r="Y52">
        <v>1.4916838624667481E-5</v>
      </c>
      <c r="Z52" t="s">
        <v>1444</v>
      </c>
      <c r="AA52" t="s">
        <v>25</v>
      </c>
      <c r="AC52" t="s">
        <v>22</v>
      </c>
      <c r="AD52" t="s">
        <v>1444</v>
      </c>
      <c r="AE52">
        <v>9.3994722185149933E-5</v>
      </c>
      <c r="AG52" t="s">
        <v>97</v>
      </c>
      <c r="AH52" t="s">
        <v>1444</v>
      </c>
      <c r="AI52">
        <v>0</v>
      </c>
    </row>
    <row r="53" spans="5:35" x14ac:dyDescent="0.45">
      <c r="E53" t="s">
        <v>409</v>
      </c>
      <c r="G53" t="s">
        <v>153</v>
      </c>
      <c r="I53" t="s">
        <v>236</v>
      </c>
      <c r="J53" t="s">
        <v>1445</v>
      </c>
      <c r="K53">
        <v>0</v>
      </c>
      <c r="L53" t="s">
        <v>238</v>
      </c>
      <c r="N53" t="s">
        <v>346</v>
      </c>
      <c r="O53" t="s">
        <v>1445</v>
      </c>
      <c r="P53">
        <v>2.696492676722E-4</v>
      </c>
      <c r="Q53" t="s">
        <v>238</v>
      </c>
      <c r="S53" t="s">
        <v>347</v>
      </c>
      <c r="T53" t="s">
        <v>1445</v>
      </c>
      <c r="U53">
        <v>2.2117255248720001E-4</v>
      </c>
      <c r="V53" t="s">
        <v>238</v>
      </c>
      <c r="X53">
        <v>1.1415525114155251E-4</v>
      </c>
      <c r="Y53">
        <v>1.6574265138519424E-5</v>
      </c>
      <c r="Z53" t="s">
        <v>1445</v>
      </c>
      <c r="AA53" t="s">
        <v>25</v>
      </c>
      <c r="AC53" t="s">
        <v>22</v>
      </c>
      <c r="AD53" t="s">
        <v>1445</v>
      </c>
      <c r="AE53">
        <v>9.3518921542615839E-5</v>
      </c>
      <c r="AG53" t="s">
        <v>97</v>
      </c>
      <c r="AH53" t="s">
        <v>1445</v>
      </c>
      <c r="AI53">
        <v>0</v>
      </c>
    </row>
    <row r="54" spans="5:35" x14ac:dyDescent="0.45">
      <c r="E54" t="s">
        <v>410</v>
      </c>
      <c r="G54" t="s">
        <v>153</v>
      </c>
      <c r="I54" t="s">
        <v>236</v>
      </c>
      <c r="J54" t="s">
        <v>1446</v>
      </c>
      <c r="K54">
        <v>0</v>
      </c>
      <c r="L54" t="s">
        <v>238</v>
      </c>
      <c r="N54" t="s">
        <v>346</v>
      </c>
      <c r="O54" t="s">
        <v>1446</v>
      </c>
      <c r="P54">
        <v>2.7011822886940001E-4</v>
      </c>
      <c r="Q54" t="s">
        <v>238</v>
      </c>
      <c r="S54" t="s">
        <v>347</v>
      </c>
      <c r="T54" t="s">
        <v>1446</v>
      </c>
      <c r="U54">
        <v>2.2171586800509999E-4</v>
      </c>
      <c r="V54" t="s">
        <v>238</v>
      </c>
      <c r="X54">
        <v>1.1415525114155251E-4</v>
      </c>
      <c r="Y54">
        <v>1.4585353321897093E-5</v>
      </c>
      <c r="Z54" t="s">
        <v>1446</v>
      </c>
      <c r="AA54" t="s">
        <v>25</v>
      </c>
      <c r="AC54" t="s">
        <v>22</v>
      </c>
      <c r="AD54" t="s">
        <v>1446</v>
      </c>
      <c r="AE54">
        <v>9.7247937421753597E-5</v>
      </c>
      <c r="AG54" t="s">
        <v>97</v>
      </c>
      <c r="AH54" t="s">
        <v>1446</v>
      </c>
      <c r="AI54">
        <v>0</v>
      </c>
    </row>
    <row r="55" spans="5:35" x14ac:dyDescent="0.45">
      <c r="E55" t="s">
        <v>411</v>
      </c>
      <c r="G55" t="s">
        <v>153</v>
      </c>
      <c r="I55" t="s">
        <v>236</v>
      </c>
      <c r="J55" t="s">
        <v>1447</v>
      </c>
      <c r="K55">
        <v>0</v>
      </c>
      <c r="L55" t="s">
        <v>238</v>
      </c>
      <c r="N55" t="s">
        <v>346</v>
      </c>
      <c r="O55" t="s">
        <v>1447</v>
      </c>
      <c r="P55">
        <v>2.69921998885E-4</v>
      </c>
      <c r="Q55" t="s">
        <v>238</v>
      </c>
      <c r="S55" t="s">
        <v>347</v>
      </c>
      <c r="T55" t="s">
        <v>1447</v>
      </c>
      <c r="U55">
        <v>2.2183090828240001E-4</v>
      </c>
      <c r="V55" t="s">
        <v>238</v>
      </c>
      <c r="X55">
        <v>1.1415525114155251E-4</v>
      </c>
      <c r="Y55">
        <v>2.1215059377304864E-5</v>
      </c>
      <c r="Z55" t="s">
        <v>1447</v>
      </c>
      <c r="AA55" t="s">
        <v>25</v>
      </c>
      <c r="AC55" t="s">
        <v>22</v>
      </c>
      <c r="AD55" t="s">
        <v>1447</v>
      </c>
      <c r="AE55">
        <v>1.0047822250690981E-4</v>
      </c>
      <c r="AG55" t="s">
        <v>97</v>
      </c>
      <c r="AH55" t="s">
        <v>1447</v>
      </c>
      <c r="AI55">
        <v>0</v>
      </c>
    </row>
    <row r="56" spans="5:35" x14ac:dyDescent="0.45">
      <c r="E56" t="s">
        <v>412</v>
      </c>
      <c r="G56" t="s">
        <v>153</v>
      </c>
      <c r="I56" t="s">
        <v>236</v>
      </c>
      <c r="J56" t="s">
        <v>1448</v>
      </c>
      <c r="K56">
        <v>0</v>
      </c>
      <c r="L56" t="s">
        <v>238</v>
      </c>
      <c r="N56" t="s">
        <v>346</v>
      </c>
      <c r="O56" t="s">
        <v>1448</v>
      </c>
      <c r="P56">
        <v>2.6831775554709999E-4</v>
      </c>
      <c r="Q56" t="s">
        <v>238</v>
      </c>
      <c r="S56" t="s">
        <v>347</v>
      </c>
      <c r="T56" t="s">
        <v>1448</v>
      </c>
      <c r="U56">
        <v>2.2161021262670001E-4</v>
      </c>
      <c r="V56" t="s">
        <v>238</v>
      </c>
      <c r="X56">
        <v>1.1415525114155251E-4</v>
      </c>
      <c r="Y56">
        <v>5.7678442682047593E-5</v>
      </c>
      <c r="Z56" t="s">
        <v>1448</v>
      </c>
      <c r="AA56" t="s">
        <v>25</v>
      </c>
      <c r="AC56" t="s">
        <v>22</v>
      </c>
      <c r="AD56" t="s">
        <v>1448</v>
      </c>
      <c r="AE56">
        <v>1.0545119910207046E-4</v>
      </c>
      <c r="AG56" t="s">
        <v>97</v>
      </c>
      <c r="AH56" t="s">
        <v>1448</v>
      </c>
      <c r="AI56">
        <v>0</v>
      </c>
    </row>
    <row r="57" spans="5:35" x14ac:dyDescent="0.45">
      <c r="E57" t="s">
        <v>413</v>
      </c>
      <c r="G57" t="s">
        <v>153</v>
      </c>
      <c r="I57" t="s">
        <v>236</v>
      </c>
      <c r="J57" t="s">
        <v>1449</v>
      </c>
      <c r="K57">
        <v>0</v>
      </c>
      <c r="L57" t="s">
        <v>238</v>
      </c>
      <c r="N57" t="s">
        <v>346</v>
      </c>
      <c r="O57" t="s">
        <v>1449</v>
      </c>
      <c r="P57">
        <v>2.678681281418E-4</v>
      </c>
      <c r="Q57" t="s">
        <v>238</v>
      </c>
      <c r="S57" t="s">
        <v>347</v>
      </c>
      <c r="T57" t="s">
        <v>1449</v>
      </c>
      <c r="U57">
        <v>2.214077087962E-4</v>
      </c>
      <c r="V57" t="s">
        <v>238</v>
      </c>
      <c r="X57">
        <v>1.1415525114155251E-4</v>
      </c>
      <c r="Y57">
        <v>1.6905750441289813E-4</v>
      </c>
      <c r="Z57" t="s">
        <v>1449</v>
      </c>
      <c r="AA57" t="s">
        <v>25</v>
      </c>
      <c r="AC57" t="s">
        <v>22</v>
      </c>
      <c r="AD57" t="s">
        <v>1449</v>
      </c>
      <c r="AE57">
        <v>1.1863890245327163E-4</v>
      </c>
      <c r="AG57" t="s">
        <v>97</v>
      </c>
      <c r="AH57" t="s">
        <v>1449</v>
      </c>
      <c r="AI57">
        <v>0</v>
      </c>
    </row>
    <row r="58" spans="5:35" x14ac:dyDescent="0.45">
      <c r="E58" t="s">
        <v>414</v>
      </c>
      <c r="G58" t="s">
        <v>153</v>
      </c>
      <c r="I58" t="s">
        <v>236</v>
      </c>
      <c r="J58" t="s">
        <v>1450</v>
      </c>
      <c r="K58">
        <v>5.527529809559684E-5</v>
      </c>
      <c r="L58" t="s">
        <v>238</v>
      </c>
      <c r="N58" t="s">
        <v>346</v>
      </c>
      <c r="O58" t="s">
        <v>1450</v>
      </c>
      <c r="P58">
        <v>2.6338613066920002E-4</v>
      </c>
      <c r="Q58" t="s">
        <v>238</v>
      </c>
      <c r="S58" t="s">
        <v>347</v>
      </c>
      <c r="T58" t="s">
        <v>1450</v>
      </c>
      <c r="U58">
        <v>2.2050470084530001E-4</v>
      </c>
      <c r="V58" t="s">
        <v>238</v>
      </c>
      <c r="X58">
        <v>1.1415525114155251E-4</v>
      </c>
      <c r="Y58">
        <v>1.9060404909297337E-4</v>
      </c>
      <c r="Z58" t="s">
        <v>1450</v>
      </c>
      <c r="AA58" t="s">
        <v>25</v>
      </c>
      <c r="AC58" t="s">
        <v>22</v>
      </c>
      <c r="AD58" t="s">
        <v>1450</v>
      </c>
      <c r="AE58">
        <v>1.3520020433617548E-4</v>
      </c>
      <c r="AG58" t="s">
        <v>97</v>
      </c>
      <c r="AH58" t="s">
        <v>1450</v>
      </c>
      <c r="AI58">
        <v>0</v>
      </c>
    </row>
    <row r="59" spans="5:35" x14ac:dyDescent="0.45">
      <c r="E59" t="s">
        <v>745</v>
      </c>
      <c r="G59" t="s">
        <v>156</v>
      </c>
      <c r="I59" t="s">
        <v>236</v>
      </c>
      <c r="J59" t="s">
        <v>1451</v>
      </c>
      <c r="K59">
        <v>1.6647198148350001E-4</v>
      </c>
      <c r="L59" t="s">
        <v>238</v>
      </c>
      <c r="N59" t="s">
        <v>346</v>
      </c>
      <c r="O59" t="s">
        <v>1451</v>
      </c>
      <c r="P59">
        <v>2.5685330943870001E-4</v>
      </c>
      <c r="Q59" t="s">
        <v>238</v>
      </c>
      <c r="S59" t="s">
        <v>347</v>
      </c>
      <c r="T59" t="s">
        <v>1451</v>
      </c>
      <c r="U59">
        <v>2.1919637533919999E-4</v>
      </c>
      <c r="V59" t="s">
        <v>238</v>
      </c>
      <c r="X59">
        <v>1.1415525114155251E-4</v>
      </c>
      <c r="Y59">
        <v>1.4585353321897094E-4</v>
      </c>
      <c r="Z59" t="s">
        <v>1451</v>
      </c>
      <c r="AA59" t="s">
        <v>25</v>
      </c>
      <c r="AC59" t="s">
        <v>22</v>
      </c>
      <c r="AD59" t="s">
        <v>1451</v>
      </c>
      <c r="AE59">
        <v>1.4089834697086096E-4</v>
      </c>
      <c r="AG59" t="s">
        <v>97</v>
      </c>
      <c r="AH59" t="s">
        <v>1451</v>
      </c>
      <c r="AI59">
        <v>0</v>
      </c>
    </row>
    <row r="60" spans="5:35" x14ac:dyDescent="0.45">
      <c r="E60" t="s">
        <v>746</v>
      </c>
      <c r="G60" t="s">
        <v>156</v>
      </c>
      <c r="I60" t="s">
        <v>236</v>
      </c>
      <c r="J60" t="s">
        <v>1452</v>
      </c>
      <c r="K60">
        <v>2.507898318148E-4</v>
      </c>
      <c r="L60" t="s">
        <v>238</v>
      </c>
      <c r="N60" t="s">
        <v>346</v>
      </c>
      <c r="O60" t="s">
        <v>1452</v>
      </c>
      <c r="P60">
        <v>2.4447834249619998E-4</v>
      </c>
      <c r="Q60" t="s">
        <v>238</v>
      </c>
      <c r="S60" t="s">
        <v>347</v>
      </c>
      <c r="T60" t="s">
        <v>1452</v>
      </c>
      <c r="U60">
        <v>2.1839595250810001E-4</v>
      </c>
      <c r="V60" t="s">
        <v>238</v>
      </c>
      <c r="X60">
        <v>1.1415525114155251E-4</v>
      </c>
      <c r="Y60">
        <v>1.4452759200788939E-4</v>
      </c>
      <c r="Z60" t="s">
        <v>1452</v>
      </c>
      <c r="AA60" t="s">
        <v>25</v>
      </c>
      <c r="AC60" t="s">
        <v>22</v>
      </c>
      <c r="AD60" t="s">
        <v>1452</v>
      </c>
      <c r="AE60">
        <v>1.4610922388728868E-4</v>
      </c>
      <c r="AG60" t="s">
        <v>97</v>
      </c>
      <c r="AH60" t="s">
        <v>1452</v>
      </c>
      <c r="AI60">
        <v>0</v>
      </c>
    </row>
    <row r="61" spans="5:35" x14ac:dyDescent="0.45">
      <c r="E61" t="s">
        <v>747</v>
      </c>
      <c r="G61" t="s">
        <v>156</v>
      </c>
      <c r="I61" t="s">
        <v>236</v>
      </c>
      <c r="J61" t="s">
        <v>1453</v>
      </c>
      <c r="K61">
        <v>3.1815664304320001E-4</v>
      </c>
      <c r="L61" t="s">
        <v>238</v>
      </c>
      <c r="N61" t="s">
        <v>346</v>
      </c>
      <c r="O61" t="s">
        <v>1453</v>
      </c>
      <c r="P61">
        <v>2.40249968043E-4</v>
      </c>
      <c r="Q61" t="s">
        <v>238</v>
      </c>
      <c r="S61" t="s">
        <v>347</v>
      </c>
      <c r="T61" t="s">
        <v>1453</v>
      </c>
      <c r="U61">
        <v>2.1366517728840001E-4</v>
      </c>
      <c r="V61" t="s">
        <v>238</v>
      </c>
      <c r="X61">
        <v>1.1415525114155251E-4</v>
      </c>
      <c r="Y61">
        <v>1.408812536774151E-4</v>
      </c>
      <c r="Z61" t="s">
        <v>1453</v>
      </c>
      <c r="AA61" t="s">
        <v>25</v>
      </c>
      <c r="AC61" t="s">
        <v>22</v>
      </c>
      <c r="AD61" t="s">
        <v>1453</v>
      </c>
      <c r="AE61">
        <v>1.4570507996802777E-4</v>
      </c>
      <c r="AG61" t="s">
        <v>97</v>
      </c>
      <c r="AH61" t="s">
        <v>1453</v>
      </c>
      <c r="AI61">
        <v>0</v>
      </c>
    </row>
    <row r="62" spans="5:35" x14ac:dyDescent="0.45">
      <c r="E62" t="s">
        <v>748</v>
      </c>
      <c r="G62" t="s">
        <v>156</v>
      </c>
      <c r="I62" t="s">
        <v>236</v>
      </c>
      <c r="J62" t="s">
        <v>1454</v>
      </c>
      <c r="K62">
        <v>3.5430582059029999E-4</v>
      </c>
      <c r="L62" t="s">
        <v>238</v>
      </c>
      <c r="N62" t="s">
        <v>346</v>
      </c>
      <c r="O62" t="s">
        <v>1454</v>
      </c>
      <c r="P62">
        <v>2.4288927901909999E-4</v>
      </c>
      <c r="Q62" t="s">
        <v>238</v>
      </c>
      <c r="S62" t="s">
        <v>347</v>
      </c>
      <c r="T62" t="s">
        <v>1454</v>
      </c>
      <c r="U62">
        <v>2.133037333328E-4</v>
      </c>
      <c r="V62" t="s">
        <v>238</v>
      </c>
      <c r="X62">
        <v>1.1415525114155251E-4</v>
      </c>
      <c r="Y62">
        <v>1.4054976837464471E-4</v>
      </c>
      <c r="Z62" t="s">
        <v>1454</v>
      </c>
      <c r="AA62" t="s">
        <v>25</v>
      </c>
      <c r="AC62" t="s">
        <v>22</v>
      </c>
      <c r="AD62" t="s">
        <v>1454</v>
      </c>
      <c r="AE62">
        <v>1.4520061663618439E-4</v>
      </c>
      <c r="AG62" t="s">
        <v>97</v>
      </c>
      <c r="AH62" t="s">
        <v>1454</v>
      </c>
      <c r="AI62">
        <v>0</v>
      </c>
    </row>
    <row r="63" spans="5:35" x14ac:dyDescent="0.45">
      <c r="E63" t="s">
        <v>749</v>
      </c>
      <c r="G63" t="s">
        <v>156</v>
      </c>
      <c r="I63" t="s">
        <v>236</v>
      </c>
      <c r="J63" t="s">
        <v>1455</v>
      </c>
      <c r="K63">
        <v>3.5181781704050002E-4</v>
      </c>
      <c r="L63" t="s">
        <v>238</v>
      </c>
      <c r="N63" t="s">
        <v>346</v>
      </c>
      <c r="O63" t="s">
        <v>1455</v>
      </c>
      <c r="P63">
        <v>2.4975695978819999E-4</v>
      </c>
      <c r="Q63" t="s">
        <v>238</v>
      </c>
      <c r="S63" t="s">
        <v>347</v>
      </c>
      <c r="T63" t="s">
        <v>1455</v>
      </c>
      <c r="U63">
        <v>2.1500224761229999E-4</v>
      </c>
      <c r="V63" t="s">
        <v>238</v>
      </c>
      <c r="X63">
        <v>1.1415525114155251E-4</v>
      </c>
      <c r="Y63">
        <v>1.4253868019126702E-4</v>
      </c>
      <c r="Z63" t="s">
        <v>1455</v>
      </c>
      <c r="AA63" t="s">
        <v>25</v>
      </c>
      <c r="AC63" t="s">
        <v>22</v>
      </c>
      <c r="AD63" t="s">
        <v>1455</v>
      </c>
      <c r="AE63">
        <v>1.4436366610835332E-4</v>
      </c>
      <c r="AG63" t="s">
        <v>97</v>
      </c>
      <c r="AH63" t="s">
        <v>1455</v>
      </c>
      <c r="AI63">
        <v>0</v>
      </c>
    </row>
    <row r="64" spans="5:35" x14ac:dyDescent="0.45">
      <c r="E64" t="s">
        <v>750</v>
      </c>
      <c r="G64" t="s">
        <v>156</v>
      </c>
      <c r="I64" t="s">
        <v>236</v>
      </c>
      <c r="J64" t="s">
        <v>1456</v>
      </c>
      <c r="K64">
        <v>3.2673649613159999E-4</v>
      </c>
      <c r="L64" t="s">
        <v>238</v>
      </c>
      <c r="N64" t="s">
        <v>346</v>
      </c>
      <c r="O64" t="s">
        <v>1456</v>
      </c>
      <c r="P64">
        <v>2.536110324381E-4</v>
      </c>
      <c r="Q64" t="s">
        <v>238</v>
      </c>
      <c r="S64" t="s">
        <v>347</v>
      </c>
      <c r="T64" t="s">
        <v>1456</v>
      </c>
      <c r="U64">
        <v>2.1937114266779999E-4</v>
      </c>
      <c r="V64" t="s">
        <v>238</v>
      </c>
      <c r="X64">
        <v>1.1415525114155251E-4</v>
      </c>
      <c r="Y64">
        <v>1.4883690094390442E-4</v>
      </c>
      <c r="Z64" t="s">
        <v>1456</v>
      </c>
      <c r="AA64" t="s">
        <v>25</v>
      </c>
      <c r="AC64" t="s">
        <v>22</v>
      </c>
      <c r="AD64" t="s">
        <v>1456</v>
      </c>
      <c r="AE64">
        <v>1.4368149410279239E-4</v>
      </c>
      <c r="AG64" t="s">
        <v>97</v>
      </c>
      <c r="AH64" t="s">
        <v>1456</v>
      </c>
      <c r="AI64">
        <v>0</v>
      </c>
    </row>
    <row r="65" spans="5:35" x14ac:dyDescent="0.45">
      <c r="E65" t="s">
        <v>751</v>
      </c>
      <c r="G65" t="s">
        <v>156</v>
      </c>
      <c r="I65" t="s">
        <v>236</v>
      </c>
      <c r="J65" t="s">
        <v>1457</v>
      </c>
      <c r="K65">
        <v>3.007005179147E-4</v>
      </c>
      <c r="L65" t="s">
        <v>238</v>
      </c>
      <c r="N65" t="s">
        <v>346</v>
      </c>
      <c r="O65" t="s">
        <v>1457</v>
      </c>
      <c r="P65">
        <v>2.5240798042159998E-4</v>
      </c>
      <c r="Q65" t="s">
        <v>238</v>
      </c>
      <c r="S65" t="s">
        <v>347</v>
      </c>
      <c r="T65" t="s">
        <v>1457</v>
      </c>
      <c r="U65">
        <v>2.205094773218E-4</v>
      </c>
      <c r="V65" t="s">
        <v>238</v>
      </c>
      <c r="X65">
        <v>1.1415525114155251E-4</v>
      </c>
      <c r="Y65">
        <v>1.5049432745775637E-4</v>
      </c>
      <c r="Z65" t="s">
        <v>1457</v>
      </c>
      <c r="AA65" t="s">
        <v>25</v>
      </c>
      <c r="AC65" t="s">
        <v>22</v>
      </c>
      <c r="AD65" t="s">
        <v>1457</v>
      </c>
      <c r="AE65">
        <v>1.4257798056438497E-4</v>
      </c>
      <c r="AG65" t="s">
        <v>97</v>
      </c>
      <c r="AH65" t="s">
        <v>1457</v>
      </c>
      <c r="AI65">
        <v>0</v>
      </c>
    </row>
    <row r="66" spans="5:35" x14ac:dyDescent="0.45">
      <c r="E66" t="s">
        <v>752</v>
      </c>
      <c r="G66" t="s">
        <v>156</v>
      </c>
      <c r="I66" t="s">
        <v>236</v>
      </c>
      <c r="J66" t="s">
        <v>1458</v>
      </c>
      <c r="K66">
        <v>2.2980820553519999E-4</v>
      </c>
      <c r="L66" t="s">
        <v>238</v>
      </c>
      <c r="N66" t="s">
        <v>346</v>
      </c>
      <c r="O66" t="s">
        <v>1458</v>
      </c>
      <c r="P66">
        <v>2.529147825455E-4</v>
      </c>
      <c r="Q66" t="s">
        <v>238</v>
      </c>
      <c r="S66" t="s">
        <v>347</v>
      </c>
      <c r="T66" t="s">
        <v>1458</v>
      </c>
      <c r="U66">
        <v>2.187510722503E-4</v>
      </c>
      <c r="V66" t="s">
        <v>238</v>
      </c>
      <c r="X66">
        <v>1.1415525114155251E-4</v>
      </c>
      <c r="Y66">
        <v>1.7237235744060203E-4</v>
      </c>
      <c r="Z66" t="s">
        <v>1458</v>
      </c>
      <c r="AA66" t="s">
        <v>25</v>
      </c>
      <c r="AC66" t="s">
        <v>22</v>
      </c>
      <c r="AD66" t="s">
        <v>1458</v>
      </c>
      <c r="AE66">
        <v>1.4373595321248001E-4</v>
      </c>
      <c r="AG66" t="s">
        <v>97</v>
      </c>
      <c r="AH66" t="s">
        <v>1458</v>
      </c>
      <c r="AI66">
        <v>0</v>
      </c>
    </row>
    <row r="67" spans="5:35" x14ac:dyDescent="0.45">
      <c r="E67" t="s">
        <v>753</v>
      </c>
      <c r="G67" t="s">
        <v>156</v>
      </c>
      <c r="I67" t="s">
        <v>236</v>
      </c>
      <c r="J67" t="s">
        <v>1459</v>
      </c>
      <c r="K67">
        <v>1.624561812229E-4</v>
      </c>
      <c r="L67" t="s">
        <v>238</v>
      </c>
      <c r="N67" t="s">
        <v>346</v>
      </c>
      <c r="O67" t="s">
        <v>1459</v>
      </c>
      <c r="P67">
        <v>2.6309290247319999E-4</v>
      </c>
      <c r="Q67" t="s">
        <v>238</v>
      </c>
      <c r="S67" t="s">
        <v>347</v>
      </c>
      <c r="T67" t="s">
        <v>1459</v>
      </c>
      <c r="U67">
        <v>2.2206235368819999E-4</v>
      </c>
      <c r="V67" t="s">
        <v>238</v>
      </c>
      <c r="X67">
        <v>1.1415525114155251E-4</v>
      </c>
      <c r="Y67">
        <v>2.2209515285616027E-4</v>
      </c>
      <c r="Z67" t="s">
        <v>1459</v>
      </c>
      <c r="AA67" t="s">
        <v>25</v>
      </c>
      <c r="AC67" t="s">
        <v>22</v>
      </c>
      <c r="AD67" t="s">
        <v>1459</v>
      </c>
      <c r="AE67">
        <v>1.4937963673747787E-4</v>
      </c>
      <c r="AG67" t="s">
        <v>97</v>
      </c>
      <c r="AH67" t="s">
        <v>1459</v>
      </c>
      <c r="AI67">
        <v>0</v>
      </c>
    </row>
    <row r="68" spans="5:35" x14ac:dyDescent="0.45">
      <c r="E68" t="s">
        <v>754</v>
      </c>
      <c r="G68" t="s">
        <v>156</v>
      </c>
      <c r="I68" t="s">
        <v>236</v>
      </c>
      <c r="J68" t="s">
        <v>1460</v>
      </c>
      <c r="K68">
        <v>8.9616479808451858E-5</v>
      </c>
      <c r="L68" t="s">
        <v>238</v>
      </c>
      <c r="N68" t="s">
        <v>346</v>
      </c>
      <c r="O68" t="s">
        <v>1460</v>
      </c>
      <c r="P68">
        <v>2.6984571888000002E-4</v>
      </c>
      <c r="Q68" t="s">
        <v>238</v>
      </c>
      <c r="S68" t="s">
        <v>347</v>
      </c>
      <c r="T68" t="s">
        <v>1460</v>
      </c>
      <c r="U68">
        <v>2.2305029874119999E-4</v>
      </c>
      <c r="V68" t="s">
        <v>238</v>
      </c>
      <c r="X68">
        <v>1.1415525114155251E-4</v>
      </c>
      <c r="Y68">
        <v>2.2209515285616027E-4</v>
      </c>
      <c r="Z68" t="s">
        <v>1460</v>
      </c>
      <c r="AA68" t="s">
        <v>25</v>
      </c>
      <c r="AC68" t="s">
        <v>22</v>
      </c>
      <c r="AD68" t="s">
        <v>1460</v>
      </c>
      <c r="AE68">
        <v>1.5094461957376474E-4</v>
      </c>
      <c r="AG68" t="s">
        <v>97</v>
      </c>
      <c r="AH68" t="s">
        <v>1460</v>
      </c>
      <c r="AI68">
        <v>0</v>
      </c>
    </row>
    <row r="69" spans="5:35" x14ac:dyDescent="0.45">
      <c r="E69" t="s">
        <v>755</v>
      </c>
      <c r="G69" t="s">
        <v>156</v>
      </c>
      <c r="I69" t="s">
        <v>236</v>
      </c>
      <c r="J69" t="s">
        <v>1461</v>
      </c>
      <c r="K69">
        <v>2.0544128348851013E-5</v>
      </c>
      <c r="L69" t="s">
        <v>238</v>
      </c>
      <c r="N69" t="s">
        <v>346</v>
      </c>
      <c r="O69" t="s">
        <v>1461</v>
      </c>
      <c r="P69">
        <v>2.7018801182949998E-4</v>
      </c>
      <c r="Q69" t="s">
        <v>238</v>
      </c>
      <c r="S69" t="s">
        <v>347</v>
      </c>
      <c r="T69" t="s">
        <v>1461</v>
      </c>
      <c r="U69">
        <v>2.228216797726E-4</v>
      </c>
      <c r="V69" t="s">
        <v>238</v>
      </c>
      <c r="X69">
        <v>1.1415525114155251E-4</v>
      </c>
      <c r="Y69">
        <v>1.7237235744060203E-4</v>
      </c>
      <c r="Z69" t="s">
        <v>1461</v>
      </c>
      <c r="AA69" t="s">
        <v>25</v>
      </c>
      <c r="AC69" t="s">
        <v>22</v>
      </c>
      <c r="AD69" t="s">
        <v>1461</v>
      </c>
      <c r="AE69">
        <v>1.5175577368121745E-4</v>
      </c>
      <c r="AG69" t="s">
        <v>97</v>
      </c>
      <c r="AH69" t="s">
        <v>1461</v>
      </c>
      <c r="AI69">
        <v>0</v>
      </c>
    </row>
    <row r="70" spans="5:35" x14ac:dyDescent="0.45">
      <c r="E70" t="s">
        <v>756</v>
      </c>
      <c r="G70" t="s">
        <v>156</v>
      </c>
      <c r="I70" t="s">
        <v>236</v>
      </c>
      <c r="J70" t="s">
        <v>1462</v>
      </c>
      <c r="K70">
        <v>0</v>
      </c>
      <c r="L70" t="s">
        <v>238</v>
      </c>
      <c r="N70" t="s">
        <v>346</v>
      </c>
      <c r="O70" t="s">
        <v>1462</v>
      </c>
      <c r="P70">
        <v>2.7049588102789999E-4</v>
      </c>
      <c r="Q70" t="s">
        <v>238</v>
      </c>
      <c r="S70" t="s">
        <v>347</v>
      </c>
      <c r="T70" t="s">
        <v>1462</v>
      </c>
      <c r="U70">
        <v>2.2262237439500001E-4</v>
      </c>
      <c r="V70" t="s">
        <v>238</v>
      </c>
      <c r="X70">
        <v>1.1415525114155251E-4</v>
      </c>
      <c r="Y70">
        <v>1.5579809230208258E-4</v>
      </c>
      <c r="Z70" t="s">
        <v>1462</v>
      </c>
      <c r="AA70" t="s">
        <v>25</v>
      </c>
      <c r="AC70" t="s">
        <v>22</v>
      </c>
      <c r="AD70" t="s">
        <v>1462</v>
      </c>
      <c r="AE70">
        <v>1.4804108914673433E-4</v>
      </c>
      <c r="AG70" t="s">
        <v>97</v>
      </c>
      <c r="AH70" t="s">
        <v>1462</v>
      </c>
      <c r="AI70">
        <v>0</v>
      </c>
    </row>
    <row r="71" spans="5:35" x14ac:dyDescent="0.45">
      <c r="E71" t="s">
        <v>757</v>
      </c>
      <c r="G71" t="s">
        <v>156</v>
      </c>
      <c r="I71" t="s">
        <v>236</v>
      </c>
      <c r="J71" t="s">
        <v>1463</v>
      </c>
      <c r="K71">
        <v>0</v>
      </c>
      <c r="L71" t="s">
        <v>238</v>
      </c>
      <c r="N71" t="s">
        <v>346</v>
      </c>
      <c r="O71" t="s">
        <v>1463</v>
      </c>
      <c r="P71">
        <v>2.71098480435E-4</v>
      </c>
      <c r="Q71" t="s">
        <v>238</v>
      </c>
      <c r="S71" t="s">
        <v>347</v>
      </c>
      <c r="T71" t="s">
        <v>1463</v>
      </c>
      <c r="U71">
        <v>2.227249722429E-4</v>
      </c>
      <c r="V71" t="s">
        <v>238</v>
      </c>
      <c r="X71">
        <v>1.1415525114155251E-4</v>
      </c>
      <c r="Y71">
        <v>1.093901499142282E-4</v>
      </c>
      <c r="Z71" t="s">
        <v>1463</v>
      </c>
      <c r="AA71" t="s">
        <v>25</v>
      </c>
      <c r="AC71" t="s">
        <v>22</v>
      </c>
      <c r="AD71" t="s">
        <v>1463</v>
      </c>
      <c r="AE71">
        <v>1.4512895991291119E-4</v>
      </c>
      <c r="AG71" t="s">
        <v>97</v>
      </c>
      <c r="AH71" t="s">
        <v>1463</v>
      </c>
      <c r="AI71">
        <v>0</v>
      </c>
    </row>
    <row r="72" spans="5:35" x14ac:dyDescent="0.45">
      <c r="E72" t="s">
        <v>758</v>
      </c>
      <c r="G72" t="s">
        <v>156</v>
      </c>
      <c r="I72" t="s">
        <v>236</v>
      </c>
      <c r="J72" t="s">
        <v>1464</v>
      </c>
      <c r="K72">
        <v>0</v>
      </c>
      <c r="L72" t="s">
        <v>238</v>
      </c>
      <c r="N72" t="s">
        <v>346</v>
      </c>
      <c r="O72" t="s">
        <v>1464</v>
      </c>
      <c r="P72">
        <v>2.700321642779E-4</v>
      </c>
      <c r="Q72" t="s">
        <v>238</v>
      </c>
      <c r="S72" t="s">
        <v>347</v>
      </c>
      <c r="T72" t="s">
        <v>1464</v>
      </c>
      <c r="U72">
        <v>2.228891222734E-4</v>
      </c>
      <c r="V72" t="s">
        <v>238</v>
      </c>
      <c r="X72">
        <v>1.1415525114155251E-4</v>
      </c>
      <c r="Y72">
        <v>7.9556472664893237E-5</v>
      </c>
      <c r="Z72" t="s">
        <v>1464</v>
      </c>
      <c r="AA72" t="s">
        <v>25</v>
      </c>
      <c r="AC72" t="s">
        <v>22</v>
      </c>
      <c r="AD72" t="s">
        <v>1464</v>
      </c>
      <c r="AE72">
        <v>1.4095853861841051E-4</v>
      </c>
      <c r="AG72" t="s">
        <v>97</v>
      </c>
      <c r="AH72" t="s">
        <v>1464</v>
      </c>
      <c r="AI72">
        <v>0</v>
      </c>
    </row>
    <row r="73" spans="5:35" x14ac:dyDescent="0.45">
      <c r="E73" t="s">
        <v>759</v>
      </c>
      <c r="G73" t="s">
        <v>156</v>
      </c>
      <c r="I73" t="s">
        <v>236</v>
      </c>
      <c r="J73" t="s">
        <v>1465</v>
      </c>
      <c r="K73">
        <v>0</v>
      </c>
      <c r="L73" t="s">
        <v>238</v>
      </c>
      <c r="N73" t="s">
        <v>346</v>
      </c>
      <c r="O73" t="s">
        <v>1465</v>
      </c>
      <c r="P73">
        <v>2.6957014517699999E-4</v>
      </c>
      <c r="Q73" t="s">
        <v>238</v>
      </c>
      <c r="S73" t="s">
        <v>347</v>
      </c>
      <c r="T73" t="s">
        <v>1465</v>
      </c>
      <c r="U73">
        <v>2.23036172921E-4</v>
      </c>
      <c r="V73" t="s">
        <v>238</v>
      </c>
      <c r="X73">
        <v>1.1415525114155251E-4</v>
      </c>
      <c r="Y73">
        <v>5.6352501470966035E-5</v>
      </c>
      <c r="Z73" t="s">
        <v>1465</v>
      </c>
      <c r="AA73" t="s">
        <v>25</v>
      </c>
      <c r="AC73" t="s">
        <v>22</v>
      </c>
      <c r="AD73" t="s">
        <v>1465</v>
      </c>
      <c r="AE73">
        <v>1.3624925876489522E-4</v>
      </c>
      <c r="AG73" t="s">
        <v>97</v>
      </c>
      <c r="AH73" t="s">
        <v>1465</v>
      </c>
      <c r="AI73">
        <v>0</v>
      </c>
    </row>
    <row r="74" spans="5:35" x14ac:dyDescent="0.45">
      <c r="E74" t="s">
        <v>760</v>
      </c>
      <c r="G74" t="s">
        <v>156</v>
      </c>
      <c r="I74" t="s">
        <v>236</v>
      </c>
      <c r="J74" t="s">
        <v>1466</v>
      </c>
      <c r="K74">
        <v>0</v>
      </c>
      <c r="L74" t="s">
        <v>238</v>
      </c>
      <c r="N74" t="s">
        <v>346</v>
      </c>
      <c r="O74" t="s">
        <v>1466</v>
      </c>
      <c r="P74">
        <v>2.6607668178919999E-4</v>
      </c>
      <c r="Q74" t="s">
        <v>238</v>
      </c>
      <c r="S74" t="s">
        <v>347</v>
      </c>
      <c r="T74" t="s">
        <v>1466</v>
      </c>
      <c r="U74">
        <v>2.228421858285E-4</v>
      </c>
      <c r="V74" t="s">
        <v>238</v>
      </c>
      <c r="X74">
        <v>1.1415525114155251E-4</v>
      </c>
      <c r="Y74">
        <v>2.9833677249334962E-5</v>
      </c>
      <c r="Z74" t="s">
        <v>1466</v>
      </c>
      <c r="AA74" t="s">
        <v>25</v>
      </c>
      <c r="AC74" t="s">
        <v>22</v>
      </c>
      <c r="AD74" t="s">
        <v>1466</v>
      </c>
      <c r="AE74">
        <v>1.0335595651356184E-4</v>
      </c>
      <c r="AG74" t="s">
        <v>97</v>
      </c>
      <c r="AH74" t="s">
        <v>1466</v>
      </c>
      <c r="AI74">
        <v>0</v>
      </c>
    </row>
    <row r="75" spans="5:35" x14ac:dyDescent="0.45">
      <c r="E75" t="s">
        <v>761</v>
      </c>
      <c r="G75" t="s">
        <v>156</v>
      </c>
      <c r="I75" t="s">
        <v>236</v>
      </c>
      <c r="J75" t="s">
        <v>328</v>
      </c>
      <c r="K75">
        <v>6.5839550911715814E-3</v>
      </c>
      <c r="L75" t="s">
        <v>238</v>
      </c>
      <c r="N75" t="s">
        <v>346</v>
      </c>
      <c r="O75" t="s">
        <v>328</v>
      </c>
      <c r="P75">
        <v>5.8647423054914175E-2</v>
      </c>
      <c r="Q75" t="s">
        <v>238</v>
      </c>
      <c r="S75" t="s">
        <v>347</v>
      </c>
      <c r="T75" t="s">
        <v>328</v>
      </c>
      <c r="U75">
        <v>5.9825314787099175E-2</v>
      </c>
      <c r="V75" t="s">
        <v>238</v>
      </c>
      <c r="X75">
        <v>7.8767123287671229E-2</v>
      </c>
      <c r="Y75">
        <v>1.6849397939818846E-2</v>
      </c>
      <c r="Z75" t="s">
        <v>328</v>
      </c>
      <c r="AA75" t="s">
        <v>25</v>
      </c>
      <c r="AC75" t="s">
        <v>22</v>
      </c>
      <c r="AD75" t="s">
        <v>328</v>
      </c>
      <c r="AE75">
        <v>4.7217916047465697E-2</v>
      </c>
      <c r="AG75" t="s">
        <v>97</v>
      </c>
      <c r="AH75" t="s">
        <v>328</v>
      </c>
      <c r="AI75">
        <v>0.20863528426775235</v>
      </c>
    </row>
    <row r="76" spans="5:35" x14ac:dyDescent="0.45">
      <c r="E76" t="s">
        <v>762</v>
      </c>
      <c r="G76" t="s">
        <v>156</v>
      </c>
      <c r="I76" t="s">
        <v>236</v>
      </c>
      <c r="J76" t="s">
        <v>329</v>
      </c>
      <c r="K76">
        <v>1.7465699309379783E-2</v>
      </c>
      <c r="L76" t="s">
        <v>238</v>
      </c>
      <c r="N76" t="s">
        <v>346</v>
      </c>
      <c r="O76" t="s">
        <v>329</v>
      </c>
      <c r="P76">
        <v>9.2746525282570973E-3</v>
      </c>
      <c r="Q76" t="s">
        <v>238</v>
      </c>
      <c r="S76" t="s">
        <v>347</v>
      </c>
      <c r="T76" t="s">
        <v>329</v>
      </c>
      <c r="U76">
        <v>1.0004309338196574E-2</v>
      </c>
      <c r="V76" t="s">
        <v>238</v>
      </c>
      <c r="X76">
        <v>1.3127853881278538E-2</v>
      </c>
      <c r="Y76">
        <v>1.9441613007483281E-2</v>
      </c>
      <c r="Z76" t="s">
        <v>329</v>
      </c>
      <c r="AA76" t="s">
        <v>25</v>
      </c>
      <c r="AC76" t="s">
        <v>22</v>
      </c>
      <c r="AD76" t="s">
        <v>329</v>
      </c>
      <c r="AE76">
        <v>1.1096223552910837E-2</v>
      </c>
      <c r="AG76" t="s">
        <v>97</v>
      </c>
      <c r="AH76" t="s">
        <v>329</v>
      </c>
      <c r="AI76">
        <v>0.11533476271712573</v>
      </c>
    </row>
    <row r="77" spans="5:35" x14ac:dyDescent="0.45">
      <c r="E77" t="s">
        <v>763</v>
      </c>
      <c r="G77" t="s">
        <v>156</v>
      </c>
      <c r="I77" t="s">
        <v>236</v>
      </c>
      <c r="J77" t="s">
        <v>330</v>
      </c>
      <c r="K77">
        <v>2.7730321459676875E-2</v>
      </c>
      <c r="L77" t="s">
        <v>238</v>
      </c>
      <c r="N77" t="s">
        <v>346</v>
      </c>
      <c r="O77" t="s">
        <v>330</v>
      </c>
      <c r="P77">
        <v>9.1082751623057998E-3</v>
      </c>
      <c r="Q77" t="s">
        <v>238</v>
      </c>
      <c r="S77" t="s">
        <v>347</v>
      </c>
      <c r="T77" t="s">
        <v>330</v>
      </c>
      <c r="U77">
        <v>1.0124904488675033E-2</v>
      </c>
      <c r="V77" t="s">
        <v>238</v>
      </c>
      <c r="X77">
        <v>1.3127853881278538E-2</v>
      </c>
      <c r="Y77">
        <v>2.191946564569193E-2</v>
      </c>
      <c r="Z77" t="s">
        <v>330</v>
      </c>
      <c r="AA77" t="s">
        <v>25</v>
      </c>
      <c r="AC77" t="s">
        <v>22</v>
      </c>
      <c r="AD77" t="s">
        <v>330</v>
      </c>
      <c r="AE77">
        <v>1.2314505365581542E-2</v>
      </c>
      <c r="AG77" t="s">
        <v>97</v>
      </c>
      <c r="AH77" t="s">
        <v>330</v>
      </c>
      <c r="AI77">
        <v>0.10899315534162812</v>
      </c>
    </row>
    <row r="78" spans="5:35" x14ac:dyDescent="0.45">
      <c r="E78" t="s">
        <v>764</v>
      </c>
      <c r="G78" t="s">
        <v>156</v>
      </c>
      <c r="I78" t="s">
        <v>236</v>
      </c>
      <c r="J78" t="s">
        <v>331</v>
      </c>
      <c r="K78">
        <v>3.5755740113079769E-2</v>
      </c>
      <c r="L78" t="s">
        <v>238</v>
      </c>
      <c r="N78" t="s">
        <v>346</v>
      </c>
      <c r="O78" t="s">
        <v>331</v>
      </c>
      <c r="P78">
        <v>9.0691876159975076E-3</v>
      </c>
      <c r="Q78" t="s">
        <v>238</v>
      </c>
      <c r="S78" t="s">
        <v>347</v>
      </c>
      <c r="T78" t="s">
        <v>331</v>
      </c>
      <c r="U78">
        <v>1.0243776328951773E-2</v>
      </c>
      <c r="V78" t="s">
        <v>238</v>
      </c>
      <c r="X78">
        <v>1.3127853881278538E-2</v>
      </c>
      <c r="Y78">
        <v>1.6773156320181656E-2</v>
      </c>
      <c r="Z78" t="s">
        <v>331</v>
      </c>
      <c r="AA78" t="s">
        <v>25</v>
      </c>
      <c r="AC78" t="s">
        <v>22</v>
      </c>
      <c r="AD78" t="s">
        <v>331</v>
      </c>
      <c r="AE78">
        <v>1.31243381230571E-2</v>
      </c>
      <c r="AG78" t="s">
        <v>97</v>
      </c>
      <c r="AH78" t="s">
        <v>331</v>
      </c>
      <c r="AI78">
        <v>8.807315758746137E-2</v>
      </c>
    </row>
    <row r="79" spans="5:35" x14ac:dyDescent="0.45">
      <c r="E79" t="s">
        <v>765</v>
      </c>
      <c r="G79" t="s">
        <v>156</v>
      </c>
      <c r="I79" t="s">
        <v>236</v>
      </c>
      <c r="J79" t="s">
        <v>332</v>
      </c>
      <c r="K79">
        <v>0.30414694729890152</v>
      </c>
      <c r="L79" t="s">
        <v>238</v>
      </c>
      <c r="N79" t="s">
        <v>346</v>
      </c>
      <c r="O79" t="s">
        <v>332</v>
      </c>
      <c r="P79">
        <v>6.7219166034918856E-2</v>
      </c>
      <c r="Q79" t="s">
        <v>238</v>
      </c>
      <c r="S79" t="s">
        <v>347</v>
      </c>
      <c r="T79" t="s">
        <v>332</v>
      </c>
      <c r="U79">
        <v>7.1311094898777155E-2</v>
      </c>
      <c r="V79" t="s">
        <v>238</v>
      </c>
      <c r="X79">
        <v>9.1894977168949774E-2</v>
      </c>
      <c r="Y79">
        <v>0.11962310121075009</v>
      </c>
      <c r="Z79" t="s">
        <v>332</v>
      </c>
      <c r="AA79" t="s">
        <v>25</v>
      </c>
      <c r="AC79" t="s">
        <v>22</v>
      </c>
      <c r="AD79" t="s">
        <v>332</v>
      </c>
      <c r="AE79">
        <v>9.2700538663209112E-2</v>
      </c>
      <c r="AG79" t="s">
        <v>97</v>
      </c>
      <c r="AH79" t="s">
        <v>332</v>
      </c>
      <c r="AI79">
        <v>0.10165310055900467</v>
      </c>
    </row>
    <row r="80" spans="5:35" x14ac:dyDescent="0.45">
      <c r="E80" t="s">
        <v>766</v>
      </c>
      <c r="G80" t="s">
        <v>156</v>
      </c>
      <c r="I80" t="s">
        <v>236</v>
      </c>
      <c r="J80" t="s">
        <v>333</v>
      </c>
      <c r="K80">
        <v>3.4779195374240075E-2</v>
      </c>
      <c r="L80" t="s">
        <v>238</v>
      </c>
      <c r="N80" t="s">
        <v>346</v>
      </c>
      <c r="O80" t="s">
        <v>333</v>
      </c>
      <c r="P80">
        <v>9.9639753698389927E-3</v>
      </c>
      <c r="Q80" t="s">
        <v>238</v>
      </c>
      <c r="S80" t="s">
        <v>347</v>
      </c>
      <c r="T80" t="s">
        <v>333</v>
      </c>
      <c r="U80">
        <v>1.055906230962274E-2</v>
      </c>
      <c r="V80" t="s">
        <v>238</v>
      </c>
      <c r="X80">
        <v>1.3127853881278538E-2</v>
      </c>
      <c r="Y80">
        <v>2.5540942578458431E-2</v>
      </c>
      <c r="Z80" t="s">
        <v>333</v>
      </c>
      <c r="AA80" t="s">
        <v>25</v>
      </c>
      <c r="AC80" t="s">
        <v>22</v>
      </c>
      <c r="AD80" t="s">
        <v>333</v>
      </c>
      <c r="AE80">
        <v>1.3097885327093562E-2</v>
      </c>
      <c r="AG80" t="s">
        <v>97</v>
      </c>
      <c r="AH80" t="s">
        <v>333</v>
      </c>
      <c r="AI80">
        <v>7.9001327668192012E-2</v>
      </c>
    </row>
    <row r="81" spans="5:35" x14ac:dyDescent="0.45">
      <c r="E81" t="s">
        <v>767</v>
      </c>
      <c r="G81" t="s">
        <v>156</v>
      </c>
      <c r="I81" t="s">
        <v>236</v>
      </c>
      <c r="J81" t="s">
        <v>334</v>
      </c>
      <c r="K81">
        <v>2.7909811821564125E-2</v>
      </c>
      <c r="L81" t="s">
        <v>238</v>
      </c>
      <c r="N81" t="s">
        <v>346</v>
      </c>
      <c r="O81" t="s">
        <v>334</v>
      </c>
      <c r="P81">
        <v>9.7289188600785999E-3</v>
      </c>
      <c r="Q81" t="s">
        <v>238</v>
      </c>
      <c r="S81" t="s">
        <v>347</v>
      </c>
      <c r="T81" t="s">
        <v>334</v>
      </c>
      <c r="U81">
        <v>1.0532235559247857E-2</v>
      </c>
      <c r="V81" t="s">
        <v>238</v>
      </c>
      <c r="X81">
        <v>1.3127853881278538E-2</v>
      </c>
      <c r="Y81">
        <v>2.5540942578458431E-2</v>
      </c>
      <c r="Z81" t="s">
        <v>334</v>
      </c>
      <c r="AA81" t="s">
        <v>25</v>
      </c>
      <c r="AC81" t="s">
        <v>22</v>
      </c>
      <c r="AD81" t="s">
        <v>334</v>
      </c>
      <c r="AE81">
        <v>1.3075574289735215E-2</v>
      </c>
      <c r="AG81" t="s">
        <v>97</v>
      </c>
      <c r="AH81" t="s">
        <v>334</v>
      </c>
      <c r="AI81">
        <v>8.0028439903278015E-2</v>
      </c>
    </row>
    <row r="82" spans="5:35" x14ac:dyDescent="0.45">
      <c r="E82" t="s">
        <v>768</v>
      </c>
      <c r="G82" t="s">
        <v>156</v>
      </c>
      <c r="I82" t="s">
        <v>236</v>
      </c>
      <c r="J82" t="s">
        <v>335</v>
      </c>
      <c r="K82">
        <v>3.0732725057425855E-2</v>
      </c>
      <c r="L82" t="s">
        <v>238</v>
      </c>
      <c r="N82" t="s">
        <v>346</v>
      </c>
      <c r="O82" t="s">
        <v>335</v>
      </c>
      <c r="P82">
        <v>6.15936867253555E-2</v>
      </c>
      <c r="Q82" t="s">
        <v>238</v>
      </c>
      <c r="S82" t="s">
        <v>347</v>
      </c>
      <c r="T82" t="s">
        <v>335</v>
      </c>
      <c r="U82">
        <v>6.2402844100550359E-2</v>
      </c>
      <c r="V82" t="s">
        <v>238</v>
      </c>
      <c r="X82">
        <v>7.8767123287671229E-2</v>
      </c>
      <c r="Y82">
        <v>6.9379873869842304E-2</v>
      </c>
      <c r="Z82" t="s">
        <v>335</v>
      </c>
      <c r="AA82" t="s">
        <v>25</v>
      </c>
      <c r="AC82" t="s">
        <v>22</v>
      </c>
      <c r="AD82" t="s">
        <v>335</v>
      </c>
      <c r="AE82">
        <v>6.748254630734829E-2</v>
      </c>
      <c r="AG82" t="s">
        <v>97</v>
      </c>
      <c r="AH82" t="s">
        <v>335</v>
      </c>
      <c r="AI82">
        <v>0.1640008507408135</v>
      </c>
    </row>
    <row r="83" spans="5:35" x14ac:dyDescent="0.45">
      <c r="E83" t="s">
        <v>769</v>
      </c>
      <c r="G83" t="s">
        <v>156</v>
      </c>
      <c r="I83" t="s">
        <v>236</v>
      </c>
      <c r="J83" t="s">
        <v>1467</v>
      </c>
      <c r="K83">
        <v>0</v>
      </c>
      <c r="L83" t="s">
        <v>238</v>
      </c>
      <c r="N83" t="s">
        <v>346</v>
      </c>
      <c r="O83" t="s">
        <v>1467</v>
      </c>
      <c r="P83">
        <v>4.3102656649503152E-5</v>
      </c>
      <c r="Q83" t="s">
        <v>238</v>
      </c>
      <c r="S83" t="s">
        <v>347</v>
      </c>
      <c r="T83" t="s">
        <v>1467</v>
      </c>
      <c r="U83">
        <v>1.9570596368761561E-5</v>
      </c>
      <c r="V83" t="s">
        <v>238</v>
      </c>
      <c r="X83">
        <v>1.1415525114155251E-4</v>
      </c>
      <c r="Y83">
        <v>2.1546544680075254E-5</v>
      </c>
      <c r="Z83" t="s">
        <v>1467</v>
      </c>
      <c r="AA83" t="s">
        <v>25</v>
      </c>
      <c r="AC83" t="s">
        <v>22</v>
      </c>
      <c r="AD83" t="s">
        <v>1467</v>
      </c>
      <c r="AE83">
        <v>6.7112234346146767E-5</v>
      </c>
      <c r="AG83" t="s">
        <v>97</v>
      </c>
      <c r="AH83" t="s">
        <v>1467</v>
      </c>
      <c r="AI83">
        <v>0</v>
      </c>
    </row>
    <row r="84" spans="5:35" x14ac:dyDescent="0.45">
      <c r="E84" t="s">
        <v>770</v>
      </c>
      <c r="G84" t="s">
        <v>156</v>
      </c>
      <c r="I84" t="s">
        <v>236</v>
      </c>
      <c r="J84" t="s">
        <v>1468</v>
      </c>
      <c r="K84">
        <v>0</v>
      </c>
      <c r="L84" t="s">
        <v>238</v>
      </c>
      <c r="N84" t="s">
        <v>346</v>
      </c>
      <c r="O84" t="s">
        <v>1468</v>
      </c>
      <c r="P84">
        <v>4.1025410362468006E-5</v>
      </c>
      <c r="Q84" t="s">
        <v>238</v>
      </c>
      <c r="S84" t="s">
        <v>347</v>
      </c>
      <c r="T84" t="s">
        <v>1468</v>
      </c>
      <c r="U84">
        <v>1.5716782170554562E-5</v>
      </c>
      <c r="V84" t="s">
        <v>238</v>
      </c>
      <c r="X84">
        <v>1.1415525114155251E-4</v>
      </c>
      <c r="Y84">
        <v>1.4916838624667481E-5</v>
      </c>
      <c r="Z84" t="s">
        <v>1468</v>
      </c>
      <c r="AA84" t="s">
        <v>25</v>
      </c>
      <c r="AC84" t="s">
        <v>22</v>
      </c>
      <c r="AD84" t="s">
        <v>1468</v>
      </c>
      <c r="AE84">
        <v>6.528642103714544E-5</v>
      </c>
      <c r="AG84" t="s">
        <v>97</v>
      </c>
      <c r="AH84" t="s">
        <v>1468</v>
      </c>
      <c r="AI84">
        <v>0</v>
      </c>
    </row>
    <row r="85" spans="5:35" x14ac:dyDescent="0.45">
      <c r="E85" t="s">
        <v>771</v>
      </c>
      <c r="G85" t="s">
        <v>156</v>
      </c>
      <c r="I85" t="s">
        <v>236</v>
      </c>
      <c r="J85" t="s">
        <v>1469</v>
      </c>
      <c r="K85">
        <v>0</v>
      </c>
      <c r="L85" t="s">
        <v>238</v>
      </c>
      <c r="N85" t="s">
        <v>346</v>
      </c>
      <c r="O85" t="s">
        <v>1469</v>
      </c>
      <c r="P85">
        <v>4.5814204821308601E-5</v>
      </c>
      <c r="Q85" t="s">
        <v>238</v>
      </c>
      <c r="S85" t="s">
        <v>347</v>
      </c>
      <c r="T85" t="s">
        <v>1469</v>
      </c>
      <c r="U85">
        <v>1.3690873151388571E-5</v>
      </c>
      <c r="V85" t="s">
        <v>238</v>
      </c>
      <c r="X85">
        <v>1.1415525114155251E-4</v>
      </c>
      <c r="Y85">
        <v>1.6574265138519424E-5</v>
      </c>
      <c r="Z85" t="s">
        <v>1469</v>
      </c>
      <c r="AA85" t="s">
        <v>25</v>
      </c>
      <c r="AC85" t="s">
        <v>22</v>
      </c>
      <c r="AD85" t="s">
        <v>1469</v>
      </c>
      <c r="AE85">
        <v>6.528642103714544E-5</v>
      </c>
      <c r="AG85" t="s">
        <v>97</v>
      </c>
      <c r="AH85" t="s">
        <v>1469</v>
      </c>
      <c r="AI85">
        <v>0</v>
      </c>
    </row>
    <row r="86" spans="5:35" x14ac:dyDescent="0.45">
      <c r="E86" t="s">
        <v>772</v>
      </c>
      <c r="G86" t="s">
        <v>156</v>
      </c>
      <c r="I86" t="s">
        <v>236</v>
      </c>
      <c r="J86" t="s">
        <v>1470</v>
      </c>
      <c r="K86">
        <v>0</v>
      </c>
      <c r="L86" t="s">
        <v>238</v>
      </c>
      <c r="N86" t="s">
        <v>346</v>
      </c>
      <c r="O86" t="s">
        <v>1470</v>
      </c>
      <c r="P86">
        <v>4.9136428905943238E-5</v>
      </c>
      <c r="Q86" t="s">
        <v>238</v>
      </c>
      <c r="S86" t="s">
        <v>347</v>
      </c>
      <c r="T86" t="s">
        <v>1470</v>
      </c>
      <c r="U86">
        <v>1.3515769662722204E-5</v>
      </c>
      <c r="V86" t="s">
        <v>238</v>
      </c>
      <c r="X86">
        <v>1.1415525114155251E-4</v>
      </c>
      <c r="Y86">
        <v>1.4585353321897093E-5</v>
      </c>
      <c r="Z86" t="s">
        <v>1470</v>
      </c>
      <c r="AA86" t="s">
        <v>25</v>
      </c>
      <c r="AC86" t="s">
        <v>22</v>
      </c>
      <c r="AD86" t="s">
        <v>1470</v>
      </c>
      <c r="AE86">
        <v>6.6043116034910526E-5</v>
      </c>
      <c r="AG86" t="s">
        <v>97</v>
      </c>
      <c r="AH86" t="s">
        <v>1470</v>
      </c>
      <c r="AI86">
        <v>0</v>
      </c>
    </row>
    <row r="87" spans="5:35" x14ac:dyDescent="0.45">
      <c r="E87" t="s">
        <v>773</v>
      </c>
      <c r="G87" t="s">
        <v>156</v>
      </c>
      <c r="I87" t="s">
        <v>236</v>
      </c>
      <c r="J87" t="s">
        <v>1471</v>
      </c>
      <c r="K87">
        <v>0</v>
      </c>
      <c r="L87" t="s">
        <v>238</v>
      </c>
      <c r="N87" t="s">
        <v>346</v>
      </c>
      <c r="O87" t="s">
        <v>1471</v>
      </c>
      <c r="P87">
        <v>4.7628702206713165E-5</v>
      </c>
      <c r="Q87" t="s">
        <v>238</v>
      </c>
      <c r="S87" t="s">
        <v>347</v>
      </c>
      <c r="T87" t="s">
        <v>1471</v>
      </c>
      <c r="U87">
        <v>1.0375313209625692E-5</v>
      </c>
      <c r="V87" t="s">
        <v>238</v>
      </c>
      <c r="X87">
        <v>1.1415525114155251E-4</v>
      </c>
      <c r="Y87">
        <v>2.1215059377304864E-5</v>
      </c>
      <c r="Z87" t="s">
        <v>1471</v>
      </c>
      <c r="AA87" t="s">
        <v>25</v>
      </c>
      <c r="AC87" t="s">
        <v>22</v>
      </c>
      <c r="AD87" t="s">
        <v>1471</v>
      </c>
      <c r="AE87">
        <v>7.543301305263171E-5</v>
      </c>
      <c r="AG87" t="s">
        <v>97</v>
      </c>
      <c r="AH87" t="s">
        <v>1471</v>
      </c>
      <c r="AI87">
        <v>0</v>
      </c>
    </row>
    <row r="88" spans="5:35" x14ac:dyDescent="0.45">
      <c r="E88" t="s">
        <v>774</v>
      </c>
      <c r="G88" t="s">
        <v>156</v>
      </c>
      <c r="I88" t="s">
        <v>236</v>
      </c>
      <c r="J88" t="s">
        <v>1472</v>
      </c>
      <c r="K88">
        <v>0</v>
      </c>
      <c r="L88" t="s">
        <v>238</v>
      </c>
      <c r="N88" t="s">
        <v>346</v>
      </c>
      <c r="O88" t="s">
        <v>1472</v>
      </c>
      <c r="P88">
        <v>4.9554351731138742E-5</v>
      </c>
      <c r="Q88" t="s">
        <v>238</v>
      </c>
      <c r="S88" t="s">
        <v>347</v>
      </c>
      <c r="T88" t="s">
        <v>1472</v>
      </c>
      <c r="U88">
        <v>9.0214536720372445E-6</v>
      </c>
      <c r="V88" t="s">
        <v>238</v>
      </c>
      <c r="X88">
        <v>1.1415525114155251E-4</v>
      </c>
      <c r="Y88">
        <v>5.7678442682047593E-5</v>
      </c>
      <c r="Z88" t="s">
        <v>1472</v>
      </c>
      <c r="AA88" t="s">
        <v>25</v>
      </c>
      <c r="AC88" t="s">
        <v>22</v>
      </c>
      <c r="AD88" t="s">
        <v>1472</v>
      </c>
      <c r="AE88">
        <v>9.5284791668241234E-5</v>
      </c>
      <c r="AG88" t="s">
        <v>97</v>
      </c>
      <c r="AH88" t="s">
        <v>1472</v>
      </c>
      <c r="AI88">
        <v>0</v>
      </c>
    </row>
    <row r="89" spans="5:35" x14ac:dyDescent="0.45">
      <c r="E89" t="s">
        <v>775</v>
      </c>
      <c r="G89" t="s">
        <v>156</v>
      </c>
      <c r="I89" t="s">
        <v>236</v>
      </c>
      <c r="J89" t="s">
        <v>1473</v>
      </c>
      <c r="K89">
        <v>3.5697739641525416E-5</v>
      </c>
      <c r="L89" t="s">
        <v>238</v>
      </c>
      <c r="N89" t="s">
        <v>346</v>
      </c>
      <c r="O89" t="s">
        <v>1473</v>
      </c>
      <c r="P89">
        <v>5.1373801460841362E-5</v>
      </c>
      <c r="Q89" t="s">
        <v>238</v>
      </c>
      <c r="S89" t="s">
        <v>347</v>
      </c>
      <c r="T89" t="s">
        <v>1473</v>
      </c>
      <c r="U89">
        <v>8.5075532581042657E-6</v>
      </c>
      <c r="V89" t="s">
        <v>238</v>
      </c>
      <c r="X89">
        <v>1.1415525114155251E-4</v>
      </c>
      <c r="Y89">
        <v>1.6905750441289813E-4</v>
      </c>
      <c r="Z89" t="s">
        <v>1473</v>
      </c>
      <c r="AA89" t="s">
        <v>25</v>
      </c>
      <c r="AC89" t="s">
        <v>22</v>
      </c>
      <c r="AD89" t="s">
        <v>1473</v>
      </c>
      <c r="AE89">
        <v>1.1120691557954806E-4</v>
      </c>
      <c r="AG89" t="s">
        <v>97</v>
      </c>
      <c r="AH89" t="s">
        <v>1473</v>
      </c>
      <c r="AI89">
        <v>0</v>
      </c>
    </row>
    <row r="90" spans="5:35" x14ac:dyDescent="0.45">
      <c r="E90" t="s">
        <v>776</v>
      </c>
      <c r="G90" t="s">
        <v>156</v>
      </c>
      <c r="I90" t="s">
        <v>236</v>
      </c>
      <c r="J90" t="s">
        <v>1474</v>
      </c>
      <c r="K90">
        <v>7.5352824930491612E-5</v>
      </c>
      <c r="L90" t="s">
        <v>238</v>
      </c>
      <c r="N90" t="s">
        <v>346</v>
      </c>
      <c r="O90" t="s">
        <v>1474</v>
      </c>
      <c r="P90">
        <v>5.3538858284826255E-5</v>
      </c>
      <c r="Q90" t="s">
        <v>238</v>
      </c>
      <c r="S90" t="s">
        <v>347</v>
      </c>
      <c r="T90" t="s">
        <v>1474</v>
      </c>
      <c r="U90">
        <v>1.0434635921837287E-5</v>
      </c>
      <c r="V90" t="s">
        <v>238</v>
      </c>
      <c r="X90">
        <v>1.1415525114155251E-4</v>
      </c>
      <c r="Y90">
        <v>1.9060404909297337E-4</v>
      </c>
      <c r="Z90" t="s">
        <v>1474</v>
      </c>
      <c r="AA90" t="s">
        <v>25</v>
      </c>
      <c r="AC90" t="s">
        <v>22</v>
      </c>
      <c r="AD90" t="s">
        <v>1474</v>
      </c>
      <c r="AE90">
        <v>1.2328537285448001E-4</v>
      </c>
      <c r="AG90" t="s">
        <v>97</v>
      </c>
      <c r="AH90" t="s">
        <v>1474</v>
      </c>
      <c r="AI90">
        <v>0</v>
      </c>
    </row>
    <row r="91" spans="5:35" x14ac:dyDescent="0.45">
      <c r="E91" t="s">
        <v>777</v>
      </c>
      <c r="G91" t="s">
        <v>156</v>
      </c>
      <c r="I91" t="s">
        <v>236</v>
      </c>
      <c r="J91" t="s">
        <v>1475</v>
      </c>
      <c r="K91">
        <v>1.2406936713549999E-4</v>
      </c>
      <c r="L91" t="s">
        <v>238</v>
      </c>
      <c r="N91" t="s">
        <v>346</v>
      </c>
      <c r="O91" t="s">
        <v>1475</v>
      </c>
      <c r="P91">
        <v>5.5947938266681043E-5</v>
      </c>
      <c r="Q91" t="s">
        <v>238</v>
      </c>
      <c r="S91" t="s">
        <v>347</v>
      </c>
      <c r="T91" t="s">
        <v>1475</v>
      </c>
      <c r="U91">
        <v>1.236748995495396E-5</v>
      </c>
      <c r="V91" t="s">
        <v>238</v>
      </c>
      <c r="X91">
        <v>1.1415525114155251E-4</v>
      </c>
      <c r="Y91">
        <v>1.4585353321897094E-4</v>
      </c>
      <c r="Z91" t="s">
        <v>1475</v>
      </c>
      <c r="AA91" t="s">
        <v>25</v>
      </c>
      <c r="AC91" t="s">
        <v>22</v>
      </c>
      <c r="AD91" t="s">
        <v>1475</v>
      </c>
      <c r="AE91">
        <v>1.2677362214341976E-4</v>
      </c>
      <c r="AG91" t="s">
        <v>97</v>
      </c>
      <c r="AH91" t="s">
        <v>1475</v>
      </c>
      <c r="AI91">
        <v>0</v>
      </c>
    </row>
    <row r="92" spans="5:35" x14ac:dyDescent="0.45">
      <c r="E92" t="s">
        <v>778</v>
      </c>
      <c r="G92" t="s">
        <v>156</v>
      </c>
      <c r="I92" t="s">
        <v>236</v>
      </c>
      <c r="J92" t="s">
        <v>1476</v>
      </c>
      <c r="K92">
        <v>1.8847784338979999E-4</v>
      </c>
      <c r="L92" t="s">
        <v>238</v>
      </c>
      <c r="N92" t="s">
        <v>346</v>
      </c>
      <c r="O92" t="s">
        <v>1476</v>
      </c>
      <c r="P92">
        <v>5.8339882078729088E-5</v>
      </c>
      <c r="Q92" t="s">
        <v>238</v>
      </c>
      <c r="S92" t="s">
        <v>347</v>
      </c>
      <c r="T92" t="s">
        <v>1476</v>
      </c>
      <c r="U92">
        <v>1.3454948557631864E-5</v>
      </c>
      <c r="V92" t="s">
        <v>238</v>
      </c>
      <c r="X92">
        <v>1.1415525114155251E-4</v>
      </c>
      <c r="Y92">
        <v>1.4452759200788939E-4</v>
      </c>
      <c r="Z92" t="s">
        <v>1476</v>
      </c>
      <c r="AA92" t="s">
        <v>25</v>
      </c>
      <c r="AC92" t="s">
        <v>22</v>
      </c>
      <c r="AD92" t="s">
        <v>1476</v>
      </c>
      <c r="AE92">
        <v>1.2728381801312499E-4</v>
      </c>
      <c r="AG92" t="s">
        <v>97</v>
      </c>
      <c r="AH92" t="s">
        <v>1476</v>
      </c>
      <c r="AI92">
        <v>0</v>
      </c>
    </row>
    <row r="93" spans="5:35" x14ac:dyDescent="0.45">
      <c r="E93" t="s">
        <v>779</v>
      </c>
      <c r="G93" t="s">
        <v>156</v>
      </c>
      <c r="I93" t="s">
        <v>236</v>
      </c>
      <c r="J93" t="s">
        <v>1477</v>
      </c>
      <c r="K93">
        <v>2.0792058800339999E-4</v>
      </c>
      <c r="L93" t="s">
        <v>238</v>
      </c>
      <c r="N93" t="s">
        <v>346</v>
      </c>
      <c r="O93" t="s">
        <v>1477</v>
      </c>
      <c r="P93">
        <v>7.0655337164217844E-5</v>
      </c>
      <c r="Q93" t="s">
        <v>238</v>
      </c>
      <c r="S93" t="s">
        <v>347</v>
      </c>
      <c r="T93" t="s">
        <v>1477</v>
      </c>
      <c r="U93">
        <v>1.571632817059885E-5</v>
      </c>
      <c r="V93" t="s">
        <v>238</v>
      </c>
      <c r="X93">
        <v>1.1415525114155251E-4</v>
      </c>
      <c r="Y93">
        <v>1.408812536774151E-4</v>
      </c>
      <c r="Z93" t="s">
        <v>1477</v>
      </c>
      <c r="AA93" t="s">
        <v>25</v>
      </c>
      <c r="AC93" t="s">
        <v>22</v>
      </c>
      <c r="AD93" t="s">
        <v>1477</v>
      </c>
      <c r="AE93">
        <v>1.2618603701257944E-4</v>
      </c>
      <c r="AG93" t="s">
        <v>97</v>
      </c>
      <c r="AH93" t="s">
        <v>1477</v>
      </c>
      <c r="AI93">
        <v>0</v>
      </c>
    </row>
    <row r="94" spans="5:35" x14ac:dyDescent="0.45">
      <c r="E94" t="s">
        <v>780</v>
      </c>
      <c r="G94" t="s">
        <v>156</v>
      </c>
      <c r="I94" t="s">
        <v>236</v>
      </c>
      <c r="J94" t="s">
        <v>1478</v>
      </c>
      <c r="K94">
        <v>2.4949413479180002E-4</v>
      </c>
      <c r="L94" t="s">
        <v>238</v>
      </c>
      <c r="N94" t="s">
        <v>346</v>
      </c>
      <c r="O94" t="s">
        <v>1478</v>
      </c>
      <c r="P94">
        <v>6.0083942291740872E-5</v>
      </c>
      <c r="Q94" t="s">
        <v>238</v>
      </c>
      <c r="S94" t="s">
        <v>347</v>
      </c>
      <c r="T94" t="s">
        <v>1478</v>
      </c>
      <c r="U94">
        <v>1.7565608201033568E-5</v>
      </c>
      <c r="V94" t="s">
        <v>238</v>
      </c>
      <c r="X94">
        <v>1.1415525114155251E-4</v>
      </c>
      <c r="Y94">
        <v>1.4054976837464471E-4</v>
      </c>
      <c r="Z94" t="s">
        <v>1478</v>
      </c>
      <c r="AA94" t="s">
        <v>25</v>
      </c>
      <c r="AC94" t="s">
        <v>22</v>
      </c>
      <c r="AD94" t="s">
        <v>1478</v>
      </c>
      <c r="AE94">
        <v>1.2621469970188875E-4</v>
      </c>
      <c r="AG94" t="s">
        <v>97</v>
      </c>
      <c r="AH94" t="s">
        <v>1478</v>
      </c>
      <c r="AI94">
        <v>0</v>
      </c>
    </row>
    <row r="95" spans="5:35" x14ac:dyDescent="0.45">
      <c r="E95" t="s">
        <v>781</v>
      </c>
      <c r="G95" t="s">
        <v>156</v>
      </c>
      <c r="I95" t="s">
        <v>236</v>
      </c>
      <c r="J95" t="s">
        <v>1479</v>
      </c>
      <c r="K95">
        <v>2.6137919975779999E-4</v>
      </c>
      <c r="L95" t="s">
        <v>238</v>
      </c>
      <c r="N95" t="s">
        <v>346</v>
      </c>
      <c r="O95" t="s">
        <v>1479</v>
      </c>
      <c r="P95">
        <v>6.1450969855980997E-5</v>
      </c>
      <c r="Q95" t="s">
        <v>238</v>
      </c>
      <c r="S95" t="s">
        <v>347</v>
      </c>
      <c r="T95" t="s">
        <v>1479</v>
      </c>
      <c r="U95">
        <v>1.7620449240005443E-5</v>
      </c>
      <c r="V95" t="s">
        <v>238</v>
      </c>
      <c r="X95">
        <v>1.1415525114155251E-4</v>
      </c>
      <c r="Y95">
        <v>1.4253868019126702E-4</v>
      </c>
      <c r="Z95" t="s">
        <v>1479</v>
      </c>
      <c r="AA95" t="s">
        <v>25</v>
      </c>
      <c r="AC95" t="s">
        <v>22</v>
      </c>
      <c r="AD95" t="s">
        <v>1479</v>
      </c>
      <c r="AE95">
        <v>1.2569303875645978E-4</v>
      </c>
      <c r="AG95" t="s">
        <v>97</v>
      </c>
      <c r="AH95" t="s">
        <v>1479</v>
      </c>
      <c r="AI95">
        <v>0</v>
      </c>
    </row>
    <row r="96" spans="5:35" x14ac:dyDescent="0.45">
      <c r="E96" t="s">
        <v>782</v>
      </c>
      <c r="G96" t="s">
        <v>156</v>
      </c>
      <c r="I96" t="s">
        <v>236</v>
      </c>
      <c r="J96" t="s">
        <v>1480</v>
      </c>
      <c r="K96">
        <v>2.7003272725119998E-4</v>
      </c>
      <c r="L96" t="s">
        <v>238</v>
      </c>
      <c r="N96" t="s">
        <v>346</v>
      </c>
      <c r="O96" t="s">
        <v>1480</v>
      </c>
      <c r="P96">
        <v>5.9506007911280737E-5</v>
      </c>
      <c r="Q96" t="s">
        <v>238</v>
      </c>
      <c r="S96" t="s">
        <v>347</v>
      </c>
      <c r="T96" t="s">
        <v>1480</v>
      </c>
      <c r="U96">
        <v>1.9304785970906624E-5</v>
      </c>
      <c r="V96" t="s">
        <v>238</v>
      </c>
      <c r="X96">
        <v>1.1415525114155251E-4</v>
      </c>
      <c r="Y96">
        <v>1.4883690094390442E-4</v>
      </c>
      <c r="Z96" t="s">
        <v>1480</v>
      </c>
      <c r="AA96" t="s">
        <v>25</v>
      </c>
      <c r="AC96" t="s">
        <v>22</v>
      </c>
      <c r="AD96" t="s">
        <v>1480</v>
      </c>
      <c r="AE96">
        <v>1.2431436340068326E-4</v>
      </c>
      <c r="AG96" t="s">
        <v>97</v>
      </c>
      <c r="AH96" t="s">
        <v>1480</v>
      </c>
      <c r="AI96">
        <v>0</v>
      </c>
    </row>
    <row r="97" spans="5:35" x14ac:dyDescent="0.45">
      <c r="E97" t="s">
        <v>783</v>
      </c>
      <c r="G97" t="s">
        <v>156</v>
      </c>
      <c r="I97" t="s">
        <v>236</v>
      </c>
      <c r="J97" t="s">
        <v>1481</v>
      </c>
      <c r="K97">
        <v>2.8746683475899999E-4</v>
      </c>
      <c r="L97" t="s">
        <v>238</v>
      </c>
      <c r="N97" t="s">
        <v>346</v>
      </c>
      <c r="O97" t="s">
        <v>1481</v>
      </c>
      <c r="P97">
        <v>6.2431228859020696E-5</v>
      </c>
      <c r="Q97" t="s">
        <v>238</v>
      </c>
      <c r="S97" t="s">
        <v>347</v>
      </c>
      <c r="T97" t="s">
        <v>1481</v>
      </c>
      <c r="U97">
        <v>2.0293155212285401E-5</v>
      </c>
      <c r="V97" t="s">
        <v>238</v>
      </c>
      <c r="X97">
        <v>1.1415525114155251E-4</v>
      </c>
      <c r="Y97">
        <v>1.5049432745775637E-4</v>
      </c>
      <c r="Z97" t="s">
        <v>1481</v>
      </c>
      <c r="AA97" t="s">
        <v>25</v>
      </c>
      <c r="AC97" t="s">
        <v>22</v>
      </c>
      <c r="AD97" t="s">
        <v>1481</v>
      </c>
      <c r="AE97">
        <v>1.2311053044969337E-4</v>
      </c>
      <c r="AG97" t="s">
        <v>97</v>
      </c>
      <c r="AH97" t="s">
        <v>1481</v>
      </c>
      <c r="AI97">
        <v>0</v>
      </c>
    </row>
    <row r="98" spans="5:35" x14ac:dyDescent="0.45">
      <c r="E98" t="s">
        <v>784</v>
      </c>
      <c r="G98" t="s">
        <v>156</v>
      </c>
      <c r="I98" t="s">
        <v>236</v>
      </c>
      <c r="J98" t="s">
        <v>1482</v>
      </c>
      <c r="K98">
        <v>2.6491664551950002E-4</v>
      </c>
      <c r="L98" t="s">
        <v>238</v>
      </c>
      <c r="N98" t="s">
        <v>346</v>
      </c>
      <c r="O98" t="s">
        <v>1482</v>
      </c>
      <c r="P98">
        <v>6.5019109874134065E-5</v>
      </c>
      <c r="Q98" t="s">
        <v>238</v>
      </c>
      <c r="S98" t="s">
        <v>347</v>
      </c>
      <c r="T98" t="s">
        <v>1482</v>
      </c>
      <c r="U98">
        <v>2.3961043076727569E-5</v>
      </c>
      <c r="V98" t="s">
        <v>238</v>
      </c>
      <c r="X98">
        <v>1.1415525114155251E-4</v>
      </c>
      <c r="Y98">
        <v>1.7237235744060203E-4</v>
      </c>
      <c r="Z98" t="s">
        <v>1482</v>
      </c>
      <c r="AA98" t="s">
        <v>25</v>
      </c>
      <c r="AC98" t="s">
        <v>22</v>
      </c>
      <c r="AD98" t="s">
        <v>1482</v>
      </c>
      <c r="AE98">
        <v>1.2483889061504317E-4</v>
      </c>
      <c r="AG98" t="s">
        <v>97</v>
      </c>
      <c r="AH98" t="s">
        <v>1482</v>
      </c>
      <c r="AI98">
        <v>0</v>
      </c>
    </row>
    <row r="99" spans="5:35" x14ac:dyDescent="0.45">
      <c r="E99" t="s">
        <v>785</v>
      </c>
      <c r="G99" t="s">
        <v>156</v>
      </c>
      <c r="I99" t="s">
        <v>236</v>
      </c>
      <c r="J99" t="s">
        <v>1483</v>
      </c>
      <c r="K99">
        <v>2.2288380151239999E-4</v>
      </c>
      <c r="L99" t="s">
        <v>238</v>
      </c>
      <c r="N99" t="s">
        <v>346</v>
      </c>
      <c r="O99" t="s">
        <v>1483</v>
      </c>
      <c r="P99">
        <v>6.43993984354305E-5</v>
      </c>
      <c r="Q99" t="s">
        <v>238</v>
      </c>
      <c r="S99" t="s">
        <v>347</v>
      </c>
      <c r="T99" t="s">
        <v>1483</v>
      </c>
      <c r="U99">
        <v>3.2361909546144114E-5</v>
      </c>
      <c r="V99" t="s">
        <v>238</v>
      </c>
      <c r="X99">
        <v>1.1415525114155251E-4</v>
      </c>
      <c r="Y99">
        <v>2.2209515285616027E-4</v>
      </c>
      <c r="Z99" t="s">
        <v>1483</v>
      </c>
      <c r="AA99" t="s">
        <v>25</v>
      </c>
      <c r="AC99" t="s">
        <v>22</v>
      </c>
      <c r="AD99" t="s">
        <v>1483</v>
      </c>
      <c r="AE99">
        <v>1.2437168877930184E-4</v>
      </c>
      <c r="AG99" t="s">
        <v>97</v>
      </c>
      <c r="AH99" t="s">
        <v>1483</v>
      </c>
      <c r="AI99">
        <v>0</v>
      </c>
    </row>
    <row r="100" spans="5:35" x14ac:dyDescent="0.45">
      <c r="E100" t="s">
        <v>786</v>
      </c>
      <c r="G100" t="s">
        <v>156</v>
      </c>
      <c r="I100" t="s">
        <v>236</v>
      </c>
      <c r="J100" t="s">
        <v>1484</v>
      </c>
      <c r="K100">
        <v>1.7019529731180001E-4</v>
      </c>
      <c r="L100" t="s">
        <v>238</v>
      </c>
      <c r="N100" t="s">
        <v>346</v>
      </c>
      <c r="O100" t="s">
        <v>1484</v>
      </c>
      <c r="P100">
        <v>6.1559759595077482E-5</v>
      </c>
      <c r="Q100" t="s">
        <v>238</v>
      </c>
      <c r="S100" t="s">
        <v>347</v>
      </c>
      <c r="T100" t="s">
        <v>1484</v>
      </c>
      <c r="U100">
        <v>3.8431999324752687E-5</v>
      </c>
      <c r="V100" t="s">
        <v>238</v>
      </c>
      <c r="X100">
        <v>1.1415525114155251E-4</v>
      </c>
      <c r="Y100">
        <v>2.2209515285616027E-4</v>
      </c>
      <c r="Z100" t="s">
        <v>1484</v>
      </c>
      <c r="AA100" t="s">
        <v>25</v>
      </c>
      <c r="AC100" t="s">
        <v>22</v>
      </c>
      <c r="AD100" t="s">
        <v>1484</v>
      </c>
      <c r="AE100">
        <v>1.2453793237729568E-4</v>
      </c>
      <c r="AG100" t="s">
        <v>97</v>
      </c>
      <c r="AH100" t="s">
        <v>1484</v>
      </c>
      <c r="AI100">
        <v>0</v>
      </c>
    </row>
    <row r="101" spans="5:35" x14ac:dyDescent="0.45">
      <c r="E101" t="s">
        <v>787</v>
      </c>
      <c r="G101" t="s">
        <v>156</v>
      </c>
      <c r="I101" t="s">
        <v>236</v>
      </c>
      <c r="J101" t="s">
        <v>1485</v>
      </c>
      <c r="K101">
        <v>8.87117077473845E-5</v>
      </c>
      <c r="L101" t="s">
        <v>238</v>
      </c>
      <c r="N101" t="s">
        <v>346</v>
      </c>
      <c r="O101" t="s">
        <v>1485</v>
      </c>
      <c r="P101">
        <v>6.3677348253438098E-5</v>
      </c>
      <c r="Q101" t="s">
        <v>238</v>
      </c>
      <c r="S101" t="s">
        <v>347</v>
      </c>
      <c r="T101" t="s">
        <v>1485</v>
      </c>
      <c r="U101">
        <v>4.9716198310041778E-5</v>
      </c>
      <c r="V101" t="s">
        <v>238</v>
      </c>
      <c r="X101">
        <v>1.1415525114155251E-4</v>
      </c>
      <c r="Y101">
        <v>1.7237235744060203E-4</v>
      </c>
      <c r="Z101" t="s">
        <v>1485</v>
      </c>
      <c r="AA101" t="s">
        <v>25</v>
      </c>
      <c r="AC101" t="s">
        <v>22</v>
      </c>
      <c r="AD101" t="s">
        <v>1485</v>
      </c>
      <c r="AE101">
        <v>1.2420831145023889E-4</v>
      </c>
      <c r="AG101" t="s">
        <v>97</v>
      </c>
      <c r="AH101" t="s">
        <v>1485</v>
      </c>
      <c r="AI101">
        <v>0</v>
      </c>
    </row>
    <row r="102" spans="5:35" x14ac:dyDescent="0.45">
      <c r="E102" t="s">
        <v>788</v>
      </c>
      <c r="G102" t="s">
        <v>156</v>
      </c>
      <c r="I102" t="s">
        <v>236</v>
      </c>
      <c r="J102" t="s">
        <v>1486</v>
      </c>
      <c r="K102">
        <v>0</v>
      </c>
      <c r="L102" t="s">
        <v>238</v>
      </c>
      <c r="N102" t="s">
        <v>346</v>
      </c>
      <c r="O102" t="s">
        <v>1486</v>
      </c>
      <c r="P102">
        <v>5.7946424602042359E-5</v>
      </c>
      <c r="Q102" t="s">
        <v>238</v>
      </c>
      <c r="S102" t="s">
        <v>347</v>
      </c>
      <c r="T102" t="s">
        <v>1486</v>
      </c>
      <c r="U102">
        <v>6.2067730911856756E-5</v>
      </c>
      <c r="V102" t="s">
        <v>238</v>
      </c>
      <c r="X102">
        <v>1.1415525114155251E-4</v>
      </c>
      <c r="Y102">
        <v>1.5579809230208258E-4</v>
      </c>
      <c r="Z102" t="s">
        <v>1486</v>
      </c>
      <c r="AA102" t="s">
        <v>25</v>
      </c>
      <c r="AC102" t="s">
        <v>22</v>
      </c>
      <c r="AD102" t="s">
        <v>1486</v>
      </c>
      <c r="AE102">
        <v>1.2103248547477035E-4</v>
      </c>
      <c r="AG102" t="s">
        <v>97</v>
      </c>
      <c r="AH102" t="s">
        <v>1486</v>
      </c>
      <c r="AI102">
        <v>0</v>
      </c>
    </row>
    <row r="103" spans="5:35" x14ac:dyDescent="0.45">
      <c r="E103" t="s">
        <v>789</v>
      </c>
      <c r="G103" t="s">
        <v>156</v>
      </c>
      <c r="I103" t="s">
        <v>236</v>
      </c>
      <c r="J103" t="s">
        <v>1487</v>
      </c>
      <c r="K103">
        <v>0</v>
      </c>
      <c r="L103" t="s">
        <v>238</v>
      </c>
      <c r="N103" t="s">
        <v>346</v>
      </c>
      <c r="O103" t="s">
        <v>1487</v>
      </c>
      <c r="P103">
        <v>4.6746731575998663E-5</v>
      </c>
      <c r="Q103" t="s">
        <v>238</v>
      </c>
      <c r="S103" t="s">
        <v>347</v>
      </c>
      <c r="T103" t="s">
        <v>1487</v>
      </c>
      <c r="U103">
        <v>7.6617089557849609E-5</v>
      </c>
      <c r="V103" t="s">
        <v>238</v>
      </c>
      <c r="X103">
        <v>1.1415525114155251E-4</v>
      </c>
      <c r="Y103">
        <v>1.093901499142282E-4</v>
      </c>
      <c r="Z103" t="s">
        <v>1487</v>
      </c>
      <c r="AA103" t="s">
        <v>25</v>
      </c>
      <c r="AC103" t="s">
        <v>22</v>
      </c>
      <c r="AD103" t="s">
        <v>1487</v>
      </c>
      <c r="AE103">
        <v>1.0874765683681157E-4</v>
      </c>
      <c r="AG103" t="s">
        <v>97</v>
      </c>
      <c r="AH103" t="s">
        <v>1487</v>
      </c>
      <c r="AI103">
        <v>0</v>
      </c>
    </row>
    <row r="104" spans="5:35" x14ac:dyDescent="0.45">
      <c r="E104" t="s">
        <v>790</v>
      </c>
      <c r="G104" t="s">
        <v>156</v>
      </c>
      <c r="I104" t="s">
        <v>236</v>
      </c>
      <c r="J104" t="s">
        <v>1488</v>
      </c>
      <c r="K104">
        <v>0</v>
      </c>
      <c r="L104" t="s">
        <v>238</v>
      </c>
      <c r="N104" t="s">
        <v>346</v>
      </c>
      <c r="O104" t="s">
        <v>1488</v>
      </c>
      <c r="P104">
        <v>3.8585989511379584E-5</v>
      </c>
      <c r="Q104" t="s">
        <v>238</v>
      </c>
      <c r="S104" t="s">
        <v>347</v>
      </c>
      <c r="T104" t="s">
        <v>1488</v>
      </c>
      <c r="U104">
        <v>9.1416149517889816E-5</v>
      </c>
      <c r="V104" t="s">
        <v>238</v>
      </c>
      <c r="X104">
        <v>1.1415525114155251E-4</v>
      </c>
      <c r="Y104">
        <v>7.9556472664893237E-5</v>
      </c>
      <c r="Z104" t="s">
        <v>1488</v>
      </c>
      <c r="AA104" t="s">
        <v>25</v>
      </c>
      <c r="AC104" t="s">
        <v>22</v>
      </c>
      <c r="AD104" t="s">
        <v>1488</v>
      </c>
      <c r="AE104">
        <v>9.9374957432675948E-5</v>
      </c>
      <c r="AG104" t="s">
        <v>97</v>
      </c>
      <c r="AH104" t="s">
        <v>1488</v>
      </c>
      <c r="AI104">
        <v>0</v>
      </c>
    </row>
    <row r="105" spans="5:35" x14ac:dyDescent="0.45">
      <c r="E105" t="s">
        <v>791</v>
      </c>
      <c r="G105" t="s">
        <v>156</v>
      </c>
      <c r="I105" t="s">
        <v>236</v>
      </c>
      <c r="J105" t="s">
        <v>1489</v>
      </c>
      <c r="K105">
        <v>0</v>
      </c>
      <c r="L105" t="s">
        <v>238</v>
      </c>
      <c r="N105" t="s">
        <v>346</v>
      </c>
      <c r="O105" t="s">
        <v>1489</v>
      </c>
      <c r="P105">
        <v>3.0719987479313666E-5</v>
      </c>
      <c r="Q105" t="s">
        <v>238</v>
      </c>
      <c r="S105" t="s">
        <v>347</v>
      </c>
      <c r="T105" t="s">
        <v>1489</v>
      </c>
      <c r="U105">
        <v>6.9343100227771114E-5</v>
      </c>
      <c r="V105" t="s">
        <v>238</v>
      </c>
      <c r="X105">
        <v>1.1415525114155251E-4</v>
      </c>
      <c r="Y105">
        <v>5.6352501470966035E-5</v>
      </c>
      <c r="Z105" t="s">
        <v>1489</v>
      </c>
      <c r="AA105" t="s">
        <v>25</v>
      </c>
      <c r="AC105" t="s">
        <v>22</v>
      </c>
      <c r="AD105" t="s">
        <v>1489</v>
      </c>
      <c r="AE105">
        <v>8.6906687583137749E-5</v>
      </c>
      <c r="AG105" t="s">
        <v>97</v>
      </c>
      <c r="AH105" t="s">
        <v>1489</v>
      </c>
      <c r="AI105">
        <v>0</v>
      </c>
    </row>
    <row r="106" spans="5:35" x14ac:dyDescent="0.45">
      <c r="E106" t="s">
        <v>792</v>
      </c>
      <c r="G106" t="s">
        <v>156</v>
      </c>
      <c r="I106" t="s">
        <v>236</v>
      </c>
      <c r="J106" t="s">
        <v>1490</v>
      </c>
      <c r="K106">
        <v>0</v>
      </c>
      <c r="L106" t="s">
        <v>238</v>
      </c>
      <c r="N106" t="s">
        <v>346</v>
      </c>
      <c r="O106" t="s">
        <v>1490</v>
      </c>
      <c r="P106">
        <v>3.5572937671374171E-5</v>
      </c>
      <c r="Q106" t="s">
        <v>238</v>
      </c>
      <c r="S106" t="s">
        <v>347</v>
      </c>
      <c r="T106" t="s">
        <v>1490</v>
      </c>
      <c r="U106">
        <v>8.9777963577050972E-5</v>
      </c>
      <c r="V106" t="s">
        <v>238</v>
      </c>
      <c r="X106">
        <v>1.1415525114155251E-4</v>
      </c>
      <c r="Y106">
        <v>2.9833677249334962E-5</v>
      </c>
      <c r="Z106" t="s">
        <v>1490</v>
      </c>
      <c r="AA106" t="s">
        <v>25</v>
      </c>
      <c r="AC106" t="s">
        <v>22</v>
      </c>
      <c r="AD106" t="s">
        <v>1490</v>
      </c>
      <c r="AE106">
        <v>7.4624725214109911E-5</v>
      </c>
      <c r="AG106" t="s">
        <v>97</v>
      </c>
      <c r="AH106" t="s">
        <v>1490</v>
      </c>
      <c r="AI106">
        <v>0</v>
      </c>
    </row>
    <row r="107" spans="5:35" x14ac:dyDescent="0.45">
      <c r="E107" t="s">
        <v>793</v>
      </c>
      <c r="G107" t="s">
        <v>156</v>
      </c>
      <c r="I107" t="s">
        <v>236</v>
      </c>
      <c r="J107" t="s">
        <v>1491</v>
      </c>
      <c r="K107">
        <v>0</v>
      </c>
      <c r="L107" t="s">
        <v>238</v>
      </c>
      <c r="N107" t="s">
        <v>346</v>
      </c>
      <c r="O107" t="s">
        <v>1491</v>
      </c>
      <c r="P107">
        <v>4.1582191244812937E-5</v>
      </c>
      <c r="Q107" t="s">
        <v>238</v>
      </c>
      <c r="S107" t="s">
        <v>347</v>
      </c>
      <c r="T107" t="s">
        <v>1491</v>
      </c>
      <c r="U107">
        <v>9.9886909185256797E-5</v>
      </c>
      <c r="V107" t="s">
        <v>238</v>
      </c>
      <c r="X107">
        <v>1.1415525114155251E-4</v>
      </c>
      <c r="Y107">
        <v>2.1546544680075254E-5</v>
      </c>
      <c r="Z107" t="s">
        <v>1491</v>
      </c>
      <c r="AA107" t="s">
        <v>25</v>
      </c>
      <c r="AC107" t="s">
        <v>22</v>
      </c>
      <c r="AD107" t="s">
        <v>1491</v>
      </c>
      <c r="AE107">
        <v>6.6986118513185958E-5</v>
      </c>
      <c r="AG107" t="s">
        <v>97</v>
      </c>
      <c r="AH107" t="s">
        <v>1491</v>
      </c>
      <c r="AI107">
        <v>0</v>
      </c>
    </row>
    <row r="108" spans="5:35" x14ac:dyDescent="0.45">
      <c r="E108" t="s">
        <v>794</v>
      </c>
      <c r="G108" t="s">
        <v>156</v>
      </c>
      <c r="I108" t="s">
        <v>236</v>
      </c>
      <c r="J108" t="s">
        <v>1492</v>
      </c>
      <c r="K108">
        <v>0</v>
      </c>
      <c r="L108" t="s">
        <v>238</v>
      </c>
      <c r="N108" t="s">
        <v>346</v>
      </c>
      <c r="O108" t="s">
        <v>1492</v>
      </c>
      <c r="P108">
        <v>4.6856385882667976E-5</v>
      </c>
      <c r="Q108" t="s">
        <v>238</v>
      </c>
      <c r="S108" t="s">
        <v>347</v>
      </c>
      <c r="T108" t="s">
        <v>1492</v>
      </c>
      <c r="U108">
        <v>1.0814913010120001E-4</v>
      </c>
      <c r="V108" t="s">
        <v>238</v>
      </c>
      <c r="X108">
        <v>1.1415525114155251E-4</v>
      </c>
      <c r="Y108">
        <v>1.4916838624667481E-5</v>
      </c>
      <c r="Z108" t="s">
        <v>1492</v>
      </c>
      <c r="AA108" t="s">
        <v>25</v>
      </c>
      <c r="AC108" t="s">
        <v>22</v>
      </c>
      <c r="AD108" t="s">
        <v>1492</v>
      </c>
      <c r="AE108">
        <v>6.5713495107853789E-5</v>
      </c>
      <c r="AG108" t="s">
        <v>97</v>
      </c>
      <c r="AH108" t="s">
        <v>1492</v>
      </c>
      <c r="AI108">
        <v>0</v>
      </c>
    </row>
    <row r="109" spans="5:35" x14ac:dyDescent="0.45">
      <c r="E109" t="s">
        <v>795</v>
      </c>
      <c r="G109" t="s">
        <v>156</v>
      </c>
      <c r="I109" t="s">
        <v>236</v>
      </c>
      <c r="J109" t="s">
        <v>1493</v>
      </c>
      <c r="K109">
        <v>0</v>
      </c>
      <c r="L109" t="s">
        <v>238</v>
      </c>
      <c r="N109" t="s">
        <v>346</v>
      </c>
      <c r="O109" t="s">
        <v>1493</v>
      </c>
      <c r="P109">
        <v>4.9949234938719201E-5</v>
      </c>
      <c r="Q109" t="s">
        <v>238</v>
      </c>
      <c r="S109" t="s">
        <v>347</v>
      </c>
      <c r="T109" t="s">
        <v>1493</v>
      </c>
      <c r="U109">
        <v>1.0589538692970001E-4</v>
      </c>
      <c r="V109" t="s">
        <v>238</v>
      </c>
      <c r="X109">
        <v>1.1415525114155251E-4</v>
      </c>
      <c r="Y109">
        <v>1.6574265138519424E-5</v>
      </c>
      <c r="Z109" t="s">
        <v>1493</v>
      </c>
      <c r="AA109" t="s">
        <v>25</v>
      </c>
      <c r="AC109" t="s">
        <v>22</v>
      </c>
      <c r="AD109" t="s">
        <v>1493</v>
      </c>
      <c r="AE109">
        <v>6.5713495107853789E-5</v>
      </c>
      <c r="AG109" t="s">
        <v>97</v>
      </c>
      <c r="AH109" t="s">
        <v>1493</v>
      </c>
      <c r="AI109">
        <v>0</v>
      </c>
    </row>
    <row r="110" spans="5:35" x14ac:dyDescent="0.45">
      <c r="E110" t="s">
        <v>796</v>
      </c>
      <c r="G110" t="s">
        <v>156</v>
      </c>
      <c r="I110" t="s">
        <v>236</v>
      </c>
      <c r="J110" t="s">
        <v>1494</v>
      </c>
      <c r="K110">
        <v>0</v>
      </c>
      <c r="L110" t="s">
        <v>238</v>
      </c>
      <c r="N110" t="s">
        <v>346</v>
      </c>
      <c r="O110" t="s">
        <v>1494</v>
      </c>
      <c r="P110">
        <v>4.1285864958758015E-5</v>
      </c>
      <c r="Q110" t="s">
        <v>238</v>
      </c>
      <c r="S110" t="s">
        <v>347</v>
      </c>
      <c r="T110" t="s">
        <v>1494</v>
      </c>
      <c r="U110">
        <v>1.0533155901869999E-4</v>
      </c>
      <c r="V110" t="s">
        <v>238</v>
      </c>
      <c r="X110">
        <v>1.1415525114155251E-4</v>
      </c>
      <c r="Y110">
        <v>1.4585353321897093E-5</v>
      </c>
      <c r="Z110" t="s">
        <v>1494</v>
      </c>
      <c r="AA110" t="s">
        <v>25</v>
      </c>
      <c r="AC110" t="s">
        <v>22</v>
      </c>
      <c r="AD110" t="s">
        <v>1494</v>
      </c>
      <c r="AE110">
        <v>6.645872502989515E-5</v>
      </c>
      <c r="AG110" t="s">
        <v>97</v>
      </c>
      <c r="AH110" t="s">
        <v>1494</v>
      </c>
      <c r="AI110">
        <v>0</v>
      </c>
    </row>
    <row r="111" spans="5:35" x14ac:dyDescent="0.45">
      <c r="E111" t="s">
        <v>797</v>
      </c>
      <c r="G111" t="s">
        <v>156</v>
      </c>
      <c r="I111" t="s">
        <v>236</v>
      </c>
      <c r="J111" t="s">
        <v>1495</v>
      </c>
      <c r="K111">
        <v>0</v>
      </c>
      <c r="L111" t="s">
        <v>238</v>
      </c>
      <c r="N111" t="s">
        <v>346</v>
      </c>
      <c r="O111" t="s">
        <v>1495</v>
      </c>
      <c r="P111">
        <v>3.6187384473550881E-5</v>
      </c>
      <c r="Q111" t="s">
        <v>238</v>
      </c>
      <c r="S111" t="s">
        <v>347</v>
      </c>
      <c r="T111" t="s">
        <v>1495</v>
      </c>
      <c r="U111">
        <v>1.104300877751E-4</v>
      </c>
      <c r="V111" t="s">
        <v>238</v>
      </c>
      <c r="X111">
        <v>1.1415525114155251E-4</v>
      </c>
      <c r="Y111">
        <v>2.1215059377304864E-5</v>
      </c>
      <c r="Z111" t="s">
        <v>1495</v>
      </c>
      <c r="AA111" t="s">
        <v>25</v>
      </c>
      <c r="AC111" t="s">
        <v>22</v>
      </c>
      <c r="AD111" t="s">
        <v>1495</v>
      </c>
      <c r="AE111">
        <v>7.5851488316547262E-5</v>
      </c>
      <c r="AG111" t="s">
        <v>97</v>
      </c>
      <c r="AH111" t="s">
        <v>1495</v>
      </c>
      <c r="AI111">
        <v>0</v>
      </c>
    </row>
    <row r="112" spans="5:35" x14ac:dyDescent="0.45">
      <c r="E112" t="s">
        <v>798</v>
      </c>
      <c r="G112" t="s">
        <v>156</v>
      </c>
      <c r="I112" t="s">
        <v>236</v>
      </c>
      <c r="J112" t="s">
        <v>1496</v>
      </c>
      <c r="K112">
        <v>0</v>
      </c>
      <c r="L112" t="s">
        <v>238</v>
      </c>
      <c r="N112" t="s">
        <v>346</v>
      </c>
      <c r="O112" t="s">
        <v>1496</v>
      </c>
      <c r="P112">
        <v>3.3250583662652357E-5</v>
      </c>
      <c r="Q112" t="s">
        <v>238</v>
      </c>
      <c r="S112" t="s">
        <v>347</v>
      </c>
      <c r="T112" t="s">
        <v>1496</v>
      </c>
      <c r="U112">
        <v>1.1674169453419999E-4</v>
      </c>
      <c r="V112" t="s">
        <v>238</v>
      </c>
      <c r="X112">
        <v>1.1415525114155251E-4</v>
      </c>
      <c r="Y112">
        <v>5.7678442682047593E-5</v>
      </c>
      <c r="Z112" t="s">
        <v>1496</v>
      </c>
      <c r="AA112" t="s">
        <v>25</v>
      </c>
      <c r="AC112" t="s">
        <v>22</v>
      </c>
      <c r="AD112" t="s">
        <v>1496</v>
      </c>
      <c r="AE112">
        <v>9.5608680057436156E-5</v>
      </c>
      <c r="AG112" t="s">
        <v>97</v>
      </c>
      <c r="AH112" t="s">
        <v>1496</v>
      </c>
      <c r="AI112">
        <v>0</v>
      </c>
    </row>
    <row r="113" spans="5:35" x14ac:dyDescent="0.45">
      <c r="E113" t="s">
        <v>799</v>
      </c>
      <c r="G113" t="s">
        <v>156</v>
      </c>
      <c r="I113" t="s">
        <v>236</v>
      </c>
      <c r="J113" t="s">
        <v>1497</v>
      </c>
      <c r="K113">
        <v>4.566662430763376E-5</v>
      </c>
      <c r="L113" t="s">
        <v>238</v>
      </c>
      <c r="N113" t="s">
        <v>346</v>
      </c>
      <c r="O113" t="s">
        <v>1497</v>
      </c>
      <c r="P113">
        <v>3.3379373930577339E-5</v>
      </c>
      <c r="Q113" t="s">
        <v>238</v>
      </c>
      <c r="S113" t="s">
        <v>347</v>
      </c>
      <c r="T113" t="s">
        <v>1497</v>
      </c>
      <c r="U113">
        <v>1.296623953566E-4</v>
      </c>
      <c r="V113" t="s">
        <v>238</v>
      </c>
      <c r="X113">
        <v>1.1415525114155251E-4</v>
      </c>
      <c r="Y113">
        <v>1.6905750441289813E-4</v>
      </c>
      <c r="Z113" t="s">
        <v>1497</v>
      </c>
      <c r="AA113" t="s">
        <v>25</v>
      </c>
      <c r="AC113" t="s">
        <v>22</v>
      </c>
      <c r="AD113" t="s">
        <v>1497</v>
      </c>
      <c r="AE113">
        <v>1.1107506720872536E-4</v>
      </c>
      <c r="AG113" t="s">
        <v>97</v>
      </c>
      <c r="AH113" t="s">
        <v>1497</v>
      </c>
      <c r="AI113">
        <v>0</v>
      </c>
    </row>
    <row r="114" spans="5:35" x14ac:dyDescent="0.45">
      <c r="E114" t="s">
        <v>800</v>
      </c>
      <c r="G114" t="s">
        <v>156</v>
      </c>
      <c r="I114" t="s">
        <v>236</v>
      </c>
      <c r="J114" t="s">
        <v>1498</v>
      </c>
      <c r="K114">
        <v>1.3937396272329999E-4</v>
      </c>
      <c r="L114" t="s">
        <v>238</v>
      </c>
      <c r="N114" t="s">
        <v>346</v>
      </c>
      <c r="O114" t="s">
        <v>1498</v>
      </c>
      <c r="P114">
        <v>3.496450432946564E-5</v>
      </c>
      <c r="Q114" t="s">
        <v>238</v>
      </c>
      <c r="S114" t="s">
        <v>347</v>
      </c>
      <c r="T114" t="s">
        <v>1498</v>
      </c>
      <c r="U114">
        <v>1.3317131667300001E-4</v>
      </c>
      <c r="V114" t="s">
        <v>238</v>
      </c>
      <c r="X114">
        <v>1.1415525114155251E-4</v>
      </c>
      <c r="Y114">
        <v>1.9060404909297337E-4</v>
      </c>
      <c r="Z114" t="s">
        <v>1498</v>
      </c>
      <c r="AA114" t="s">
        <v>25</v>
      </c>
      <c r="AC114" t="s">
        <v>22</v>
      </c>
      <c r="AD114" t="s">
        <v>1498</v>
      </c>
      <c r="AE114">
        <v>1.2280957221194591E-4</v>
      </c>
      <c r="AG114" t="s">
        <v>97</v>
      </c>
      <c r="AH114" t="s">
        <v>1498</v>
      </c>
      <c r="AI114">
        <v>0</v>
      </c>
    </row>
    <row r="115" spans="5:35" x14ac:dyDescent="0.45">
      <c r="E115" t="s">
        <v>801</v>
      </c>
      <c r="G115" t="s">
        <v>156</v>
      </c>
      <c r="I115" t="s">
        <v>236</v>
      </c>
      <c r="J115" t="s">
        <v>1499</v>
      </c>
      <c r="K115">
        <v>1.602855805004E-4</v>
      </c>
      <c r="L115" t="s">
        <v>238</v>
      </c>
      <c r="N115" t="s">
        <v>346</v>
      </c>
      <c r="O115" t="s">
        <v>1499</v>
      </c>
      <c r="P115">
        <v>3.2786254371762654E-5</v>
      </c>
      <c r="Q115" t="s">
        <v>238</v>
      </c>
      <c r="S115" t="s">
        <v>347</v>
      </c>
      <c r="T115" t="s">
        <v>1499</v>
      </c>
      <c r="U115">
        <v>1.1877535764119999E-4</v>
      </c>
      <c r="V115" t="s">
        <v>238</v>
      </c>
      <c r="X115">
        <v>1.1415525114155251E-4</v>
      </c>
      <c r="Y115">
        <v>1.4585353321897094E-4</v>
      </c>
      <c r="Z115" t="s">
        <v>1499</v>
      </c>
      <c r="AA115" t="s">
        <v>25</v>
      </c>
      <c r="AC115" t="s">
        <v>22</v>
      </c>
      <c r="AD115" t="s">
        <v>1499</v>
      </c>
      <c r="AE115">
        <v>1.2716056844909508E-4</v>
      </c>
      <c r="AG115" t="s">
        <v>97</v>
      </c>
      <c r="AH115" t="s">
        <v>1499</v>
      </c>
      <c r="AI115">
        <v>0</v>
      </c>
    </row>
    <row r="116" spans="5:35" x14ac:dyDescent="0.45">
      <c r="E116" t="s">
        <v>802</v>
      </c>
      <c r="G116" t="s">
        <v>156</v>
      </c>
      <c r="I116" t="s">
        <v>236</v>
      </c>
      <c r="J116" t="s">
        <v>1500</v>
      </c>
      <c r="K116">
        <v>1.954457668843E-4</v>
      </c>
      <c r="L116" t="s">
        <v>238</v>
      </c>
      <c r="N116" t="s">
        <v>346</v>
      </c>
      <c r="O116" t="s">
        <v>1500</v>
      </c>
      <c r="P116">
        <v>3.4568946407967333E-5</v>
      </c>
      <c r="Q116" t="s">
        <v>238</v>
      </c>
      <c r="S116" t="s">
        <v>347</v>
      </c>
      <c r="T116" t="s">
        <v>1500</v>
      </c>
      <c r="U116">
        <v>9.0603672681181035E-5</v>
      </c>
      <c r="V116" t="s">
        <v>238</v>
      </c>
      <c r="X116">
        <v>1.1415525114155251E-4</v>
      </c>
      <c r="Y116">
        <v>1.4452759200788939E-4</v>
      </c>
      <c r="Z116" t="s">
        <v>1500</v>
      </c>
      <c r="AA116" t="s">
        <v>25</v>
      </c>
      <c r="AC116" t="s">
        <v>22</v>
      </c>
      <c r="AD116" t="s">
        <v>1500</v>
      </c>
      <c r="AE116">
        <v>1.2634654807271145E-4</v>
      </c>
      <c r="AG116" t="s">
        <v>97</v>
      </c>
      <c r="AH116" t="s">
        <v>1500</v>
      </c>
      <c r="AI116">
        <v>0</v>
      </c>
    </row>
    <row r="117" spans="5:35" x14ac:dyDescent="0.45">
      <c r="E117" t="s">
        <v>803</v>
      </c>
      <c r="G117" t="s">
        <v>156</v>
      </c>
      <c r="I117" t="s">
        <v>236</v>
      </c>
      <c r="J117" t="s">
        <v>1501</v>
      </c>
      <c r="K117">
        <v>2.0417065155619999E-4</v>
      </c>
      <c r="L117" t="s">
        <v>238</v>
      </c>
      <c r="N117" t="s">
        <v>346</v>
      </c>
      <c r="O117" t="s">
        <v>1501</v>
      </c>
      <c r="P117">
        <v>2.9872709596459897E-5</v>
      </c>
      <c r="Q117" t="s">
        <v>238</v>
      </c>
      <c r="S117" t="s">
        <v>347</v>
      </c>
      <c r="T117" t="s">
        <v>1501</v>
      </c>
      <c r="U117">
        <v>5.8482236162147442E-5</v>
      </c>
      <c r="V117" t="s">
        <v>238</v>
      </c>
      <c r="X117">
        <v>1.1415525114155251E-4</v>
      </c>
      <c r="Y117">
        <v>1.408812536774151E-4</v>
      </c>
      <c r="Z117" t="s">
        <v>1501</v>
      </c>
      <c r="AA117" t="s">
        <v>25</v>
      </c>
      <c r="AC117" t="s">
        <v>22</v>
      </c>
      <c r="AD117" t="s">
        <v>1501</v>
      </c>
      <c r="AE117">
        <v>1.2602265968351657E-4</v>
      </c>
      <c r="AG117" t="s">
        <v>97</v>
      </c>
      <c r="AH117" t="s">
        <v>1501</v>
      </c>
      <c r="AI117">
        <v>0</v>
      </c>
    </row>
    <row r="118" spans="5:35" x14ac:dyDescent="0.45">
      <c r="E118" t="s">
        <v>804</v>
      </c>
      <c r="G118" t="s">
        <v>156</v>
      </c>
      <c r="I118" t="s">
        <v>236</v>
      </c>
      <c r="J118" t="s">
        <v>1502</v>
      </c>
      <c r="K118">
        <v>1.9469943227509999E-4</v>
      </c>
      <c r="L118" t="s">
        <v>238</v>
      </c>
      <c r="N118" t="s">
        <v>346</v>
      </c>
      <c r="O118" t="s">
        <v>1502</v>
      </c>
      <c r="P118">
        <v>2.9066721537993239E-5</v>
      </c>
      <c r="Q118" t="s">
        <v>238</v>
      </c>
      <c r="S118" t="s">
        <v>347</v>
      </c>
      <c r="T118" t="s">
        <v>1502</v>
      </c>
      <c r="U118">
        <v>4.4354545231065879E-5</v>
      </c>
      <c r="V118" t="s">
        <v>238</v>
      </c>
      <c r="X118">
        <v>1.1415525114155251E-4</v>
      </c>
      <c r="Y118">
        <v>1.4054976837464471E-4</v>
      </c>
      <c r="Z118" t="s">
        <v>1502</v>
      </c>
      <c r="AA118" t="s">
        <v>25</v>
      </c>
      <c r="AC118" t="s">
        <v>22</v>
      </c>
      <c r="AD118" t="s">
        <v>1502</v>
      </c>
      <c r="AE118">
        <v>1.2531755752650818E-4</v>
      </c>
      <c r="AG118" t="s">
        <v>97</v>
      </c>
      <c r="AH118" t="s">
        <v>1502</v>
      </c>
      <c r="AI118">
        <v>0</v>
      </c>
    </row>
    <row r="119" spans="5:35" x14ac:dyDescent="0.45">
      <c r="E119" t="s">
        <v>805</v>
      </c>
      <c r="G119" t="s">
        <v>156</v>
      </c>
      <c r="I119" t="s">
        <v>236</v>
      </c>
      <c r="J119" t="s">
        <v>1503</v>
      </c>
      <c r="K119">
        <v>1.9396994062670001E-4</v>
      </c>
      <c r="L119" t="s">
        <v>238</v>
      </c>
      <c r="N119" t="s">
        <v>346</v>
      </c>
      <c r="O119" t="s">
        <v>1503</v>
      </c>
      <c r="P119">
        <v>3.3106064352000546E-5</v>
      </c>
      <c r="Q119" t="s">
        <v>238</v>
      </c>
      <c r="S119" t="s">
        <v>347</v>
      </c>
      <c r="T119" t="s">
        <v>1503</v>
      </c>
      <c r="U119">
        <v>4.0069574363570382E-5</v>
      </c>
      <c r="V119" t="s">
        <v>238</v>
      </c>
      <c r="X119">
        <v>1.1415525114155251E-4</v>
      </c>
      <c r="Y119">
        <v>1.4253868019126702E-4</v>
      </c>
      <c r="Z119" t="s">
        <v>1503</v>
      </c>
      <c r="AA119" t="s">
        <v>25</v>
      </c>
      <c r="AC119" t="s">
        <v>22</v>
      </c>
      <c r="AD119" t="s">
        <v>1503</v>
      </c>
      <c r="AE119">
        <v>1.2569303875645981E-4</v>
      </c>
      <c r="AG119" t="s">
        <v>97</v>
      </c>
      <c r="AH119" t="s">
        <v>1503</v>
      </c>
      <c r="AI119">
        <v>0</v>
      </c>
    </row>
    <row r="120" spans="5:35" x14ac:dyDescent="0.45">
      <c r="E120" t="s">
        <v>806</v>
      </c>
      <c r="G120" t="s">
        <v>156</v>
      </c>
      <c r="I120" t="s">
        <v>236</v>
      </c>
      <c r="J120" t="s">
        <v>1504</v>
      </c>
      <c r="K120">
        <v>2.0897654951569999E-4</v>
      </c>
      <c r="L120" t="s">
        <v>238</v>
      </c>
      <c r="N120" t="s">
        <v>346</v>
      </c>
      <c r="O120" t="s">
        <v>1504</v>
      </c>
      <c r="P120">
        <v>4.5472050904884069E-5</v>
      </c>
      <c r="Q120" t="s">
        <v>238</v>
      </c>
      <c r="S120" t="s">
        <v>347</v>
      </c>
      <c r="T120" t="s">
        <v>1504</v>
      </c>
      <c r="U120">
        <v>5.0160800484891677E-5</v>
      </c>
      <c r="V120" t="s">
        <v>238</v>
      </c>
      <c r="X120">
        <v>1.1415525114155251E-4</v>
      </c>
      <c r="Y120">
        <v>1.4883690094390442E-4</v>
      </c>
      <c r="Z120" t="s">
        <v>1504</v>
      </c>
      <c r="AA120" t="s">
        <v>25</v>
      </c>
      <c r="AC120" t="s">
        <v>22</v>
      </c>
      <c r="AD120" t="s">
        <v>1504</v>
      </c>
      <c r="AE120">
        <v>1.2498220406158961E-4</v>
      </c>
      <c r="AG120" t="s">
        <v>97</v>
      </c>
      <c r="AH120" t="s">
        <v>1504</v>
      </c>
      <c r="AI120">
        <v>0</v>
      </c>
    </row>
    <row r="121" spans="5:35" x14ac:dyDescent="0.45">
      <c r="E121" t="s">
        <v>807</v>
      </c>
      <c r="G121" t="s">
        <v>156</v>
      </c>
      <c r="I121" t="s">
        <v>236</v>
      </c>
      <c r="J121" t="s">
        <v>1505</v>
      </c>
      <c r="K121">
        <v>1.9348558725370001E-4</v>
      </c>
      <c r="L121" t="s">
        <v>238</v>
      </c>
      <c r="N121" t="s">
        <v>346</v>
      </c>
      <c r="O121" t="s">
        <v>1505</v>
      </c>
      <c r="P121">
        <v>5.3882480609396895E-5</v>
      </c>
      <c r="Q121" t="s">
        <v>238</v>
      </c>
      <c r="S121" t="s">
        <v>347</v>
      </c>
      <c r="T121" t="s">
        <v>1505</v>
      </c>
      <c r="U121">
        <v>6.4010724205370198E-5</v>
      </c>
      <c r="V121" t="s">
        <v>238</v>
      </c>
      <c r="X121">
        <v>1.1415525114155251E-4</v>
      </c>
      <c r="Y121">
        <v>1.5049432745775637E-4</v>
      </c>
      <c r="Z121" t="s">
        <v>1505</v>
      </c>
      <c r="AA121" t="s">
        <v>25</v>
      </c>
      <c r="AC121" t="s">
        <v>22</v>
      </c>
      <c r="AD121" t="s">
        <v>1505</v>
      </c>
      <c r="AE121">
        <v>1.2361786005046768E-4</v>
      </c>
      <c r="AG121" t="s">
        <v>97</v>
      </c>
      <c r="AH121" t="s">
        <v>1505</v>
      </c>
      <c r="AI121">
        <v>0</v>
      </c>
    </row>
    <row r="122" spans="5:35" x14ac:dyDescent="0.45">
      <c r="E122" t="s">
        <v>808</v>
      </c>
      <c r="G122" t="s">
        <v>156</v>
      </c>
      <c r="I122" t="s">
        <v>236</v>
      </c>
      <c r="J122" t="s">
        <v>1506</v>
      </c>
      <c r="K122">
        <v>1.8122027656039999E-4</v>
      </c>
      <c r="L122" t="s">
        <v>238</v>
      </c>
      <c r="N122" t="s">
        <v>346</v>
      </c>
      <c r="O122" t="s">
        <v>1506</v>
      </c>
      <c r="P122">
        <v>6.0615204499682469E-5</v>
      </c>
      <c r="Q122" t="s">
        <v>238</v>
      </c>
      <c r="S122" t="s">
        <v>347</v>
      </c>
      <c r="T122" t="s">
        <v>1506</v>
      </c>
      <c r="U122">
        <v>6.9719115828297164E-5</v>
      </c>
      <c r="V122" t="s">
        <v>238</v>
      </c>
      <c r="X122">
        <v>1.1415525114155251E-4</v>
      </c>
      <c r="Y122">
        <v>1.7237235744060203E-4</v>
      </c>
      <c r="Z122" t="s">
        <v>1506</v>
      </c>
      <c r="AA122" t="s">
        <v>25</v>
      </c>
      <c r="AC122" t="s">
        <v>22</v>
      </c>
      <c r="AD122" t="s">
        <v>1506</v>
      </c>
      <c r="AE122">
        <v>1.2483889061504317E-4</v>
      </c>
      <c r="AG122" t="s">
        <v>97</v>
      </c>
      <c r="AH122" t="s">
        <v>1506</v>
      </c>
      <c r="AI122">
        <v>0</v>
      </c>
    </row>
    <row r="123" spans="5:35" x14ac:dyDescent="0.45">
      <c r="E123" t="s">
        <v>809</v>
      </c>
      <c r="G123" t="s">
        <v>156</v>
      </c>
      <c r="I123" t="s">
        <v>236</v>
      </c>
      <c r="J123" t="s">
        <v>1507</v>
      </c>
      <c r="K123">
        <v>1.205951125817E-4</v>
      </c>
      <c r="L123" t="s">
        <v>238</v>
      </c>
      <c r="N123" t="s">
        <v>346</v>
      </c>
      <c r="O123" t="s">
        <v>1507</v>
      </c>
      <c r="P123">
        <v>6.3057216564725208E-5</v>
      </c>
      <c r="Q123" t="s">
        <v>238</v>
      </c>
      <c r="S123" t="s">
        <v>347</v>
      </c>
      <c r="T123" t="s">
        <v>1507</v>
      </c>
      <c r="U123">
        <v>6.6291647605348544E-5</v>
      </c>
      <c r="V123" t="s">
        <v>238</v>
      </c>
      <c r="X123">
        <v>1.1415525114155251E-4</v>
      </c>
      <c r="Y123">
        <v>2.2209515285616027E-4</v>
      </c>
      <c r="Z123" t="s">
        <v>1507</v>
      </c>
      <c r="AA123" t="s">
        <v>25</v>
      </c>
      <c r="AC123" t="s">
        <v>22</v>
      </c>
      <c r="AD123" t="s">
        <v>1507</v>
      </c>
      <c r="AE123">
        <v>1.2437168877930184E-4</v>
      </c>
      <c r="AG123" t="s">
        <v>97</v>
      </c>
      <c r="AH123" t="s">
        <v>1507</v>
      </c>
      <c r="AI123">
        <v>0</v>
      </c>
    </row>
    <row r="124" spans="5:35" x14ac:dyDescent="0.45">
      <c r="E124" t="s">
        <v>810</v>
      </c>
      <c r="G124" t="s">
        <v>156</v>
      </c>
      <c r="I124" t="s">
        <v>236</v>
      </c>
      <c r="J124" t="s">
        <v>1508</v>
      </c>
      <c r="K124">
        <v>7.6076264561737394E-5</v>
      </c>
      <c r="L124" t="s">
        <v>238</v>
      </c>
      <c r="N124" t="s">
        <v>346</v>
      </c>
      <c r="O124" t="s">
        <v>1508</v>
      </c>
      <c r="P124">
        <v>5.6989978477779337E-5</v>
      </c>
      <c r="Q124" t="s">
        <v>238</v>
      </c>
      <c r="S124" t="s">
        <v>347</v>
      </c>
      <c r="T124" t="s">
        <v>1508</v>
      </c>
      <c r="U124">
        <v>5.237069894450972E-5</v>
      </c>
      <c r="V124" t="s">
        <v>238</v>
      </c>
      <c r="X124">
        <v>1.1415525114155251E-4</v>
      </c>
      <c r="Y124">
        <v>2.2209515285616027E-4</v>
      </c>
      <c r="Z124" t="s">
        <v>1508</v>
      </c>
      <c r="AA124" t="s">
        <v>25</v>
      </c>
      <c r="AC124" t="s">
        <v>22</v>
      </c>
      <c r="AD124" t="s">
        <v>1508</v>
      </c>
      <c r="AE124">
        <v>1.2453793237729571E-4</v>
      </c>
      <c r="AG124" t="s">
        <v>97</v>
      </c>
      <c r="AH124" t="s">
        <v>1508</v>
      </c>
      <c r="AI124">
        <v>0</v>
      </c>
    </row>
    <row r="125" spans="5:35" x14ac:dyDescent="0.45">
      <c r="E125" t="s">
        <v>811</v>
      </c>
      <c r="G125" t="s">
        <v>156</v>
      </c>
      <c r="I125" t="s">
        <v>236</v>
      </c>
      <c r="J125" t="s">
        <v>1509</v>
      </c>
      <c r="K125">
        <v>3.548729007481548E-5</v>
      </c>
      <c r="L125" t="s">
        <v>238</v>
      </c>
      <c r="N125" t="s">
        <v>346</v>
      </c>
      <c r="O125" t="s">
        <v>1509</v>
      </c>
      <c r="P125">
        <v>5.0860875425535161E-5</v>
      </c>
      <c r="Q125" t="s">
        <v>238</v>
      </c>
      <c r="S125" t="s">
        <v>347</v>
      </c>
      <c r="T125" t="s">
        <v>1509</v>
      </c>
      <c r="U125">
        <v>4.0976005535108906E-5</v>
      </c>
      <c r="V125" t="s">
        <v>238</v>
      </c>
      <c r="X125">
        <v>1.1415525114155251E-4</v>
      </c>
      <c r="Y125">
        <v>1.7237235744060203E-4</v>
      </c>
      <c r="Z125" t="s">
        <v>1509</v>
      </c>
      <c r="AA125" t="s">
        <v>25</v>
      </c>
      <c r="AC125" t="s">
        <v>22</v>
      </c>
      <c r="AD125" t="s">
        <v>1509</v>
      </c>
      <c r="AE125">
        <v>1.2354906959612542E-4</v>
      </c>
      <c r="AG125" t="s">
        <v>97</v>
      </c>
      <c r="AH125" t="s">
        <v>1509</v>
      </c>
      <c r="AI125">
        <v>0</v>
      </c>
    </row>
    <row r="126" spans="5:35" x14ac:dyDescent="0.45">
      <c r="E126" t="s">
        <v>812</v>
      </c>
      <c r="G126" t="s">
        <v>156</v>
      </c>
      <c r="I126" t="s">
        <v>236</v>
      </c>
      <c r="J126" t="s">
        <v>1510</v>
      </c>
      <c r="K126">
        <v>0</v>
      </c>
      <c r="L126" t="s">
        <v>238</v>
      </c>
      <c r="N126" t="s">
        <v>346</v>
      </c>
      <c r="O126" t="s">
        <v>1510</v>
      </c>
      <c r="P126">
        <v>4.4357493965274109E-5</v>
      </c>
      <c r="Q126" t="s">
        <v>238</v>
      </c>
      <c r="S126" t="s">
        <v>347</v>
      </c>
      <c r="T126" t="s">
        <v>1510</v>
      </c>
      <c r="U126">
        <v>3.253857523272432E-5</v>
      </c>
      <c r="V126" t="s">
        <v>238</v>
      </c>
      <c r="X126">
        <v>1.1415525114155251E-4</v>
      </c>
      <c r="Y126">
        <v>1.5579809230208258E-4</v>
      </c>
      <c r="Z126" t="s">
        <v>1510</v>
      </c>
      <c r="AA126" t="s">
        <v>25</v>
      </c>
      <c r="AC126" t="s">
        <v>22</v>
      </c>
      <c r="AD126" t="s">
        <v>1510</v>
      </c>
      <c r="AE126">
        <v>1.2103248547477037E-4</v>
      </c>
      <c r="AG126" t="s">
        <v>97</v>
      </c>
      <c r="AH126" t="s">
        <v>1510</v>
      </c>
      <c r="AI126">
        <v>0</v>
      </c>
    </row>
    <row r="127" spans="5:35" x14ac:dyDescent="0.45">
      <c r="E127" t="s">
        <v>813</v>
      </c>
      <c r="G127" t="s">
        <v>156</v>
      </c>
      <c r="I127" t="s">
        <v>236</v>
      </c>
      <c r="J127" t="s">
        <v>1511</v>
      </c>
      <c r="K127">
        <v>0</v>
      </c>
      <c r="L127" t="s">
        <v>238</v>
      </c>
      <c r="N127" t="s">
        <v>346</v>
      </c>
      <c r="O127" t="s">
        <v>1511</v>
      </c>
      <c r="P127">
        <v>3.9082934034030292E-5</v>
      </c>
      <c r="Q127" t="s">
        <v>238</v>
      </c>
      <c r="S127" t="s">
        <v>347</v>
      </c>
      <c r="T127" t="s">
        <v>1511</v>
      </c>
      <c r="U127">
        <v>2.5355532003981792E-5</v>
      </c>
      <c r="V127" t="s">
        <v>238</v>
      </c>
      <c r="X127">
        <v>1.1415525114155251E-4</v>
      </c>
      <c r="Y127">
        <v>1.093901499142282E-4</v>
      </c>
      <c r="Z127" t="s">
        <v>1511</v>
      </c>
      <c r="AA127" t="s">
        <v>25</v>
      </c>
      <c r="AC127" t="s">
        <v>22</v>
      </c>
      <c r="AD127" t="s">
        <v>1511</v>
      </c>
      <c r="AE127">
        <v>1.0874765683681159E-4</v>
      </c>
      <c r="AG127" t="s">
        <v>97</v>
      </c>
      <c r="AH127" t="s">
        <v>1511</v>
      </c>
      <c r="AI127">
        <v>0</v>
      </c>
    </row>
    <row r="128" spans="5:35" x14ac:dyDescent="0.45">
      <c r="E128" t="s">
        <v>814</v>
      </c>
      <c r="G128" t="s">
        <v>156</v>
      </c>
      <c r="I128" t="s">
        <v>236</v>
      </c>
      <c r="J128" t="s">
        <v>1512</v>
      </c>
      <c r="K128">
        <v>0</v>
      </c>
      <c r="L128" t="s">
        <v>238</v>
      </c>
      <c r="N128" t="s">
        <v>346</v>
      </c>
      <c r="O128" t="s">
        <v>1512</v>
      </c>
      <c r="P128">
        <v>3.7226989907550881E-5</v>
      </c>
      <c r="Q128" t="s">
        <v>238</v>
      </c>
      <c r="S128" t="s">
        <v>347</v>
      </c>
      <c r="T128" t="s">
        <v>1512</v>
      </c>
      <c r="U128">
        <v>2.1581286674511199E-5</v>
      </c>
      <c r="V128" t="s">
        <v>238</v>
      </c>
      <c r="X128">
        <v>1.1415525114155251E-4</v>
      </c>
      <c r="Y128">
        <v>7.9556472664893237E-5</v>
      </c>
      <c r="Z128" t="s">
        <v>1512</v>
      </c>
      <c r="AA128" t="s">
        <v>25</v>
      </c>
      <c r="AC128" t="s">
        <v>22</v>
      </c>
      <c r="AD128" t="s">
        <v>1512</v>
      </c>
      <c r="AE128">
        <v>9.9403620121985253E-5</v>
      </c>
      <c r="AG128" t="s">
        <v>97</v>
      </c>
      <c r="AH128" t="s">
        <v>1512</v>
      </c>
      <c r="AI128">
        <v>0</v>
      </c>
    </row>
    <row r="129" spans="5:35" x14ac:dyDescent="0.45">
      <c r="E129" t="s">
        <v>815</v>
      </c>
      <c r="G129" t="s">
        <v>156</v>
      </c>
      <c r="I129" t="s">
        <v>236</v>
      </c>
      <c r="J129" t="s">
        <v>1513</v>
      </c>
      <c r="K129">
        <v>0</v>
      </c>
      <c r="L129" t="s">
        <v>238</v>
      </c>
      <c r="N129" t="s">
        <v>346</v>
      </c>
      <c r="O129" t="s">
        <v>1513</v>
      </c>
      <c r="P129">
        <v>3.9531299304037221E-5</v>
      </c>
      <c r="Q129" t="s">
        <v>238</v>
      </c>
      <c r="S129" t="s">
        <v>347</v>
      </c>
      <c r="T129" t="s">
        <v>1513</v>
      </c>
      <c r="U129">
        <v>1.8351315976070241E-5</v>
      </c>
      <c r="V129" t="s">
        <v>238</v>
      </c>
      <c r="X129">
        <v>1.1415525114155251E-4</v>
      </c>
      <c r="Y129">
        <v>5.6352501470966035E-5</v>
      </c>
      <c r="Z129" t="s">
        <v>1513</v>
      </c>
      <c r="AA129" t="s">
        <v>25</v>
      </c>
      <c r="AC129" t="s">
        <v>22</v>
      </c>
      <c r="AD129" t="s">
        <v>1513</v>
      </c>
      <c r="AE129">
        <v>8.6906687583137776E-5</v>
      </c>
      <c r="AG129" t="s">
        <v>97</v>
      </c>
      <c r="AH129" t="s">
        <v>1513</v>
      </c>
      <c r="AI129">
        <v>0</v>
      </c>
    </row>
    <row r="130" spans="5:35" x14ac:dyDescent="0.45">
      <c r="E130" t="s">
        <v>816</v>
      </c>
      <c r="G130" t="s">
        <v>156</v>
      </c>
      <c r="I130" t="s">
        <v>236</v>
      </c>
      <c r="J130" t="s">
        <v>1514</v>
      </c>
      <c r="K130">
        <v>0</v>
      </c>
      <c r="L130" t="s">
        <v>238</v>
      </c>
      <c r="N130" t="s">
        <v>346</v>
      </c>
      <c r="O130" t="s">
        <v>1514</v>
      </c>
      <c r="P130">
        <v>3.2757463729543058E-5</v>
      </c>
      <c r="Q130" t="s">
        <v>238</v>
      </c>
      <c r="S130" t="s">
        <v>347</v>
      </c>
      <c r="T130" t="s">
        <v>1514</v>
      </c>
      <c r="U130">
        <v>1.6830953502721959E-5</v>
      </c>
      <c r="V130" t="s">
        <v>238</v>
      </c>
      <c r="X130">
        <v>1.1415525114155251E-4</v>
      </c>
      <c r="Y130">
        <v>2.9833677249334962E-5</v>
      </c>
      <c r="Z130" t="s">
        <v>1514</v>
      </c>
      <c r="AA130" t="s">
        <v>25</v>
      </c>
      <c r="AC130" t="s">
        <v>22</v>
      </c>
      <c r="AD130" t="s">
        <v>1514</v>
      </c>
      <c r="AE130">
        <v>7.4624725214109924E-5</v>
      </c>
      <c r="AG130" t="s">
        <v>97</v>
      </c>
      <c r="AH130" t="s">
        <v>1514</v>
      </c>
      <c r="AI130">
        <v>0</v>
      </c>
    </row>
    <row r="131" spans="5:35" x14ac:dyDescent="0.45">
      <c r="E131" t="s">
        <v>817</v>
      </c>
      <c r="G131" t="s">
        <v>156</v>
      </c>
      <c r="I131" t="s">
        <v>236</v>
      </c>
      <c r="J131" t="s">
        <v>1515</v>
      </c>
      <c r="K131">
        <v>0</v>
      </c>
      <c r="L131" t="s">
        <v>238</v>
      </c>
      <c r="N131" t="s">
        <v>346</v>
      </c>
      <c r="O131" t="s">
        <v>1515</v>
      </c>
      <c r="P131">
        <v>2.872628441023088E-5</v>
      </c>
      <c r="Q131" t="s">
        <v>238</v>
      </c>
      <c r="S131" t="s">
        <v>347</v>
      </c>
      <c r="T131" t="s">
        <v>1515</v>
      </c>
      <c r="U131">
        <v>1.4906883103660891E-5</v>
      </c>
      <c r="V131" t="s">
        <v>238</v>
      </c>
      <c r="X131">
        <v>1.1415525114155251E-4</v>
      </c>
      <c r="Y131">
        <v>2.1546544680075254E-5</v>
      </c>
      <c r="Z131" t="s">
        <v>1515</v>
      </c>
      <c r="AA131" t="s">
        <v>25</v>
      </c>
      <c r="AC131" t="s">
        <v>22</v>
      </c>
      <c r="AD131" t="s">
        <v>1515</v>
      </c>
      <c r="AE131">
        <v>6.6986118513185944E-5</v>
      </c>
      <c r="AG131" t="s">
        <v>97</v>
      </c>
      <c r="AH131" t="s">
        <v>1515</v>
      </c>
      <c r="AI131">
        <v>0</v>
      </c>
    </row>
    <row r="132" spans="5:35" x14ac:dyDescent="0.45">
      <c r="E132" t="s">
        <v>818</v>
      </c>
      <c r="G132" t="s">
        <v>156</v>
      </c>
      <c r="I132" t="s">
        <v>236</v>
      </c>
      <c r="J132" t="s">
        <v>1516</v>
      </c>
      <c r="K132">
        <v>0</v>
      </c>
      <c r="L132" t="s">
        <v>238</v>
      </c>
      <c r="N132" t="s">
        <v>346</v>
      </c>
      <c r="O132" t="s">
        <v>1516</v>
      </c>
      <c r="P132">
        <v>2.7032667183467681E-5</v>
      </c>
      <c r="Q132" t="s">
        <v>238</v>
      </c>
      <c r="S132" t="s">
        <v>347</v>
      </c>
      <c r="T132" t="s">
        <v>1516</v>
      </c>
      <c r="U132">
        <v>1.4783295045864433E-5</v>
      </c>
      <c r="V132" t="s">
        <v>238</v>
      </c>
      <c r="X132">
        <v>1.1415525114155251E-4</v>
      </c>
      <c r="Y132">
        <v>1.4916838624667481E-5</v>
      </c>
      <c r="Z132" t="s">
        <v>1516</v>
      </c>
      <c r="AA132" t="s">
        <v>25</v>
      </c>
      <c r="AC132" t="s">
        <v>22</v>
      </c>
      <c r="AD132" t="s">
        <v>1516</v>
      </c>
      <c r="AE132">
        <v>6.5713495107853789E-5</v>
      </c>
      <c r="AG132" t="s">
        <v>97</v>
      </c>
      <c r="AH132" t="s">
        <v>1516</v>
      </c>
      <c r="AI132">
        <v>0</v>
      </c>
    </row>
    <row r="133" spans="5:35" x14ac:dyDescent="0.45">
      <c r="E133" t="s">
        <v>819</v>
      </c>
      <c r="G133" t="s">
        <v>156</v>
      </c>
      <c r="I133" t="s">
        <v>236</v>
      </c>
      <c r="J133" t="s">
        <v>1517</v>
      </c>
      <c r="K133">
        <v>0</v>
      </c>
      <c r="L133" t="s">
        <v>238</v>
      </c>
      <c r="N133" t="s">
        <v>346</v>
      </c>
      <c r="O133" t="s">
        <v>1517</v>
      </c>
      <c r="P133">
        <v>2.3811279392604849E-5</v>
      </c>
      <c r="Q133" t="s">
        <v>238</v>
      </c>
      <c r="S133" t="s">
        <v>347</v>
      </c>
      <c r="T133" t="s">
        <v>1517</v>
      </c>
      <c r="U133">
        <v>1.4503820337387088E-5</v>
      </c>
      <c r="V133" t="s">
        <v>238</v>
      </c>
      <c r="X133">
        <v>1.1415525114155251E-4</v>
      </c>
      <c r="Y133">
        <v>1.6574265138519424E-5</v>
      </c>
      <c r="Z133" t="s">
        <v>1517</v>
      </c>
      <c r="AA133" t="s">
        <v>25</v>
      </c>
      <c r="AC133" t="s">
        <v>22</v>
      </c>
      <c r="AD133" t="s">
        <v>1517</v>
      </c>
      <c r="AE133">
        <v>6.5713495107853789E-5</v>
      </c>
      <c r="AG133" t="s">
        <v>97</v>
      </c>
      <c r="AH133" t="s">
        <v>1517</v>
      </c>
      <c r="AI133">
        <v>0</v>
      </c>
    </row>
    <row r="134" spans="5:35" x14ac:dyDescent="0.45">
      <c r="E134" t="s">
        <v>820</v>
      </c>
      <c r="G134" t="s">
        <v>156</v>
      </c>
      <c r="I134" t="s">
        <v>236</v>
      </c>
      <c r="J134" t="s">
        <v>1518</v>
      </c>
      <c r="K134">
        <v>0</v>
      </c>
      <c r="L134" t="s">
        <v>238</v>
      </c>
      <c r="N134" t="s">
        <v>346</v>
      </c>
      <c r="O134" t="s">
        <v>1518</v>
      </c>
      <c r="P134">
        <v>1.9995678188251804E-5</v>
      </c>
      <c r="Q134" t="s">
        <v>238</v>
      </c>
      <c r="S134" t="s">
        <v>347</v>
      </c>
      <c r="T134" t="s">
        <v>1518</v>
      </c>
      <c r="U134">
        <v>1.4757410497026768E-5</v>
      </c>
      <c r="V134" t="s">
        <v>238</v>
      </c>
      <c r="X134">
        <v>1.1415525114155251E-4</v>
      </c>
      <c r="Y134">
        <v>1.4585353321897093E-5</v>
      </c>
      <c r="Z134" t="s">
        <v>1518</v>
      </c>
      <c r="AA134" t="s">
        <v>25</v>
      </c>
      <c r="AC134" t="s">
        <v>22</v>
      </c>
      <c r="AD134" t="s">
        <v>1518</v>
      </c>
      <c r="AE134">
        <v>6.6458725029895136E-5</v>
      </c>
      <c r="AG134" t="s">
        <v>97</v>
      </c>
      <c r="AH134" t="s">
        <v>1518</v>
      </c>
      <c r="AI134">
        <v>0</v>
      </c>
    </row>
    <row r="135" spans="5:35" x14ac:dyDescent="0.45">
      <c r="E135" t="s">
        <v>821</v>
      </c>
      <c r="G135" t="s">
        <v>156</v>
      </c>
      <c r="I135" t="s">
        <v>236</v>
      </c>
      <c r="J135" t="s">
        <v>1519</v>
      </c>
      <c r="K135">
        <v>0</v>
      </c>
      <c r="L135" t="s">
        <v>238</v>
      </c>
      <c r="N135" t="s">
        <v>346</v>
      </c>
      <c r="O135" t="s">
        <v>1519</v>
      </c>
      <c r="P135">
        <v>1.5248520495408579E-5</v>
      </c>
      <c r="Q135" t="s">
        <v>238</v>
      </c>
      <c r="S135" t="s">
        <v>347</v>
      </c>
      <c r="T135" t="s">
        <v>1519</v>
      </c>
      <c r="U135">
        <v>1.1814177682554329E-5</v>
      </c>
      <c r="V135" t="s">
        <v>238</v>
      </c>
      <c r="X135">
        <v>1.1415525114155251E-4</v>
      </c>
      <c r="Y135">
        <v>2.1215059377304864E-5</v>
      </c>
      <c r="Z135" t="s">
        <v>1519</v>
      </c>
      <c r="AA135" t="s">
        <v>25</v>
      </c>
      <c r="AC135" t="s">
        <v>22</v>
      </c>
      <c r="AD135" t="s">
        <v>1519</v>
      </c>
      <c r="AE135">
        <v>7.5776965324343112E-5</v>
      </c>
      <c r="AG135" t="s">
        <v>97</v>
      </c>
      <c r="AH135" t="s">
        <v>1519</v>
      </c>
      <c r="AI135">
        <v>0</v>
      </c>
    </row>
    <row r="136" spans="5:35" x14ac:dyDescent="0.45">
      <c r="E136" t="s">
        <v>822</v>
      </c>
      <c r="G136" t="s">
        <v>156</v>
      </c>
      <c r="I136" t="s">
        <v>236</v>
      </c>
      <c r="J136" t="s">
        <v>1520</v>
      </c>
      <c r="K136">
        <v>0</v>
      </c>
      <c r="L136" t="s">
        <v>238</v>
      </c>
      <c r="N136" t="s">
        <v>346</v>
      </c>
      <c r="O136" t="s">
        <v>1520</v>
      </c>
      <c r="P136">
        <v>1.2126165640894217E-5</v>
      </c>
      <c r="Q136" t="s">
        <v>238</v>
      </c>
      <c r="S136" t="s">
        <v>347</v>
      </c>
      <c r="T136" t="s">
        <v>1520</v>
      </c>
      <c r="U136">
        <v>9.9386852535904557E-6</v>
      </c>
      <c r="V136" t="s">
        <v>238</v>
      </c>
      <c r="X136">
        <v>1.1415525114155251E-4</v>
      </c>
      <c r="Y136">
        <v>5.7678442682047593E-5</v>
      </c>
      <c r="Z136" t="s">
        <v>1520</v>
      </c>
      <c r="AA136" t="s">
        <v>25</v>
      </c>
      <c r="AC136" t="s">
        <v>22</v>
      </c>
      <c r="AD136" t="s">
        <v>1520</v>
      </c>
      <c r="AE136">
        <v>9.5809318882601128E-5</v>
      </c>
      <c r="AG136" t="s">
        <v>97</v>
      </c>
      <c r="AH136" t="s">
        <v>1520</v>
      </c>
      <c r="AI136">
        <v>0</v>
      </c>
    </row>
    <row r="137" spans="5:35" x14ac:dyDescent="0.45">
      <c r="E137" t="s">
        <v>823</v>
      </c>
      <c r="G137" t="s">
        <v>156</v>
      </c>
      <c r="I137" t="s">
        <v>236</v>
      </c>
      <c r="J137" t="s">
        <v>1521</v>
      </c>
      <c r="K137">
        <v>2.4782238441445049E-5</v>
      </c>
      <c r="L137" t="s">
        <v>238</v>
      </c>
      <c r="N137" t="s">
        <v>346</v>
      </c>
      <c r="O137" t="s">
        <v>1521</v>
      </c>
      <c r="P137">
        <v>7.5890234109177997E-6</v>
      </c>
      <c r="Q137" t="s">
        <v>238</v>
      </c>
      <c r="S137" t="s">
        <v>347</v>
      </c>
      <c r="T137" t="s">
        <v>1521</v>
      </c>
      <c r="U137">
        <v>8.453980248098694E-6</v>
      </c>
      <c r="V137" t="s">
        <v>238</v>
      </c>
      <c r="X137">
        <v>1.1415525114155251E-4</v>
      </c>
      <c r="Y137">
        <v>1.6905750441289813E-4</v>
      </c>
      <c r="Z137" t="s">
        <v>1521</v>
      </c>
      <c r="AA137" t="s">
        <v>25</v>
      </c>
      <c r="AC137" t="s">
        <v>22</v>
      </c>
      <c r="AD137" t="s">
        <v>1521</v>
      </c>
      <c r="AE137">
        <v>1.1135309529502541E-4</v>
      </c>
      <c r="AG137" t="s">
        <v>97</v>
      </c>
      <c r="AH137" t="s">
        <v>1521</v>
      </c>
      <c r="AI137">
        <v>0</v>
      </c>
    </row>
    <row r="138" spans="5:35" x14ac:dyDescent="0.45">
      <c r="E138" t="s">
        <v>824</v>
      </c>
      <c r="G138" t="s">
        <v>156</v>
      </c>
      <c r="I138" t="s">
        <v>236</v>
      </c>
      <c r="J138" t="s">
        <v>1522</v>
      </c>
      <c r="K138">
        <v>3.7819381169534092E-5</v>
      </c>
      <c r="L138" t="s">
        <v>238</v>
      </c>
      <c r="N138" t="s">
        <v>346</v>
      </c>
      <c r="O138" t="s">
        <v>1522</v>
      </c>
      <c r="P138">
        <v>2.4579170512279564E-6</v>
      </c>
      <c r="Q138" t="s">
        <v>238</v>
      </c>
      <c r="S138" t="s">
        <v>347</v>
      </c>
      <c r="T138" t="s">
        <v>1522</v>
      </c>
      <c r="U138">
        <v>8.2743752698020249E-6</v>
      </c>
      <c r="V138" t="s">
        <v>238</v>
      </c>
      <c r="X138">
        <v>1.1415525114155251E-4</v>
      </c>
      <c r="Y138">
        <v>1.9060404909297337E-4</v>
      </c>
      <c r="Z138" t="s">
        <v>1522</v>
      </c>
      <c r="AA138" t="s">
        <v>25</v>
      </c>
      <c r="AC138" t="s">
        <v>22</v>
      </c>
      <c r="AD138" t="s">
        <v>1522</v>
      </c>
      <c r="AE138">
        <v>1.2214459781997056E-4</v>
      </c>
      <c r="AG138" t="s">
        <v>97</v>
      </c>
      <c r="AH138" t="s">
        <v>1522</v>
      </c>
      <c r="AI138">
        <v>0</v>
      </c>
    </row>
    <row r="139" spans="5:35" x14ac:dyDescent="0.45">
      <c r="E139" t="s">
        <v>825</v>
      </c>
      <c r="G139" t="s">
        <v>156</v>
      </c>
      <c r="I139" t="s">
        <v>236</v>
      </c>
      <c r="J139" t="s">
        <v>1523</v>
      </c>
      <c r="K139">
        <v>8.0038021068647825E-5</v>
      </c>
      <c r="L139" t="s">
        <v>238</v>
      </c>
      <c r="N139" t="s">
        <v>346</v>
      </c>
      <c r="O139" t="s">
        <v>1523</v>
      </c>
      <c r="P139">
        <v>9.4945701947222597E-7</v>
      </c>
      <c r="Q139" t="s">
        <v>238</v>
      </c>
      <c r="S139" t="s">
        <v>347</v>
      </c>
      <c r="T139" t="s">
        <v>1523</v>
      </c>
      <c r="U139">
        <v>9.47387238540286E-6</v>
      </c>
      <c r="V139" t="s">
        <v>238</v>
      </c>
      <c r="X139">
        <v>1.1415525114155251E-4</v>
      </c>
      <c r="Y139">
        <v>1.4585353321897094E-4</v>
      </c>
      <c r="Z139" t="s">
        <v>1523</v>
      </c>
      <c r="AA139" t="s">
        <v>25</v>
      </c>
      <c r="AC139" t="s">
        <v>22</v>
      </c>
      <c r="AD139" t="s">
        <v>1523</v>
      </c>
      <c r="AE139">
        <v>1.2628635642516196E-4</v>
      </c>
      <c r="AG139" t="s">
        <v>97</v>
      </c>
      <c r="AH139" t="s">
        <v>1523</v>
      </c>
      <c r="AI139">
        <v>0</v>
      </c>
    </row>
    <row r="140" spans="5:35" x14ac:dyDescent="0.45">
      <c r="E140" t="s">
        <v>826</v>
      </c>
      <c r="G140" t="s">
        <v>156</v>
      </c>
      <c r="I140" t="s">
        <v>236</v>
      </c>
      <c r="J140" t="s">
        <v>1524</v>
      </c>
      <c r="K140">
        <v>1.2965291039850001E-4</v>
      </c>
      <c r="L140" t="s">
        <v>238</v>
      </c>
      <c r="N140" t="s">
        <v>346</v>
      </c>
      <c r="O140" t="s">
        <v>1524</v>
      </c>
      <c r="P140">
        <v>2.0187368517567301E-6</v>
      </c>
      <c r="Q140" t="s">
        <v>238</v>
      </c>
      <c r="S140" t="s">
        <v>347</v>
      </c>
      <c r="T140" t="s">
        <v>1524</v>
      </c>
      <c r="U140">
        <v>1.1629364665715544E-5</v>
      </c>
      <c r="V140" t="s">
        <v>238</v>
      </c>
      <c r="X140">
        <v>1.1415525114155251E-4</v>
      </c>
      <c r="Y140">
        <v>1.4452759200788939E-4</v>
      </c>
      <c r="Z140" t="s">
        <v>1524</v>
      </c>
      <c r="AA140" t="s">
        <v>25</v>
      </c>
      <c r="AC140" t="s">
        <v>22</v>
      </c>
      <c r="AD140" t="s">
        <v>1524</v>
      </c>
      <c r="AE140">
        <v>1.2618317074364853E-4</v>
      </c>
      <c r="AG140" t="s">
        <v>97</v>
      </c>
      <c r="AH140" t="s">
        <v>1524</v>
      </c>
      <c r="AI140">
        <v>0</v>
      </c>
    </row>
    <row r="141" spans="5:35" x14ac:dyDescent="0.45">
      <c r="E141" t="s">
        <v>827</v>
      </c>
      <c r="G141" t="s">
        <v>156</v>
      </c>
      <c r="I141" t="s">
        <v>236</v>
      </c>
      <c r="J141" t="s">
        <v>1525</v>
      </c>
      <c r="K141">
        <v>1.8247280015230001E-4</v>
      </c>
      <c r="L141" t="s">
        <v>238</v>
      </c>
      <c r="N141" t="s">
        <v>346</v>
      </c>
      <c r="O141" t="s">
        <v>1525</v>
      </c>
      <c r="P141">
        <v>1.5976606075340766E-6</v>
      </c>
      <c r="Q141" t="s">
        <v>238</v>
      </c>
      <c r="S141" t="s">
        <v>347</v>
      </c>
      <c r="T141" t="s">
        <v>1525</v>
      </c>
      <c r="U141">
        <v>1.3909471138897684E-5</v>
      </c>
      <c r="V141" t="s">
        <v>238</v>
      </c>
      <c r="X141">
        <v>1.1415525114155251E-4</v>
      </c>
      <c r="Y141">
        <v>1.408812536774151E-4</v>
      </c>
      <c r="Z141" t="s">
        <v>1525</v>
      </c>
      <c r="AA141" t="s">
        <v>25</v>
      </c>
      <c r="AC141" t="s">
        <v>22</v>
      </c>
      <c r="AD141" t="s">
        <v>1525</v>
      </c>
      <c r="AE141">
        <v>1.2504239570913905E-4</v>
      </c>
      <c r="AG141" t="s">
        <v>97</v>
      </c>
      <c r="AH141" t="s">
        <v>1525</v>
      </c>
      <c r="AI141">
        <v>0</v>
      </c>
    </row>
    <row r="142" spans="5:35" x14ac:dyDescent="0.45">
      <c r="E142" t="s">
        <v>828</v>
      </c>
      <c r="G142" t="s">
        <v>156</v>
      </c>
      <c r="I142" t="s">
        <v>236</v>
      </c>
      <c r="J142" t="s">
        <v>1526</v>
      </c>
      <c r="K142">
        <v>2.0304058742089999E-4</v>
      </c>
      <c r="L142" t="s">
        <v>238</v>
      </c>
      <c r="N142" t="s">
        <v>346</v>
      </c>
      <c r="O142" t="s">
        <v>1526</v>
      </c>
      <c r="P142">
        <v>2.756080262681479E-6</v>
      </c>
      <c r="Q142" t="s">
        <v>238</v>
      </c>
      <c r="S142" t="s">
        <v>347</v>
      </c>
      <c r="T142" t="s">
        <v>1526</v>
      </c>
      <c r="U142">
        <v>1.3998820993681274E-5</v>
      </c>
      <c r="V142" t="s">
        <v>238</v>
      </c>
      <c r="X142">
        <v>1.1415525114155251E-4</v>
      </c>
      <c r="Y142">
        <v>1.4054976837464471E-4</v>
      </c>
      <c r="Z142" t="s">
        <v>1526</v>
      </c>
      <c r="AA142" t="s">
        <v>25</v>
      </c>
      <c r="AC142" t="s">
        <v>22</v>
      </c>
      <c r="AD142" t="s">
        <v>1526</v>
      </c>
      <c r="AE142">
        <v>1.2486755330435244E-4</v>
      </c>
      <c r="AG142" t="s">
        <v>97</v>
      </c>
      <c r="AH142" t="s">
        <v>1526</v>
      </c>
      <c r="AI142">
        <v>0</v>
      </c>
    </row>
    <row r="143" spans="5:35" x14ac:dyDescent="0.45">
      <c r="E143" t="s">
        <v>829</v>
      </c>
      <c r="G143" t="s">
        <v>156</v>
      </c>
      <c r="I143" t="s">
        <v>236</v>
      </c>
      <c r="J143" t="s">
        <v>1527</v>
      </c>
      <c r="K143">
        <v>2.2545781983539999E-4</v>
      </c>
      <c r="L143" t="s">
        <v>238</v>
      </c>
      <c r="N143" t="s">
        <v>346</v>
      </c>
      <c r="O143" t="s">
        <v>1527</v>
      </c>
      <c r="P143">
        <v>3.7152234959563301E-6</v>
      </c>
      <c r="Q143" t="s">
        <v>238</v>
      </c>
      <c r="S143" t="s">
        <v>347</v>
      </c>
      <c r="T143" t="s">
        <v>1527</v>
      </c>
      <c r="U143">
        <v>1.6505189848172907E-5</v>
      </c>
      <c r="V143" t="s">
        <v>238</v>
      </c>
      <c r="X143">
        <v>1.1415525114155251E-4</v>
      </c>
      <c r="Y143">
        <v>1.4253868019126702E-4</v>
      </c>
      <c r="Z143" t="s">
        <v>1527</v>
      </c>
      <c r="AA143" t="s">
        <v>25</v>
      </c>
      <c r="AC143" t="s">
        <v>22</v>
      </c>
      <c r="AD143" t="s">
        <v>1527</v>
      </c>
      <c r="AE143">
        <v>1.2486755330435244E-4</v>
      </c>
      <c r="AG143" t="s">
        <v>97</v>
      </c>
      <c r="AH143" t="s">
        <v>1527</v>
      </c>
      <c r="AI143">
        <v>0</v>
      </c>
    </row>
    <row r="144" spans="5:35" x14ac:dyDescent="0.45">
      <c r="E144" t="s">
        <v>830</v>
      </c>
      <c r="G144" t="s">
        <v>156</v>
      </c>
      <c r="I144" t="s">
        <v>236</v>
      </c>
      <c r="J144" t="s">
        <v>1528</v>
      </c>
      <c r="K144">
        <v>2.4178727157250001E-4</v>
      </c>
      <c r="L144" t="s">
        <v>238</v>
      </c>
      <c r="N144" t="s">
        <v>346</v>
      </c>
      <c r="O144" t="s">
        <v>1528</v>
      </c>
      <c r="P144">
        <v>5.5894347355254972E-6</v>
      </c>
      <c r="Q144" t="s">
        <v>238</v>
      </c>
      <c r="S144" t="s">
        <v>347</v>
      </c>
      <c r="T144" t="s">
        <v>1528</v>
      </c>
      <c r="U144">
        <v>2.1959120422591333E-5</v>
      </c>
      <c r="V144" t="s">
        <v>238</v>
      </c>
      <c r="X144">
        <v>1.1415525114155251E-4</v>
      </c>
      <c r="Y144">
        <v>1.4883690094390442E-4</v>
      </c>
      <c r="Z144" t="s">
        <v>1528</v>
      </c>
      <c r="AA144" t="s">
        <v>25</v>
      </c>
      <c r="AC144" t="s">
        <v>22</v>
      </c>
      <c r="AD144" t="s">
        <v>1528</v>
      </c>
      <c r="AE144">
        <v>1.2363505766405325E-4</v>
      </c>
      <c r="AG144" t="s">
        <v>97</v>
      </c>
      <c r="AH144" t="s">
        <v>1528</v>
      </c>
      <c r="AI144">
        <v>0</v>
      </c>
    </row>
    <row r="145" spans="5:35" x14ac:dyDescent="0.45">
      <c r="E145" t="s">
        <v>831</v>
      </c>
      <c r="G145" t="s">
        <v>156</v>
      </c>
      <c r="I145" t="s">
        <v>236</v>
      </c>
      <c r="J145" t="s">
        <v>1529</v>
      </c>
      <c r="K145">
        <v>2.5175593258459998E-4</v>
      </c>
      <c r="L145" t="s">
        <v>238</v>
      </c>
      <c r="N145" t="s">
        <v>346</v>
      </c>
      <c r="O145" t="s">
        <v>1529</v>
      </c>
      <c r="P145">
        <v>5.6249986564912864E-6</v>
      </c>
      <c r="Q145" t="s">
        <v>238</v>
      </c>
      <c r="S145" t="s">
        <v>347</v>
      </c>
      <c r="T145" t="s">
        <v>1529</v>
      </c>
      <c r="U145">
        <v>2.7235440643494768E-5</v>
      </c>
      <c r="V145" t="s">
        <v>238</v>
      </c>
      <c r="X145">
        <v>1.1415525114155251E-4</v>
      </c>
      <c r="Y145">
        <v>1.5049432745775637E-4</v>
      </c>
      <c r="Z145" t="s">
        <v>1529</v>
      </c>
      <c r="AA145" t="s">
        <v>25</v>
      </c>
      <c r="AC145" t="s">
        <v>22</v>
      </c>
      <c r="AD145" t="s">
        <v>1529</v>
      </c>
      <c r="AE145">
        <v>1.2231084141796437E-4</v>
      </c>
      <c r="AG145" t="s">
        <v>97</v>
      </c>
      <c r="AH145" t="s">
        <v>1529</v>
      </c>
      <c r="AI145">
        <v>0</v>
      </c>
    </row>
    <row r="146" spans="5:35" x14ac:dyDescent="0.45">
      <c r="E146" t="s">
        <v>832</v>
      </c>
      <c r="G146" t="s">
        <v>156</v>
      </c>
      <c r="I146" t="s">
        <v>236</v>
      </c>
      <c r="J146" t="s">
        <v>1530</v>
      </c>
      <c r="K146">
        <v>2.6185813061690001E-4</v>
      </c>
      <c r="L146" t="s">
        <v>238</v>
      </c>
      <c r="N146" t="s">
        <v>346</v>
      </c>
      <c r="O146" t="s">
        <v>1530</v>
      </c>
      <c r="P146">
        <v>6.1582700578264434E-6</v>
      </c>
      <c r="Q146" t="s">
        <v>238</v>
      </c>
      <c r="S146" t="s">
        <v>347</v>
      </c>
      <c r="T146" t="s">
        <v>1530</v>
      </c>
      <c r="U146">
        <v>2.8519802509484249E-5</v>
      </c>
      <c r="V146" t="s">
        <v>238</v>
      </c>
      <c r="X146">
        <v>1.1415525114155251E-4</v>
      </c>
      <c r="Y146">
        <v>1.7237235744060203E-4</v>
      </c>
      <c r="Z146" t="s">
        <v>1530</v>
      </c>
      <c r="AA146" t="s">
        <v>25</v>
      </c>
      <c r="AC146" t="s">
        <v>22</v>
      </c>
      <c r="AD146" t="s">
        <v>1530</v>
      </c>
      <c r="AE146">
        <v>1.2242835844413242E-4</v>
      </c>
      <c r="AG146" t="s">
        <v>97</v>
      </c>
      <c r="AH146" t="s">
        <v>1530</v>
      </c>
      <c r="AI146">
        <v>0</v>
      </c>
    </row>
    <row r="147" spans="5:35" x14ac:dyDescent="0.45">
      <c r="E147" t="s">
        <v>833</v>
      </c>
      <c r="G147" t="s">
        <v>156</v>
      </c>
      <c r="I147" t="s">
        <v>236</v>
      </c>
      <c r="J147" t="s">
        <v>1531</v>
      </c>
      <c r="K147">
        <v>2.067289968629E-4</v>
      </c>
      <c r="L147" t="s">
        <v>238</v>
      </c>
      <c r="N147" t="s">
        <v>346</v>
      </c>
      <c r="O147" t="s">
        <v>1531</v>
      </c>
      <c r="P147">
        <v>6.051749269298795E-6</v>
      </c>
      <c r="Q147" t="s">
        <v>238</v>
      </c>
      <c r="S147" t="s">
        <v>347</v>
      </c>
      <c r="T147" t="s">
        <v>1531</v>
      </c>
      <c r="U147">
        <v>2.4981911421165451E-5</v>
      </c>
      <c r="V147" t="s">
        <v>238</v>
      </c>
      <c r="X147">
        <v>1.1415525114155251E-4</v>
      </c>
      <c r="Y147">
        <v>2.2209515285616027E-4</v>
      </c>
      <c r="Z147" t="s">
        <v>1531</v>
      </c>
      <c r="AA147" t="s">
        <v>25</v>
      </c>
      <c r="AC147" t="s">
        <v>22</v>
      </c>
      <c r="AD147" t="s">
        <v>1531</v>
      </c>
      <c r="AE147">
        <v>1.2196115660839114E-4</v>
      </c>
      <c r="AG147" t="s">
        <v>97</v>
      </c>
      <c r="AH147" t="s">
        <v>1531</v>
      </c>
      <c r="AI147">
        <v>0</v>
      </c>
    </row>
    <row r="148" spans="5:35" x14ac:dyDescent="0.45">
      <c r="E148" t="s">
        <v>834</v>
      </c>
      <c r="G148" t="s">
        <v>156</v>
      </c>
      <c r="I148" t="s">
        <v>236</v>
      </c>
      <c r="J148" t="s">
        <v>1532</v>
      </c>
      <c r="K148">
        <v>1.3374129946650001E-4</v>
      </c>
      <c r="L148" t="s">
        <v>238</v>
      </c>
      <c r="N148" t="s">
        <v>346</v>
      </c>
      <c r="O148" t="s">
        <v>1532</v>
      </c>
      <c r="P148">
        <v>6.7348259381661575E-6</v>
      </c>
      <c r="Q148" t="s">
        <v>238</v>
      </c>
      <c r="S148" t="s">
        <v>347</v>
      </c>
      <c r="T148" t="s">
        <v>1532</v>
      </c>
      <c r="U148">
        <v>2.3647813788216897E-5</v>
      </c>
      <c r="V148" t="s">
        <v>238</v>
      </c>
      <c r="X148">
        <v>1.1415525114155251E-4</v>
      </c>
      <c r="Y148">
        <v>2.2209515285616027E-4</v>
      </c>
      <c r="Z148" t="s">
        <v>1532</v>
      </c>
      <c r="AA148" t="s">
        <v>25</v>
      </c>
      <c r="AC148" t="s">
        <v>22</v>
      </c>
      <c r="AD148" t="s">
        <v>1532</v>
      </c>
      <c r="AE148">
        <v>1.2220192319858911E-4</v>
      </c>
      <c r="AG148" t="s">
        <v>97</v>
      </c>
      <c r="AH148" t="s">
        <v>1532</v>
      </c>
      <c r="AI148">
        <v>0</v>
      </c>
    </row>
    <row r="149" spans="5:35" x14ac:dyDescent="0.45">
      <c r="E149" t="s">
        <v>835</v>
      </c>
      <c r="G149" t="s">
        <v>156</v>
      </c>
      <c r="I149" t="s">
        <v>236</v>
      </c>
      <c r="J149" t="s">
        <v>1533</v>
      </c>
      <c r="K149">
        <v>4.9333313181364201E-5</v>
      </c>
      <c r="L149" t="s">
        <v>238</v>
      </c>
      <c r="N149" t="s">
        <v>346</v>
      </c>
      <c r="O149" t="s">
        <v>1533</v>
      </c>
      <c r="P149">
        <v>6.4293255151790483E-6</v>
      </c>
      <c r="Q149" t="s">
        <v>238</v>
      </c>
      <c r="S149" t="s">
        <v>347</v>
      </c>
      <c r="T149" t="s">
        <v>1533</v>
      </c>
      <c r="U149">
        <v>2.202802542264274E-5</v>
      </c>
      <c r="V149" t="s">
        <v>238</v>
      </c>
      <c r="X149">
        <v>1.1415525114155251E-4</v>
      </c>
      <c r="Y149">
        <v>1.7237235744060203E-4</v>
      </c>
      <c r="Z149" t="s">
        <v>1533</v>
      </c>
      <c r="AA149" t="s">
        <v>25</v>
      </c>
      <c r="AC149" t="s">
        <v>22</v>
      </c>
      <c r="AD149" t="s">
        <v>1533</v>
      </c>
      <c r="AE149">
        <v>1.2187516854046328E-4</v>
      </c>
      <c r="AG149" t="s">
        <v>97</v>
      </c>
      <c r="AH149" t="s">
        <v>1533</v>
      </c>
      <c r="AI149">
        <v>0</v>
      </c>
    </row>
    <row r="150" spans="5:35" x14ac:dyDescent="0.45">
      <c r="E150" t="s">
        <v>836</v>
      </c>
      <c r="G150" t="s">
        <v>156</v>
      </c>
      <c r="I150" t="s">
        <v>236</v>
      </c>
      <c r="J150" t="s">
        <v>1534</v>
      </c>
      <c r="K150">
        <v>0</v>
      </c>
      <c r="L150" t="s">
        <v>238</v>
      </c>
      <c r="N150" t="s">
        <v>346</v>
      </c>
      <c r="O150" t="s">
        <v>1534</v>
      </c>
      <c r="P150">
        <v>6.1143166421162232E-6</v>
      </c>
      <c r="Q150" t="s">
        <v>238</v>
      </c>
      <c r="S150" t="s">
        <v>347</v>
      </c>
      <c r="T150" t="s">
        <v>1534</v>
      </c>
      <c r="U150">
        <v>1.7686689135513607E-5</v>
      </c>
      <c r="V150" t="s">
        <v>238</v>
      </c>
      <c r="X150">
        <v>1.1415525114155251E-4</v>
      </c>
      <c r="Y150">
        <v>1.5579809230208258E-4</v>
      </c>
      <c r="Z150" t="s">
        <v>1534</v>
      </c>
      <c r="AA150" t="s">
        <v>25</v>
      </c>
      <c r="AC150" t="s">
        <v>22</v>
      </c>
      <c r="AD150" t="s">
        <v>1534</v>
      </c>
      <c r="AE150">
        <v>1.2136210640182711E-4</v>
      </c>
      <c r="AG150" t="s">
        <v>97</v>
      </c>
      <c r="AH150" t="s">
        <v>1534</v>
      </c>
      <c r="AI150">
        <v>0</v>
      </c>
    </row>
    <row r="151" spans="5:35" x14ac:dyDescent="0.45">
      <c r="E151" t="s">
        <v>837</v>
      </c>
      <c r="G151" t="s">
        <v>156</v>
      </c>
      <c r="I151" t="s">
        <v>236</v>
      </c>
      <c r="J151" t="s">
        <v>1535</v>
      </c>
      <c r="K151">
        <v>0</v>
      </c>
      <c r="L151" t="s">
        <v>238</v>
      </c>
      <c r="N151" t="s">
        <v>346</v>
      </c>
      <c r="O151" t="s">
        <v>1535</v>
      </c>
      <c r="P151">
        <v>5.3101037874782311E-6</v>
      </c>
      <c r="Q151" t="s">
        <v>238</v>
      </c>
      <c r="S151" t="s">
        <v>347</v>
      </c>
      <c r="T151" t="s">
        <v>1535</v>
      </c>
      <c r="U151">
        <v>1.1974333991471132E-5</v>
      </c>
      <c r="V151" t="s">
        <v>238</v>
      </c>
      <c r="X151">
        <v>1.1415525114155251E-4</v>
      </c>
      <c r="Y151">
        <v>1.093901499142282E-4</v>
      </c>
      <c r="Z151" t="s">
        <v>1535</v>
      </c>
      <c r="AA151" t="s">
        <v>25</v>
      </c>
      <c r="AC151" t="s">
        <v>22</v>
      </c>
      <c r="AD151" t="s">
        <v>1535</v>
      </c>
      <c r="AE151">
        <v>1.1251393421205137E-4</v>
      </c>
      <c r="AG151" t="s">
        <v>97</v>
      </c>
      <c r="AH151" t="s">
        <v>1535</v>
      </c>
      <c r="AI151">
        <v>0</v>
      </c>
    </row>
    <row r="152" spans="5:35" x14ac:dyDescent="0.45">
      <c r="E152" t="s">
        <v>838</v>
      </c>
      <c r="G152" t="s">
        <v>156</v>
      </c>
      <c r="I152" t="s">
        <v>236</v>
      </c>
      <c r="J152" t="s">
        <v>1536</v>
      </c>
      <c r="K152">
        <v>0</v>
      </c>
      <c r="L152" t="s">
        <v>238</v>
      </c>
      <c r="N152" t="s">
        <v>346</v>
      </c>
      <c r="O152" t="s">
        <v>1536</v>
      </c>
      <c r="P152">
        <v>3.6924842212190343E-6</v>
      </c>
      <c r="Q152" t="s">
        <v>238</v>
      </c>
      <c r="S152" t="s">
        <v>347</v>
      </c>
      <c r="T152" t="s">
        <v>1536</v>
      </c>
      <c r="U152">
        <v>6.5307745151188652E-6</v>
      </c>
      <c r="V152" t="s">
        <v>238</v>
      </c>
      <c r="X152">
        <v>1.1415525114155251E-4</v>
      </c>
      <c r="Y152">
        <v>7.9556472664893237E-5</v>
      </c>
      <c r="Z152" t="s">
        <v>1536</v>
      </c>
      <c r="AA152" t="s">
        <v>25</v>
      </c>
      <c r="AC152" t="s">
        <v>22</v>
      </c>
      <c r="AD152" t="s">
        <v>1536</v>
      </c>
      <c r="AE152">
        <v>1.0280874761192809E-4</v>
      </c>
      <c r="AG152" t="s">
        <v>97</v>
      </c>
      <c r="AH152" t="s">
        <v>1536</v>
      </c>
      <c r="AI152">
        <v>0</v>
      </c>
    </row>
    <row r="153" spans="5:35" x14ac:dyDescent="0.45">
      <c r="E153" t="s">
        <v>839</v>
      </c>
      <c r="G153" t="s">
        <v>156</v>
      </c>
      <c r="I153" t="s">
        <v>236</v>
      </c>
      <c r="J153" t="s">
        <v>1537</v>
      </c>
      <c r="K153">
        <v>0</v>
      </c>
      <c r="L153" t="s">
        <v>238</v>
      </c>
      <c r="N153" t="s">
        <v>346</v>
      </c>
      <c r="O153" t="s">
        <v>1537</v>
      </c>
      <c r="P153">
        <v>8.997019810905912E-6</v>
      </c>
      <c r="Q153" t="s">
        <v>238</v>
      </c>
      <c r="S153" t="s">
        <v>347</v>
      </c>
      <c r="T153" t="s">
        <v>1537</v>
      </c>
      <c r="U153">
        <v>1.2101363509267898E-5</v>
      </c>
      <c r="V153" t="s">
        <v>238</v>
      </c>
      <c r="X153">
        <v>1.1415525114155251E-4</v>
      </c>
      <c r="Y153">
        <v>5.6352501470966035E-5</v>
      </c>
      <c r="Z153" t="s">
        <v>1537</v>
      </c>
      <c r="AA153" t="s">
        <v>25</v>
      </c>
      <c r="AC153" t="s">
        <v>22</v>
      </c>
      <c r="AD153" t="s">
        <v>1537</v>
      </c>
      <c r="AE153">
        <v>8.6906687583137776E-5</v>
      </c>
      <c r="AG153" t="s">
        <v>97</v>
      </c>
      <c r="AH153" t="s">
        <v>1537</v>
      </c>
      <c r="AI153">
        <v>0</v>
      </c>
    </row>
    <row r="154" spans="5:35" x14ac:dyDescent="0.45">
      <c r="E154" t="s">
        <v>840</v>
      </c>
      <c r="G154" t="s">
        <v>156</v>
      </c>
      <c r="I154" t="s">
        <v>236</v>
      </c>
      <c r="J154" t="s">
        <v>1538</v>
      </c>
      <c r="K154">
        <v>0</v>
      </c>
      <c r="L154" t="s">
        <v>238</v>
      </c>
      <c r="N154" t="s">
        <v>346</v>
      </c>
      <c r="O154" t="s">
        <v>1538</v>
      </c>
      <c r="P154">
        <v>8.7578827098533106E-6</v>
      </c>
      <c r="Q154" t="s">
        <v>238</v>
      </c>
      <c r="S154" t="s">
        <v>347</v>
      </c>
      <c r="T154" t="s">
        <v>1538</v>
      </c>
      <c r="U154">
        <v>1.3066268979345072E-5</v>
      </c>
      <c r="V154" t="s">
        <v>238</v>
      </c>
      <c r="X154">
        <v>1.1415525114155251E-4</v>
      </c>
      <c r="Y154">
        <v>2.9833677249334962E-5</v>
      </c>
      <c r="Z154" t="s">
        <v>1538</v>
      </c>
      <c r="AA154" t="s">
        <v>25</v>
      </c>
      <c r="AC154" t="s">
        <v>22</v>
      </c>
      <c r="AD154" t="s">
        <v>1538</v>
      </c>
      <c r="AE154">
        <v>7.4624725214109924E-5</v>
      </c>
      <c r="AG154" t="s">
        <v>97</v>
      </c>
      <c r="AH154" t="s">
        <v>1538</v>
      </c>
      <c r="AI154">
        <v>0</v>
      </c>
    </row>
    <row r="155" spans="5:35" x14ac:dyDescent="0.45">
      <c r="E155" t="s">
        <v>841</v>
      </c>
      <c r="G155" t="s">
        <v>156</v>
      </c>
      <c r="I155" t="s">
        <v>236</v>
      </c>
      <c r="J155" t="s">
        <v>1539</v>
      </c>
      <c r="K155">
        <v>0</v>
      </c>
      <c r="L155" t="s">
        <v>238</v>
      </c>
      <c r="N155" t="s">
        <v>346</v>
      </c>
      <c r="O155" t="s">
        <v>1539</v>
      </c>
      <c r="P155">
        <v>1.0915547836680988E-5</v>
      </c>
      <c r="Q155" t="s">
        <v>238</v>
      </c>
      <c r="S155" t="s">
        <v>347</v>
      </c>
      <c r="T155" t="s">
        <v>1539</v>
      </c>
      <c r="U155">
        <v>1.3458033219619705E-5</v>
      </c>
      <c r="V155" t="s">
        <v>238</v>
      </c>
      <c r="X155">
        <v>1.1415525114155251E-4</v>
      </c>
      <c r="Y155">
        <v>2.1546544680075254E-5</v>
      </c>
      <c r="Z155" t="s">
        <v>1539</v>
      </c>
      <c r="AA155" t="s">
        <v>25</v>
      </c>
      <c r="AC155" t="s">
        <v>22</v>
      </c>
      <c r="AD155" t="s">
        <v>1539</v>
      </c>
      <c r="AE155">
        <v>6.6986118513185958E-5</v>
      </c>
      <c r="AG155" t="s">
        <v>97</v>
      </c>
      <c r="AH155" t="s">
        <v>1539</v>
      </c>
      <c r="AI155">
        <v>0</v>
      </c>
    </row>
    <row r="156" spans="5:35" x14ac:dyDescent="0.45">
      <c r="E156" t="s">
        <v>842</v>
      </c>
      <c r="G156" t="s">
        <v>156</v>
      </c>
      <c r="I156" t="s">
        <v>236</v>
      </c>
      <c r="J156" t="s">
        <v>1540</v>
      </c>
      <c r="K156">
        <v>0</v>
      </c>
      <c r="L156" t="s">
        <v>238</v>
      </c>
      <c r="N156" t="s">
        <v>346</v>
      </c>
      <c r="O156" t="s">
        <v>1540</v>
      </c>
      <c r="P156">
        <v>1.2496168645358876E-5</v>
      </c>
      <c r="Q156" t="s">
        <v>238</v>
      </c>
      <c r="S156" t="s">
        <v>347</v>
      </c>
      <c r="T156" t="s">
        <v>1540</v>
      </c>
      <c r="U156">
        <v>1.2644403851873736E-5</v>
      </c>
      <c r="V156" t="s">
        <v>238</v>
      </c>
      <c r="X156">
        <v>1.1415525114155251E-4</v>
      </c>
      <c r="Y156">
        <v>1.4916838624667481E-5</v>
      </c>
      <c r="Z156" t="s">
        <v>1540</v>
      </c>
      <c r="AA156" t="s">
        <v>25</v>
      </c>
      <c r="AC156" t="s">
        <v>22</v>
      </c>
      <c r="AD156" t="s">
        <v>1540</v>
      </c>
      <c r="AE156">
        <v>6.5713495107853789E-5</v>
      </c>
      <c r="AG156" t="s">
        <v>97</v>
      </c>
      <c r="AH156" t="s">
        <v>1540</v>
      </c>
      <c r="AI156">
        <v>0</v>
      </c>
    </row>
    <row r="157" spans="5:35" x14ac:dyDescent="0.45">
      <c r="E157" t="s">
        <v>843</v>
      </c>
      <c r="G157" t="s">
        <v>156</v>
      </c>
      <c r="I157" t="s">
        <v>236</v>
      </c>
      <c r="J157" t="s">
        <v>1541</v>
      </c>
      <c r="K157">
        <v>0</v>
      </c>
      <c r="L157" t="s">
        <v>238</v>
      </c>
      <c r="N157" t="s">
        <v>346</v>
      </c>
      <c r="O157" t="s">
        <v>1541</v>
      </c>
      <c r="P157">
        <v>1.2443946932921668E-5</v>
      </c>
      <c r="Q157" t="s">
        <v>238</v>
      </c>
      <c r="S157" t="s">
        <v>347</v>
      </c>
      <c r="T157" t="s">
        <v>1541</v>
      </c>
      <c r="U157">
        <v>1.2356750700349888E-5</v>
      </c>
      <c r="V157" t="s">
        <v>238</v>
      </c>
      <c r="X157">
        <v>1.1415525114155251E-4</v>
      </c>
      <c r="Y157">
        <v>1.6574265138519424E-5</v>
      </c>
      <c r="Z157" t="s">
        <v>1541</v>
      </c>
      <c r="AA157" t="s">
        <v>25</v>
      </c>
      <c r="AC157" t="s">
        <v>22</v>
      </c>
      <c r="AD157" t="s">
        <v>1541</v>
      </c>
      <c r="AE157">
        <v>6.5713495107853789E-5</v>
      </c>
      <c r="AG157" t="s">
        <v>97</v>
      </c>
      <c r="AH157" t="s">
        <v>1541</v>
      </c>
      <c r="AI157">
        <v>0</v>
      </c>
    </row>
    <row r="158" spans="5:35" x14ac:dyDescent="0.45">
      <c r="E158" t="s">
        <v>844</v>
      </c>
      <c r="G158" t="s">
        <v>156</v>
      </c>
      <c r="I158" t="s">
        <v>236</v>
      </c>
      <c r="J158" t="s">
        <v>1542</v>
      </c>
      <c r="K158">
        <v>0</v>
      </c>
      <c r="L158" t="s">
        <v>238</v>
      </c>
      <c r="N158" t="s">
        <v>346</v>
      </c>
      <c r="O158" t="s">
        <v>1542</v>
      </c>
      <c r="P158">
        <v>1.4766194386076651E-5</v>
      </c>
      <c r="Q158" t="s">
        <v>238</v>
      </c>
      <c r="S158" t="s">
        <v>347</v>
      </c>
      <c r="T158" t="s">
        <v>1542</v>
      </c>
      <c r="U158">
        <v>1.0714263864816144E-5</v>
      </c>
      <c r="V158" t="s">
        <v>238</v>
      </c>
      <c r="X158">
        <v>1.1415525114155251E-4</v>
      </c>
      <c r="Y158">
        <v>1.4585353321897093E-5</v>
      </c>
      <c r="Z158" t="s">
        <v>1542</v>
      </c>
      <c r="AA158" t="s">
        <v>25</v>
      </c>
      <c r="AC158" t="s">
        <v>22</v>
      </c>
      <c r="AD158" t="s">
        <v>1542</v>
      </c>
      <c r="AE158">
        <v>6.645872502989515E-5</v>
      </c>
      <c r="AG158" t="s">
        <v>97</v>
      </c>
      <c r="AH158" t="s">
        <v>1542</v>
      </c>
      <c r="AI158">
        <v>0</v>
      </c>
    </row>
    <row r="159" spans="5:35" x14ac:dyDescent="0.45">
      <c r="E159" t="s">
        <v>845</v>
      </c>
      <c r="G159" t="s">
        <v>156</v>
      </c>
      <c r="I159" t="s">
        <v>236</v>
      </c>
      <c r="J159" t="s">
        <v>1543</v>
      </c>
      <c r="K159">
        <v>0</v>
      </c>
      <c r="L159" t="s">
        <v>238</v>
      </c>
      <c r="N159" t="s">
        <v>346</v>
      </c>
      <c r="O159" t="s">
        <v>1543</v>
      </c>
      <c r="P159">
        <v>1.4846707249133597E-5</v>
      </c>
      <c r="Q159" t="s">
        <v>238</v>
      </c>
      <c r="S159" t="s">
        <v>347</v>
      </c>
      <c r="T159" t="s">
        <v>1543</v>
      </c>
      <c r="U159">
        <v>1.0101857170938575E-5</v>
      </c>
      <c r="V159" t="s">
        <v>238</v>
      </c>
      <c r="X159">
        <v>1.1415525114155251E-4</v>
      </c>
      <c r="Y159">
        <v>2.1215059377304864E-5</v>
      </c>
      <c r="Z159" t="s">
        <v>1543</v>
      </c>
      <c r="AA159" t="s">
        <v>25</v>
      </c>
      <c r="AC159" t="s">
        <v>22</v>
      </c>
      <c r="AD159" t="s">
        <v>1543</v>
      </c>
      <c r="AE159">
        <v>7.5776965324343112E-5</v>
      </c>
      <c r="AG159" t="s">
        <v>97</v>
      </c>
      <c r="AH159" t="s">
        <v>1543</v>
      </c>
      <c r="AI159">
        <v>0</v>
      </c>
    </row>
    <row r="160" spans="5:35" x14ac:dyDescent="0.45">
      <c r="E160" t="s">
        <v>846</v>
      </c>
      <c r="G160" t="s">
        <v>156</v>
      </c>
      <c r="I160" t="s">
        <v>236</v>
      </c>
      <c r="J160" t="s">
        <v>1544</v>
      </c>
      <c r="K160">
        <v>0</v>
      </c>
      <c r="L160" t="s">
        <v>238</v>
      </c>
      <c r="N160" t="s">
        <v>346</v>
      </c>
      <c r="O160" t="s">
        <v>1544</v>
      </c>
      <c r="P160">
        <v>1.3041080954522389E-5</v>
      </c>
      <c r="Q160" t="s">
        <v>238</v>
      </c>
      <c r="S160" t="s">
        <v>347</v>
      </c>
      <c r="T160" t="s">
        <v>1544</v>
      </c>
      <c r="U160">
        <v>1.0809424454259224E-5</v>
      </c>
      <c r="V160" t="s">
        <v>238</v>
      </c>
      <c r="X160">
        <v>1.1415525114155251E-4</v>
      </c>
      <c r="Y160">
        <v>5.7678442682047593E-5</v>
      </c>
      <c r="Z160" t="s">
        <v>1544</v>
      </c>
      <c r="AA160" t="s">
        <v>25</v>
      </c>
      <c r="AC160" t="s">
        <v>22</v>
      </c>
      <c r="AD160" t="s">
        <v>1544</v>
      </c>
      <c r="AE160">
        <v>9.5809318882601115E-5</v>
      </c>
      <c r="AG160" t="s">
        <v>97</v>
      </c>
      <c r="AH160" t="s">
        <v>1544</v>
      </c>
      <c r="AI160">
        <v>0</v>
      </c>
    </row>
    <row r="161" spans="5:35" x14ac:dyDescent="0.45">
      <c r="E161" t="s">
        <v>847</v>
      </c>
      <c r="G161" t="s">
        <v>156</v>
      </c>
      <c r="I161" t="s">
        <v>236</v>
      </c>
      <c r="J161" t="s">
        <v>1545</v>
      </c>
      <c r="K161">
        <v>2.7639353748378491E-5</v>
      </c>
      <c r="L161" t="s">
        <v>238</v>
      </c>
      <c r="N161" t="s">
        <v>346</v>
      </c>
      <c r="O161" t="s">
        <v>1545</v>
      </c>
      <c r="P161">
        <v>1.1861378702202491E-5</v>
      </c>
      <c r="Q161" t="s">
        <v>238</v>
      </c>
      <c r="S161" t="s">
        <v>347</v>
      </c>
      <c r="T161" t="s">
        <v>1545</v>
      </c>
      <c r="U161">
        <v>9.4399114296684275E-6</v>
      </c>
      <c r="V161" t="s">
        <v>238</v>
      </c>
      <c r="X161">
        <v>1.1415525114155251E-4</v>
      </c>
      <c r="Y161">
        <v>1.6905750441289813E-4</v>
      </c>
      <c r="Z161" t="s">
        <v>1545</v>
      </c>
      <c r="AA161" t="s">
        <v>25</v>
      </c>
      <c r="AC161" t="s">
        <v>22</v>
      </c>
      <c r="AD161" t="s">
        <v>1545</v>
      </c>
      <c r="AE161">
        <v>1.1174004160070075E-4</v>
      </c>
      <c r="AG161" t="s">
        <v>97</v>
      </c>
      <c r="AH161" t="s">
        <v>1545</v>
      </c>
      <c r="AI161">
        <v>0</v>
      </c>
    </row>
    <row r="162" spans="5:35" x14ac:dyDescent="0.45">
      <c r="E162" t="s">
        <v>848</v>
      </c>
      <c r="G162" t="s">
        <v>156</v>
      </c>
      <c r="I162" t="s">
        <v>236</v>
      </c>
      <c r="J162" t="s">
        <v>1546</v>
      </c>
      <c r="K162">
        <v>7.472349767863048E-5</v>
      </c>
      <c r="L162" t="s">
        <v>238</v>
      </c>
      <c r="N162" t="s">
        <v>346</v>
      </c>
      <c r="O162" t="s">
        <v>1546</v>
      </c>
      <c r="P162">
        <v>7.9621303059179767E-6</v>
      </c>
      <c r="Q162" t="s">
        <v>238</v>
      </c>
      <c r="S162" t="s">
        <v>347</v>
      </c>
      <c r="T162" t="s">
        <v>1546</v>
      </c>
      <c r="U162">
        <v>5.4100225431145587E-6</v>
      </c>
      <c r="V162" t="s">
        <v>238</v>
      </c>
      <c r="X162">
        <v>1.1415525114155251E-4</v>
      </c>
      <c r="Y162">
        <v>1.9060404909297337E-4</v>
      </c>
      <c r="Z162" t="s">
        <v>1546</v>
      </c>
      <c r="AA162" t="s">
        <v>25</v>
      </c>
      <c r="AC162" t="s">
        <v>22</v>
      </c>
      <c r="AD162" t="s">
        <v>1546</v>
      </c>
      <c r="AE162">
        <v>1.2127038579603741E-4</v>
      </c>
      <c r="AG162" t="s">
        <v>97</v>
      </c>
      <c r="AH162" t="s">
        <v>1546</v>
      </c>
      <c r="AI162">
        <v>0</v>
      </c>
    </row>
    <row r="163" spans="5:35" x14ac:dyDescent="0.45">
      <c r="E163" t="s">
        <v>849</v>
      </c>
      <c r="G163" t="s">
        <v>156</v>
      </c>
      <c r="I163" t="s">
        <v>236</v>
      </c>
      <c r="J163" t="s">
        <v>1547</v>
      </c>
      <c r="K163">
        <v>1.177609920128E-4</v>
      </c>
      <c r="L163" t="s">
        <v>238</v>
      </c>
      <c r="N163" t="s">
        <v>346</v>
      </c>
      <c r="O163" t="s">
        <v>1547</v>
      </c>
      <c r="P163">
        <v>2.4112170351464371E-6</v>
      </c>
      <c r="Q163" t="s">
        <v>238</v>
      </c>
      <c r="S163" t="s">
        <v>347</v>
      </c>
      <c r="T163" t="s">
        <v>1547</v>
      </c>
      <c r="U163">
        <v>2.7103283796232424E-6</v>
      </c>
      <c r="V163" t="s">
        <v>238</v>
      </c>
      <c r="X163">
        <v>1.1415525114155251E-4</v>
      </c>
      <c r="Y163">
        <v>1.4585353321897094E-4</v>
      </c>
      <c r="Z163" t="s">
        <v>1547</v>
      </c>
      <c r="AA163" t="s">
        <v>25</v>
      </c>
      <c r="AC163" t="s">
        <v>22</v>
      </c>
      <c r="AD163" t="s">
        <v>1547</v>
      </c>
      <c r="AE163">
        <v>1.2575609667294025E-4</v>
      </c>
      <c r="AG163" t="s">
        <v>97</v>
      </c>
      <c r="AH163" t="s">
        <v>1547</v>
      </c>
      <c r="AI163">
        <v>0</v>
      </c>
    </row>
    <row r="164" spans="5:35" x14ac:dyDescent="0.45">
      <c r="E164" t="s">
        <v>850</v>
      </c>
      <c r="G164" t="s">
        <v>156</v>
      </c>
      <c r="I164" t="s">
        <v>236</v>
      </c>
      <c r="J164" t="s">
        <v>1548</v>
      </c>
      <c r="K164">
        <v>1.6628309580149999E-4</v>
      </c>
      <c r="L164" t="s">
        <v>238</v>
      </c>
      <c r="N164" t="s">
        <v>346</v>
      </c>
      <c r="O164" t="s">
        <v>1548</v>
      </c>
      <c r="P164">
        <v>2.344530747911598E-6</v>
      </c>
      <c r="Q164" t="s">
        <v>238</v>
      </c>
      <c r="S164" t="s">
        <v>347</v>
      </c>
      <c r="T164" t="s">
        <v>1548</v>
      </c>
      <c r="U164">
        <v>2.0630206097635732E-6</v>
      </c>
      <c r="V164" t="s">
        <v>238</v>
      </c>
      <c r="X164">
        <v>1.1415525114155251E-4</v>
      </c>
      <c r="Y164">
        <v>1.4452759200788939E-4</v>
      </c>
      <c r="Z164" t="s">
        <v>1548</v>
      </c>
      <c r="AA164" t="s">
        <v>25</v>
      </c>
      <c r="AC164" t="s">
        <v>22</v>
      </c>
      <c r="AD164" t="s">
        <v>1548</v>
      </c>
      <c r="AE164">
        <v>1.2480449538787201E-4</v>
      </c>
      <c r="AG164" t="s">
        <v>97</v>
      </c>
      <c r="AH164" t="s">
        <v>1548</v>
      </c>
      <c r="AI164">
        <v>0</v>
      </c>
    </row>
    <row r="165" spans="5:35" x14ac:dyDescent="0.45">
      <c r="E165" t="s">
        <v>851</v>
      </c>
      <c r="G165" t="s">
        <v>156</v>
      </c>
      <c r="I165" t="s">
        <v>236</v>
      </c>
      <c r="J165" t="s">
        <v>1549</v>
      </c>
      <c r="K165">
        <v>2.0154538059960001E-4</v>
      </c>
      <c r="L165" t="s">
        <v>238</v>
      </c>
      <c r="N165" t="s">
        <v>346</v>
      </c>
      <c r="O165" t="s">
        <v>1549</v>
      </c>
      <c r="P165">
        <v>2.239821427587968E-6</v>
      </c>
      <c r="Q165" t="s">
        <v>238</v>
      </c>
      <c r="S165" t="s">
        <v>347</v>
      </c>
      <c r="T165" t="s">
        <v>1549</v>
      </c>
      <c r="U165">
        <v>1.8707037815996199E-6</v>
      </c>
      <c r="V165" t="s">
        <v>238</v>
      </c>
      <c r="X165">
        <v>1.1415525114155251E-4</v>
      </c>
      <c r="Y165">
        <v>1.408812536774151E-4</v>
      </c>
      <c r="Z165" t="s">
        <v>1549</v>
      </c>
      <c r="AA165" t="s">
        <v>25</v>
      </c>
      <c r="AC165" t="s">
        <v>22</v>
      </c>
      <c r="AD165" t="s">
        <v>1549</v>
      </c>
      <c r="AE165">
        <v>1.2459812402484518E-4</v>
      </c>
      <c r="AG165" t="s">
        <v>97</v>
      </c>
      <c r="AH165" t="s">
        <v>1549</v>
      </c>
      <c r="AI165">
        <v>0</v>
      </c>
    </row>
    <row r="166" spans="5:35" x14ac:dyDescent="0.45">
      <c r="E166" t="s">
        <v>852</v>
      </c>
      <c r="G166" t="s">
        <v>156</v>
      </c>
      <c r="I166" t="s">
        <v>236</v>
      </c>
      <c r="J166" t="s">
        <v>1550</v>
      </c>
      <c r="K166">
        <v>2.3828826552319999E-4</v>
      </c>
      <c r="L166" t="s">
        <v>238</v>
      </c>
      <c r="N166" t="s">
        <v>346</v>
      </c>
      <c r="O166" t="s">
        <v>1550</v>
      </c>
      <c r="P166">
        <v>4.2049325399276126E-6</v>
      </c>
      <c r="Q166" t="s">
        <v>238</v>
      </c>
      <c r="S166" t="s">
        <v>347</v>
      </c>
      <c r="T166" t="s">
        <v>1550</v>
      </c>
      <c r="U166">
        <v>2.9067166570841881E-6</v>
      </c>
      <c r="V166" t="s">
        <v>238</v>
      </c>
      <c r="X166">
        <v>1.1415525114155251E-4</v>
      </c>
      <c r="Y166">
        <v>1.4054976837464471E-4</v>
      </c>
      <c r="Z166" t="s">
        <v>1550</v>
      </c>
      <c r="AA166" t="s">
        <v>25</v>
      </c>
      <c r="AC166" t="s">
        <v>22</v>
      </c>
      <c r="AD166" t="s">
        <v>1550</v>
      </c>
      <c r="AE166">
        <v>1.2481882673252666E-4</v>
      </c>
      <c r="AG166" t="s">
        <v>97</v>
      </c>
      <c r="AH166" t="s">
        <v>1550</v>
      </c>
      <c r="AI166">
        <v>0</v>
      </c>
    </row>
    <row r="167" spans="5:35" x14ac:dyDescent="0.45">
      <c r="E167" t="s">
        <v>853</v>
      </c>
      <c r="G167" t="s">
        <v>156</v>
      </c>
      <c r="I167" t="s">
        <v>236</v>
      </c>
      <c r="J167" t="s">
        <v>1551</v>
      </c>
      <c r="K167">
        <v>2.4958082457069997E-4</v>
      </c>
      <c r="L167" t="s">
        <v>238</v>
      </c>
      <c r="N167" t="s">
        <v>346</v>
      </c>
      <c r="O167" t="s">
        <v>1551</v>
      </c>
      <c r="P167">
        <v>7.7563961021771862E-6</v>
      </c>
      <c r="Q167" t="s">
        <v>238</v>
      </c>
      <c r="S167" t="s">
        <v>347</v>
      </c>
      <c r="T167" t="s">
        <v>1551</v>
      </c>
      <c r="U167">
        <v>5.0319663505503965E-6</v>
      </c>
      <c r="V167" t="s">
        <v>238</v>
      </c>
      <c r="X167">
        <v>1.1415525114155251E-4</v>
      </c>
      <c r="Y167">
        <v>1.4253868019126702E-4</v>
      </c>
      <c r="Z167" t="s">
        <v>1551</v>
      </c>
      <c r="AA167" t="s">
        <v>25</v>
      </c>
      <c r="AC167" t="s">
        <v>22</v>
      </c>
      <c r="AD167" t="s">
        <v>1551</v>
      </c>
      <c r="AE167">
        <v>1.2481882673252663E-4</v>
      </c>
      <c r="AG167" t="s">
        <v>97</v>
      </c>
      <c r="AH167" t="s">
        <v>1551</v>
      </c>
      <c r="AI167">
        <v>0</v>
      </c>
    </row>
    <row r="168" spans="5:35" x14ac:dyDescent="0.45">
      <c r="E168" t="s">
        <v>854</v>
      </c>
      <c r="G168" t="s">
        <v>156</v>
      </c>
      <c r="I168" t="s">
        <v>236</v>
      </c>
      <c r="J168" t="s">
        <v>1552</v>
      </c>
      <c r="K168">
        <v>2.7213044955760001E-4</v>
      </c>
      <c r="L168" t="s">
        <v>238</v>
      </c>
      <c r="N168" t="s">
        <v>346</v>
      </c>
      <c r="O168" t="s">
        <v>1552</v>
      </c>
      <c r="P168">
        <v>1.2118474134766042E-5</v>
      </c>
      <c r="Q168" t="s">
        <v>238</v>
      </c>
      <c r="S168" t="s">
        <v>347</v>
      </c>
      <c r="T168" t="s">
        <v>1552</v>
      </c>
      <c r="U168">
        <v>9.1599442701671578E-6</v>
      </c>
      <c r="V168" t="s">
        <v>238</v>
      </c>
      <c r="X168">
        <v>1.1415525114155251E-4</v>
      </c>
      <c r="Y168">
        <v>1.4883690094390442E-4</v>
      </c>
      <c r="Z168" t="s">
        <v>1552</v>
      </c>
      <c r="AA168" t="s">
        <v>25</v>
      </c>
      <c r="AC168" t="s">
        <v>22</v>
      </c>
      <c r="AD168" t="s">
        <v>1552</v>
      </c>
      <c r="AE168">
        <v>1.2358059855436564E-4</v>
      </c>
      <c r="AG168" t="s">
        <v>97</v>
      </c>
      <c r="AH168" t="s">
        <v>1552</v>
      </c>
      <c r="AI168">
        <v>0</v>
      </c>
    </row>
    <row r="169" spans="5:35" x14ac:dyDescent="0.45">
      <c r="E169" t="s">
        <v>855</v>
      </c>
      <c r="G169" t="s">
        <v>156</v>
      </c>
      <c r="I169" t="s">
        <v>236</v>
      </c>
      <c r="J169" t="s">
        <v>1553</v>
      </c>
      <c r="K169">
        <v>2.6541357009399999E-4</v>
      </c>
      <c r="L169" t="s">
        <v>238</v>
      </c>
      <c r="N169" t="s">
        <v>346</v>
      </c>
      <c r="O169" t="s">
        <v>1553</v>
      </c>
      <c r="P169">
        <v>1.3882922123757682E-5</v>
      </c>
      <c r="Q169" t="s">
        <v>238</v>
      </c>
      <c r="S169" t="s">
        <v>347</v>
      </c>
      <c r="T169" t="s">
        <v>1553</v>
      </c>
      <c r="U169">
        <v>1.3349257314702761E-5</v>
      </c>
      <c r="V169" t="s">
        <v>238</v>
      </c>
      <c r="X169">
        <v>1.1415525114155251E-4</v>
      </c>
      <c r="Y169">
        <v>1.5049432745775637E-4</v>
      </c>
      <c r="Z169" t="s">
        <v>1553</v>
      </c>
      <c r="AA169" t="s">
        <v>25</v>
      </c>
      <c r="AC169" t="s">
        <v>22</v>
      </c>
      <c r="AD169" t="s">
        <v>1553</v>
      </c>
      <c r="AE169">
        <v>1.2224778350148396E-4</v>
      </c>
      <c r="AG169" t="s">
        <v>97</v>
      </c>
      <c r="AH169" t="s">
        <v>1553</v>
      </c>
      <c r="AI169">
        <v>0</v>
      </c>
    </row>
    <row r="170" spans="5:35" x14ac:dyDescent="0.45">
      <c r="E170" t="s">
        <v>856</v>
      </c>
      <c r="G170" t="s">
        <v>156</v>
      </c>
      <c r="I170" t="s">
        <v>236</v>
      </c>
      <c r="J170" t="s">
        <v>1554</v>
      </c>
      <c r="K170">
        <v>2.5159375921029998E-4</v>
      </c>
      <c r="L170" t="s">
        <v>238</v>
      </c>
      <c r="N170" t="s">
        <v>346</v>
      </c>
      <c r="O170" t="s">
        <v>1554</v>
      </c>
      <c r="P170">
        <v>1.4349091717850816E-5</v>
      </c>
      <c r="Q170" t="s">
        <v>238</v>
      </c>
      <c r="S170" t="s">
        <v>347</v>
      </c>
      <c r="T170" t="s">
        <v>1554</v>
      </c>
      <c r="U170">
        <v>1.8813480089088554E-5</v>
      </c>
      <c r="V170" t="s">
        <v>238</v>
      </c>
      <c r="X170">
        <v>1.1415525114155251E-4</v>
      </c>
      <c r="Y170">
        <v>1.7237235744060203E-4</v>
      </c>
      <c r="Z170" t="s">
        <v>1554</v>
      </c>
      <c r="AA170" t="s">
        <v>25</v>
      </c>
      <c r="AC170" t="s">
        <v>22</v>
      </c>
      <c r="AD170" t="s">
        <v>1554</v>
      </c>
      <c r="AE170">
        <v>1.2236530052765207E-4</v>
      </c>
      <c r="AG170" t="s">
        <v>97</v>
      </c>
      <c r="AH170" t="s">
        <v>1554</v>
      </c>
      <c r="AI170">
        <v>0</v>
      </c>
    </row>
    <row r="171" spans="5:35" x14ac:dyDescent="0.45">
      <c r="E171" t="s">
        <v>857</v>
      </c>
      <c r="G171" t="s">
        <v>156</v>
      </c>
      <c r="I171" t="s">
        <v>236</v>
      </c>
      <c r="J171" t="s">
        <v>1555</v>
      </c>
      <c r="K171">
        <v>2.0589320417580001E-4</v>
      </c>
      <c r="L171" t="s">
        <v>238</v>
      </c>
      <c r="N171" t="s">
        <v>346</v>
      </c>
      <c r="O171" t="s">
        <v>1555</v>
      </c>
      <c r="P171">
        <v>1.3947991863364909E-5</v>
      </c>
      <c r="Q171" t="s">
        <v>238</v>
      </c>
      <c r="S171" t="s">
        <v>347</v>
      </c>
      <c r="T171" t="s">
        <v>1555</v>
      </c>
      <c r="U171">
        <v>2.1810899568377877E-5</v>
      </c>
      <c r="V171" t="s">
        <v>238</v>
      </c>
      <c r="X171">
        <v>1.1415525114155251E-4</v>
      </c>
      <c r="Y171">
        <v>2.2209515285616027E-4</v>
      </c>
      <c r="Z171" t="s">
        <v>1555</v>
      </c>
      <c r="AA171" t="s">
        <v>25</v>
      </c>
      <c r="AC171" t="s">
        <v>22</v>
      </c>
      <c r="AD171" t="s">
        <v>1555</v>
      </c>
      <c r="AE171">
        <v>1.2196115660839114E-4</v>
      </c>
      <c r="AG171" t="s">
        <v>97</v>
      </c>
      <c r="AH171" t="s">
        <v>1555</v>
      </c>
      <c r="AI171">
        <v>0</v>
      </c>
    </row>
    <row r="172" spans="5:35" x14ac:dyDescent="0.45">
      <c r="E172" t="s">
        <v>858</v>
      </c>
      <c r="G172" t="s">
        <v>156</v>
      </c>
      <c r="I172" t="s">
        <v>236</v>
      </c>
      <c r="J172" t="s">
        <v>1556</v>
      </c>
      <c r="K172">
        <v>1.6590141032059999E-4</v>
      </c>
      <c r="L172" t="s">
        <v>238</v>
      </c>
      <c r="N172" t="s">
        <v>346</v>
      </c>
      <c r="O172" t="s">
        <v>1556</v>
      </c>
      <c r="P172">
        <v>1.406914768875011E-5</v>
      </c>
      <c r="Q172" t="s">
        <v>238</v>
      </c>
      <c r="S172" t="s">
        <v>347</v>
      </c>
      <c r="T172" t="s">
        <v>1556</v>
      </c>
      <c r="U172">
        <v>2.3401507712407837E-5</v>
      </c>
      <c r="V172" t="s">
        <v>238</v>
      </c>
      <c r="X172">
        <v>1.1415525114155251E-4</v>
      </c>
      <c r="Y172">
        <v>2.2209515285616027E-4</v>
      </c>
      <c r="Z172" t="s">
        <v>1556</v>
      </c>
      <c r="AA172" t="s">
        <v>25</v>
      </c>
      <c r="AC172" t="s">
        <v>22</v>
      </c>
      <c r="AD172" t="s">
        <v>1556</v>
      </c>
      <c r="AE172">
        <v>1.2196115660839114E-4</v>
      </c>
      <c r="AG172" t="s">
        <v>97</v>
      </c>
      <c r="AH172" t="s">
        <v>1556</v>
      </c>
      <c r="AI172">
        <v>0</v>
      </c>
    </row>
    <row r="173" spans="5:35" x14ac:dyDescent="0.45">
      <c r="E173" t="s">
        <v>859</v>
      </c>
      <c r="G173" t="s">
        <v>156</v>
      </c>
      <c r="I173" t="s">
        <v>236</v>
      </c>
      <c r="J173" t="s">
        <v>1557</v>
      </c>
      <c r="K173">
        <v>5.6153300261893537E-5</v>
      </c>
      <c r="L173" t="s">
        <v>238</v>
      </c>
      <c r="N173" t="s">
        <v>346</v>
      </c>
      <c r="O173" t="s">
        <v>1557</v>
      </c>
      <c r="P173">
        <v>1.5471900646167297E-5</v>
      </c>
      <c r="Q173" t="s">
        <v>238</v>
      </c>
      <c r="S173" t="s">
        <v>347</v>
      </c>
      <c r="T173" t="s">
        <v>1557</v>
      </c>
      <c r="U173">
        <v>2.736181776340209E-5</v>
      </c>
      <c r="V173" t="s">
        <v>238</v>
      </c>
      <c r="X173">
        <v>1.1415525114155251E-4</v>
      </c>
      <c r="Y173">
        <v>1.7237235744060203E-4</v>
      </c>
      <c r="Z173" t="s">
        <v>1557</v>
      </c>
      <c r="AA173" t="s">
        <v>25</v>
      </c>
      <c r="AC173" t="s">
        <v>22</v>
      </c>
      <c r="AD173" t="s">
        <v>1557</v>
      </c>
      <c r="AE173">
        <v>1.2172325628712408E-4</v>
      </c>
      <c r="AG173" t="s">
        <v>97</v>
      </c>
      <c r="AH173" t="s">
        <v>1557</v>
      </c>
      <c r="AI173">
        <v>0</v>
      </c>
    </row>
    <row r="174" spans="5:35" x14ac:dyDescent="0.45">
      <c r="E174" t="s">
        <v>860</v>
      </c>
      <c r="G174" t="s">
        <v>156</v>
      </c>
      <c r="I174" t="s">
        <v>236</v>
      </c>
      <c r="J174" t="s">
        <v>1558</v>
      </c>
      <c r="K174">
        <v>0</v>
      </c>
      <c r="L174" t="s">
        <v>238</v>
      </c>
      <c r="N174" t="s">
        <v>346</v>
      </c>
      <c r="O174" t="s">
        <v>1558</v>
      </c>
      <c r="P174">
        <v>2.0608950053573765E-5</v>
      </c>
      <c r="Q174" t="s">
        <v>238</v>
      </c>
      <c r="S174" t="s">
        <v>347</v>
      </c>
      <c r="T174" t="s">
        <v>1558</v>
      </c>
      <c r="U174">
        <v>3.6982747201027362E-5</v>
      </c>
      <c r="V174" t="s">
        <v>238</v>
      </c>
      <c r="X174">
        <v>1.1415525114155251E-4</v>
      </c>
      <c r="Y174">
        <v>1.5579809230208258E-4</v>
      </c>
      <c r="Z174" t="s">
        <v>1558</v>
      </c>
      <c r="AA174" t="s">
        <v>25</v>
      </c>
      <c r="AC174" t="s">
        <v>22</v>
      </c>
      <c r="AD174" t="s">
        <v>1558</v>
      </c>
      <c r="AE174">
        <v>1.2046209795751562E-4</v>
      </c>
      <c r="AG174" t="s">
        <v>97</v>
      </c>
      <c r="AH174" t="s">
        <v>1558</v>
      </c>
      <c r="AI174">
        <v>0</v>
      </c>
    </row>
    <row r="175" spans="5:35" x14ac:dyDescent="0.45">
      <c r="E175" t="s">
        <v>861</v>
      </c>
      <c r="G175" t="s">
        <v>156</v>
      </c>
      <c r="I175" t="s">
        <v>236</v>
      </c>
      <c r="J175" t="s">
        <v>1559</v>
      </c>
      <c r="K175">
        <v>0</v>
      </c>
      <c r="L175" t="s">
        <v>238</v>
      </c>
      <c r="N175" t="s">
        <v>346</v>
      </c>
      <c r="O175" t="s">
        <v>1559</v>
      </c>
      <c r="P175">
        <v>2.4926940656273941E-5</v>
      </c>
      <c r="Q175" t="s">
        <v>238</v>
      </c>
      <c r="S175" t="s">
        <v>347</v>
      </c>
      <c r="T175" t="s">
        <v>1559</v>
      </c>
      <c r="U175">
        <v>5.4238559379862639E-5</v>
      </c>
      <c r="V175" t="s">
        <v>238</v>
      </c>
      <c r="X175">
        <v>1.1415525114155251E-4</v>
      </c>
      <c r="Y175">
        <v>1.093901499142282E-4</v>
      </c>
      <c r="Z175" t="s">
        <v>1559</v>
      </c>
      <c r="AA175" t="s">
        <v>25</v>
      </c>
      <c r="AC175" t="s">
        <v>22</v>
      </c>
      <c r="AD175" t="s">
        <v>1559</v>
      </c>
      <c r="AE175">
        <v>1.1220151089858017E-4</v>
      </c>
      <c r="AG175" t="s">
        <v>97</v>
      </c>
      <c r="AH175" t="s">
        <v>1559</v>
      </c>
      <c r="AI175">
        <v>0</v>
      </c>
    </row>
    <row r="176" spans="5:35" x14ac:dyDescent="0.45">
      <c r="E176" t="s">
        <v>862</v>
      </c>
      <c r="G176" t="s">
        <v>156</v>
      </c>
      <c r="I176" t="s">
        <v>236</v>
      </c>
      <c r="J176" t="s">
        <v>1560</v>
      </c>
      <c r="K176">
        <v>0</v>
      </c>
      <c r="L176" t="s">
        <v>238</v>
      </c>
      <c r="N176" t="s">
        <v>346</v>
      </c>
      <c r="O176" t="s">
        <v>1560</v>
      </c>
      <c r="P176">
        <v>2.6425289722153849E-5</v>
      </c>
      <c r="Q176" t="s">
        <v>238</v>
      </c>
      <c r="S176" t="s">
        <v>347</v>
      </c>
      <c r="T176" t="s">
        <v>1560</v>
      </c>
      <c r="U176">
        <v>7.0391170511085514E-5</v>
      </c>
      <c r="V176" t="s">
        <v>238</v>
      </c>
      <c r="X176">
        <v>1.1415525114155251E-4</v>
      </c>
      <c r="Y176">
        <v>7.9556472664893237E-5</v>
      </c>
      <c r="Z176" t="s">
        <v>1560</v>
      </c>
      <c r="AA176" t="s">
        <v>25</v>
      </c>
      <c r="AC176" t="s">
        <v>22</v>
      </c>
      <c r="AD176" t="s">
        <v>1560</v>
      </c>
      <c r="AE176">
        <v>1.0399538294933244E-4</v>
      </c>
      <c r="AG176" t="s">
        <v>97</v>
      </c>
      <c r="AH176" t="s">
        <v>1560</v>
      </c>
      <c r="AI176">
        <v>0</v>
      </c>
    </row>
    <row r="177" spans="5:35" x14ac:dyDescent="0.45">
      <c r="E177" t="s">
        <v>863</v>
      </c>
      <c r="G177" t="s">
        <v>156</v>
      </c>
      <c r="I177" t="s">
        <v>236</v>
      </c>
      <c r="J177" t="s">
        <v>1561</v>
      </c>
      <c r="K177">
        <v>0</v>
      </c>
      <c r="L177" t="s">
        <v>238</v>
      </c>
      <c r="N177" t="s">
        <v>346</v>
      </c>
      <c r="O177" t="s">
        <v>1561</v>
      </c>
      <c r="P177">
        <v>2.6706807128911105E-5</v>
      </c>
      <c r="Q177" t="s">
        <v>238</v>
      </c>
      <c r="S177" t="s">
        <v>347</v>
      </c>
      <c r="T177" t="s">
        <v>1561</v>
      </c>
      <c r="U177">
        <v>7.9494874619991254E-5</v>
      </c>
      <c r="V177" t="s">
        <v>238</v>
      </c>
      <c r="X177">
        <v>1.1415525114155251E-4</v>
      </c>
      <c r="Y177">
        <v>5.6352501470966035E-5</v>
      </c>
      <c r="Z177" t="s">
        <v>1561</v>
      </c>
      <c r="AA177" t="s">
        <v>25</v>
      </c>
      <c r="AC177" t="s">
        <v>22</v>
      </c>
      <c r="AD177" t="s">
        <v>1561</v>
      </c>
      <c r="AE177">
        <v>8.1285934209587339E-5</v>
      </c>
      <c r="AG177" t="s">
        <v>97</v>
      </c>
      <c r="AH177" t="s">
        <v>1561</v>
      </c>
      <c r="AI177">
        <v>0</v>
      </c>
    </row>
    <row r="178" spans="5:35" x14ac:dyDescent="0.45">
      <c r="E178" t="s">
        <v>864</v>
      </c>
      <c r="G178" t="s">
        <v>156</v>
      </c>
      <c r="I178" t="s">
        <v>236</v>
      </c>
      <c r="J178" t="s">
        <v>1562</v>
      </c>
      <c r="K178">
        <v>0</v>
      </c>
      <c r="L178" t="s">
        <v>238</v>
      </c>
      <c r="N178" t="s">
        <v>346</v>
      </c>
      <c r="O178" t="s">
        <v>1562</v>
      </c>
      <c r="P178">
        <v>3.2739169666567653E-5</v>
      </c>
      <c r="Q178" t="s">
        <v>238</v>
      </c>
      <c r="S178" t="s">
        <v>347</v>
      </c>
      <c r="T178" t="s">
        <v>1562</v>
      </c>
      <c r="U178">
        <v>8.7670338207969232E-5</v>
      </c>
      <c r="V178" t="s">
        <v>238</v>
      </c>
      <c r="X178">
        <v>1.1415525114155251E-4</v>
      </c>
      <c r="Y178">
        <v>2.9833677249334962E-5</v>
      </c>
      <c r="Z178" t="s">
        <v>1562</v>
      </c>
      <c r="AA178" t="s">
        <v>25</v>
      </c>
      <c r="AC178" t="s">
        <v>22</v>
      </c>
      <c r="AD178" t="s">
        <v>1562</v>
      </c>
      <c r="AE178">
        <v>6.9173081707484254E-5</v>
      </c>
      <c r="AG178" t="s">
        <v>97</v>
      </c>
      <c r="AH178" t="s">
        <v>1562</v>
      </c>
      <c r="AI178">
        <v>0</v>
      </c>
    </row>
    <row r="179" spans="5:35" x14ac:dyDescent="0.45">
      <c r="E179" t="s">
        <v>865</v>
      </c>
      <c r="G179" t="s">
        <v>156</v>
      </c>
      <c r="I179" t="s">
        <v>236</v>
      </c>
      <c r="J179" t="s">
        <v>1563</v>
      </c>
      <c r="K179">
        <v>0</v>
      </c>
      <c r="L179" t="s">
        <v>238</v>
      </c>
      <c r="N179" t="s">
        <v>346</v>
      </c>
      <c r="O179" t="s">
        <v>1563</v>
      </c>
      <c r="P179">
        <v>3.7209137795816345E-5</v>
      </c>
      <c r="Q179" t="s">
        <v>238</v>
      </c>
      <c r="S179" t="s">
        <v>347</v>
      </c>
      <c r="T179" t="s">
        <v>1563</v>
      </c>
      <c r="U179">
        <v>8.9499609381850663E-5</v>
      </c>
      <c r="V179" t="s">
        <v>238</v>
      </c>
      <c r="X179">
        <v>1.1415525114155251E-4</v>
      </c>
      <c r="Y179">
        <v>2.1546544680075254E-5</v>
      </c>
      <c r="Z179" t="s">
        <v>1563</v>
      </c>
      <c r="AA179" t="s">
        <v>25</v>
      </c>
      <c r="AC179" t="s">
        <v>22</v>
      </c>
      <c r="AD179" t="s">
        <v>1563</v>
      </c>
      <c r="AE179">
        <v>6.0370769820603388E-5</v>
      </c>
      <c r="AG179" t="s">
        <v>97</v>
      </c>
      <c r="AH179" t="s">
        <v>1563</v>
      </c>
      <c r="AI179">
        <v>0</v>
      </c>
    </row>
    <row r="180" spans="5:35" x14ac:dyDescent="0.45">
      <c r="E180" t="s">
        <v>866</v>
      </c>
      <c r="G180" t="s">
        <v>156</v>
      </c>
      <c r="I180" t="s">
        <v>236</v>
      </c>
      <c r="J180" t="s">
        <v>1564</v>
      </c>
      <c r="K180">
        <v>0</v>
      </c>
      <c r="L180" t="s">
        <v>238</v>
      </c>
      <c r="N180" t="s">
        <v>346</v>
      </c>
      <c r="O180" t="s">
        <v>1564</v>
      </c>
      <c r="P180">
        <v>3.9381856545826882E-5</v>
      </c>
      <c r="Q180" t="s">
        <v>238</v>
      </c>
      <c r="S180" t="s">
        <v>347</v>
      </c>
      <c r="T180" t="s">
        <v>1564</v>
      </c>
      <c r="U180">
        <v>8.4080095418373962E-5</v>
      </c>
      <c r="V180" t="s">
        <v>238</v>
      </c>
      <c r="X180">
        <v>1.1415525114155251E-4</v>
      </c>
      <c r="Y180">
        <v>1.4916838624667481E-5</v>
      </c>
      <c r="Z180" t="s">
        <v>1564</v>
      </c>
      <c r="AA180" t="s">
        <v>25</v>
      </c>
      <c r="AC180" t="s">
        <v>22</v>
      </c>
      <c r="AD180" t="s">
        <v>1564</v>
      </c>
      <c r="AE180">
        <v>5.652996945315944E-5</v>
      </c>
      <c r="AG180" t="s">
        <v>97</v>
      </c>
      <c r="AH180" t="s">
        <v>1564</v>
      </c>
      <c r="AI180">
        <v>0</v>
      </c>
    </row>
    <row r="181" spans="5:35" x14ac:dyDescent="0.45">
      <c r="E181" t="s">
        <v>867</v>
      </c>
      <c r="G181" t="s">
        <v>156</v>
      </c>
      <c r="I181" t="s">
        <v>236</v>
      </c>
      <c r="J181" t="s">
        <v>1565</v>
      </c>
      <c r="K181">
        <v>0</v>
      </c>
      <c r="L181" t="s">
        <v>238</v>
      </c>
      <c r="N181" t="s">
        <v>346</v>
      </c>
      <c r="O181" t="s">
        <v>1565</v>
      </c>
      <c r="P181">
        <v>4.3860217602375352E-5</v>
      </c>
      <c r="Q181" t="s">
        <v>238</v>
      </c>
      <c r="S181" t="s">
        <v>347</v>
      </c>
      <c r="T181" t="s">
        <v>1565</v>
      </c>
      <c r="U181">
        <v>8.7278055787605601E-5</v>
      </c>
      <c r="V181" t="s">
        <v>238</v>
      </c>
      <c r="X181">
        <v>1.1415525114155251E-4</v>
      </c>
      <c r="Y181">
        <v>1.6574265138519424E-5</v>
      </c>
      <c r="Z181" t="s">
        <v>1565</v>
      </c>
      <c r="AA181" t="s">
        <v>25</v>
      </c>
      <c r="AC181" t="s">
        <v>22</v>
      </c>
      <c r="AD181" t="s">
        <v>1565</v>
      </c>
      <c r="AE181">
        <v>5.652996945315944E-5</v>
      </c>
      <c r="AG181" t="s">
        <v>97</v>
      </c>
      <c r="AH181" t="s">
        <v>1565</v>
      </c>
      <c r="AI181">
        <v>0</v>
      </c>
    </row>
    <row r="182" spans="5:35" x14ac:dyDescent="0.45">
      <c r="E182" t="s">
        <v>868</v>
      </c>
      <c r="G182" t="s">
        <v>156</v>
      </c>
      <c r="I182" t="s">
        <v>236</v>
      </c>
      <c r="J182" t="s">
        <v>1566</v>
      </c>
      <c r="K182">
        <v>0</v>
      </c>
      <c r="L182" t="s">
        <v>238</v>
      </c>
      <c r="N182" t="s">
        <v>346</v>
      </c>
      <c r="O182" t="s">
        <v>1566</v>
      </c>
      <c r="P182">
        <v>4.6999473833561812E-5</v>
      </c>
      <c r="Q182" t="s">
        <v>238</v>
      </c>
      <c r="S182" t="s">
        <v>347</v>
      </c>
      <c r="T182" t="s">
        <v>1566</v>
      </c>
      <c r="U182">
        <v>9.1130459796499597E-5</v>
      </c>
      <c r="V182" t="s">
        <v>238</v>
      </c>
      <c r="X182">
        <v>1.1415525114155251E-4</v>
      </c>
      <c r="Y182">
        <v>1.4585353321897093E-5</v>
      </c>
      <c r="Z182" t="s">
        <v>1566</v>
      </c>
      <c r="AA182" t="s">
        <v>25</v>
      </c>
      <c r="AC182" t="s">
        <v>22</v>
      </c>
      <c r="AD182" t="s">
        <v>1566</v>
      </c>
      <c r="AE182">
        <v>5.6790799925873895E-5</v>
      </c>
      <c r="AG182" t="s">
        <v>97</v>
      </c>
      <c r="AH182" t="s">
        <v>1566</v>
      </c>
      <c r="AI182">
        <v>0</v>
      </c>
    </row>
    <row r="183" spans="5:35" x14ac:dyDescent="0.45">
      <c r="E183" t="s">
        <v>869</v>
      </c>
      <c r="G183" t="s">
        <v>156</v>
      </c>
      <c r="I183" t="s">
        <v>236</v>
      </c>
      <c r="J183" t="s">
        <v>1567</v>
      </c>
      <c r="K183">
        <v>0</v>
      </c>
      <c r="L183" t="s">
        <v>238</v>
      </c>
      <c r="N183" t="s">
        <v>346</v>
      </c>
      <c r="O183" t="s">
        <v>1567</v>
      </c>
      <c r="P183">
        <v>4.9549660769465127E-5</v>
      </c>
      <c r="Q183" t="s">
        <v>238</v>
      </c>
      <c r="S183" t="s">
        <v>347</v>
      </c>
      <c r="T183" t="s">
        <v>1567</v>
      </c>
      <c r="U183">
        <v>8.8521717723419435E-5</v>
      </c>
      <c r="V183" t="s">
        <v>238</v>
      </c>
      <c r="X183">
        <v>1.1415525114155251E-4</v>
      </c>
      <c r="Y183">
        <v>2.1215059377304864E-5</v>
      </c>
      <c r="Z183" t="s">
        <v>1567</v>
      </c>
      <c r="AA183" t="s">
        <v>25</v>
      </c>
      <c r="AC183" t="s">
        <v>22</v>
      </c>
      <c r="AD183" t="s">
        <v>1567</v>
      </c>
      <c r="AE183">
        <v>5.7355454905266792E-5</v>
      </c>
      <c r="AG183" t="s">
        <v>97</v>
      </c>
      <c r="AH183" t="s">
        <v>1567</v>
      </c>
      <c r="AI183">
        <v>0</v>
      </c>
    </row>
    <row r="184" spans="5:35" x14ac:dyDescent="0.45">
      <c r="E184" t="s">
        <v>870</v>
      </c>
      <c r="G184" t="s">
        <v>156</v>
      </c>
      <c r="I184" t="s">
        <v>236</v>
      </c>
      <c r="J184" t="s">
        <v>1568</v>
      </c>
      <c r="K184">
        <v>0</v>
      </c>
      <c r="L184" t="s">
        <v>238</v>
      </c>
      <c r="N184" t="s">
        <v>346</v>
      </c>
      <c r="O184" t="s">
        <v>1568</v>
      </c>
      <c r="P184">
        <v>5.5192944315198034E-5</v>
      </c>
      <c r="Q184" t="s">
        <v>238</v>
      </c>
      <c r="S184" t="s">
        <v>347</v>
      </c>
      <c r="T184" t="s">
        <v>1568</v>
      </c>
      <c r="U184">
        <v>8.2184193106072905E-5</v>
      </c>
      <c r="V184" t="s">
        <v>238</v>
      </c>
      <c r="X184">
        <v>1.1415525114155251E-4</v>
      </c>
      <c r="Y184">
        <v>5.7678442682047593E-5</v>
      </c>
      <c r="Z184" t="s">
        <v>1568</v>
      </c>
      <c r="AA184" t="s">
        <v>25</v>
      </c>
      <c r="AC184" t="s">
        <v>22</v>
      </c>
      <c r="AD184" t="s">
        <v>1568</v>
      </c>
      <c r="AE184">
        <v>5.9508022872393968E-5</v>
      </c>
      <c r="AG184" t="s">
        <v>97</v>
      </c>
      <c r="AH184" t="s">
        <v>1568</v>
      </c>
      <c r="AI184">
        <v>0</v>
      </c>
    </row>
    <row r="185" spans="5:35" x14ac:dyDescent="0.45">
      <c r="E185" t="s">
        <v>871</v>
      </c>
      <c r="G185" t="s">
        <v>156</v>
      </c>
      <c r="I185" t="s">
        <v>236</v>
      </c>
      <c r="J185" t="s">
        <v>1569</v>
      </c>
      <c r="K185">
        <v>3.4512610125409489E-5</v>
      </c>
      <c r="L185" t="s">
        <v>238</v>
      </c>
      <c r="N185" t="s">
        <v>346</v>
      </c>
      <c r="O185" t="s">
        <v>1569</v>
      </c>
      <c r="P185">
        <v>6.1134142907574298E-5</v>
      </c>
      <c r="Q185" t="s">
        <v>238</v>
      </c>
      <c r="S185" t="s">
        <v>347</v>
      </c>
      <c r="T185" t="s">
        <v>1569</v>
      </c>
      <c r="U185">
        <v>8.5519083206199884E-5</v>
      </c>
      <c r="V185" t="s">
        <v>238</v>
      </c>
      <c r="X185">
        <v>1.1415525114155251E-4</v>
      </c>
      <c r="Y185">
        <v>1.6905750441289813E-4</v>
      </c>
      <c r="Z185" t="s">
        <v>1569</v>
      </c>
      <c r="AA185" t="s">
        <v>25</v>
      </c>
      <c r="AC185" t="s">
        <v>22</v>
      </c>
      <c r="AD185" t="s">
        <v>1569</v>
      </c>
      <c r="AE185">
        <v>6.631541158334872E-5</v>
      </c>
      <c r="AG185" t="s">
        <v>97</v>
      </c>
      <c r="AH185" t="s">
        <v>1569</v>
      </c>
      <c r="AI185">
        <v>0</v>
      </c>
    </row>
    <row r="186" spans="5:35" x14ac:dyDescent="0.45">
      <c r="E186" t="s">
        <v>872</v>
      </c>
      <c r="G186" t="s">
        <v>156</v>
      </c>
      <c r="I186" t="s">
        <v>236</v>
      </c>
      <c r="J186" t="s">
        <v>1570</v>
      </c>
      <c r="K186">
        <v>7.751941656492886E-5</v>
      </c>
      <c r="L186" t="s">
        <v>238</v>
      </c>
      <c r="N186" t="s">
        <v>346</v>
      </c>
      <c r="O186" t="s">
        <v>1570</v>
      </c>
      <c r="P186">
        <v>6.629689866716521E-5</v>
      </c>
      <c r="Q186" t="s">
        <v>238</v>
      </c>
      <c r="S186" t="s">
        <v>347</v>
      </c>
      <c r="T186" t="s">
        <v>1570</v>
      </c>
      <c r="U186">
        <v>9.9783966844950445E-5</v>
      </c>
      <c r="V186" t="s">
        <v>238</v>
      </c>
      <c r="X186">
        <v>1.1415525114155251E-4</v>
      </c>
      <c r="Y186">
        <v>1.9060404909297337E-4</v>
      </c>
      <c r="Z186" t="s">
        <v>1570</v>
      </c>
      <c r="AA186" t="s">
        <v>25</v>
      </c>
      <c r="AC186" t="s">
        <v>22</v>
      </c>
      <c r="AD186" t="s">
        <v>1570</v>
      </c>
      <c r="AE186">
        <v>7.7296087857735112E-5</v>
      </c>
      <c r="AG186" t="s">
        <v>97</v>
      </c>
      <c r="AH186" t="s">
        <v>1570</v>
      </c>
      <c r="AI186">
        <v>0</v>
      </c>
    </row>
    <row r="187" spans="5:35" x14ac:dyDescent="0.45">
      <c r="E187" t="s">
        <v>873</v>
      </c>
      <c r="G187" t="s">
        <v>156</v>
      </c>
      <c r="I187" t="s">
        <v>236</v>
      </c>
      <c r="J187" t="s">
        <v>1571</v>
      </c>
      <c r="K187">
        <v>1.023921833695E-4</v>
      </c>
      <c r="L187" t="s">
        <v>238</v>
      </c>
      <c r="N187" t="s">
        <v>346</v>
      </c>
      <c r="O187" t="s">
        <v>1571</v>
      </c>
      <c r="P187">
        <v>6.4187796930064258E-5</v>
      </c>
      <c r="Q187" t="s">
        <v>238</v>
      </c>
      <c r="S187" t="s">
        <v>347</v>
      </c>
      <c r="T187" t="s">
        <v>1571</v>
      </c>
      <c r="U187">
        <v>1.095705001034E-4</v>
      </c>
      <c r="V187" t="s">
        <v>238</v>
      </c>
      <c r="X187">
        <v>1.1415525114155251E-4</v>
      </c>
      <c r="Y187">
        <v>1.4585353321897094E-4</v>
      </c>
      <c r="Z187" t="s">
        <v>1571</v>
      </c>
      <c r="AA187" t="s">
        <v>25</v>
      </c>
      <c r="AC187" t="s">
        <v>22</v>
      </c>
      <c r="AD187" t="s">
        <v>1571</v>
      </c>
      <c r="AE187">
        <v>8.9176772576432992E-5</v>
      </c>
      <c r="AG187" t="s">
        <v>97</v>
      </c>
      <c r="AH187" t="s">
        <v>1571</v>
      </c>
      <c r="AI187">
        <v>0</v>
      </c>
    </row>
    <row r="188" spans="5:35" x14ac:dyDescent="0.45">
      <c r="E188" t="s">
        <v>874</v>
      </c>
      <c r="G188" t="s">
        <v>156</v>
      </c>
      <c r="I188" t="s">
        <v>236</v>
      </c>
      <c r="J188" t="s">
        <v>1572</v>
      </c>
      <c r="K188">
        <v>1.4085289714650001E-4</v>
      </c>
      <c r="L188" t="s">
        <v>238</v>
      </c>
      <c r="N188" t="s">
        <v>346</v>
      </c>
      <c r="O188" t="s">
        <v>1572</v>
      </c>
      <c r="P188">
        <v>7.3460061889049283E-5</v>
      </c>
      <c r="Q188" t="s">
        <v>238</v>
      </c>
      <c r="S188" t="s">
        <v>347</v>
      </c>
      <c r="T188" t="s">
        <v>1572</v>
      </c>
      <c r="U188">
        <v>1.202149060301E-4</v>
      </c>
      <c r="V188" t="s">
        <v>238</v>
      </c>
      <c r="X188">
        <v>1.1415525114155251E-4</v>
      </c>
      <c r="Y188">
        <v>1.4452759200788939E-4</v>
      </c>
      <c r="Z188" t="s">
        <v>1572</v>
      </c>
      <c r="AA188" t="s">
        <v>25</v>
      </c>
      <c r="AC188" t="s">
        <v>22</v>
      </c>
      <c r="AD188" t="s">
        <v>1572</v>
      </c>
      <c r="AE188">
        <v>9.0693028840894076E-5</v>
      </c>
      <c r="AG188" t="s">
        <v>97</v>
      </c>
      <c r="AH188" t="s">
        <v>1572</v>
      </c>
      <c r="AI188">
        <v>0</v>
      </c>
    </row>
    <row r="189" spans="5:35" x14ac:dyDescent="0.45">
      <c r="E189" t="s">
        <v>875</v>
      </c>
      <c r="G189" t="s">
        <v>156</v>
      </c>
      <c r="I189" t="s">
        <v>236</v>
      </c>
      <c r="J189" t="s">
        <v>1573</v>
      </c>
      <c r="K189">
        <v>1.921905596998E-4</v>
      </c>
      <c r="L189" t="s">
        <v>238</v>
      </c>
      <c r="N189" t="s">
        <v>346</v>
      </c>
      <c r="O189" t="s">
        <v>1573</v>
      </c>
      <c r="P189">
        <v>8.016627009264575E-5</v>
      </c>
      <c r="Q189" t="s">
        <v>238</v>
      </c>
      <c r="S189" t="s">
        <v>347</v>
      </c>
      <c r="T189" t="s">
        <v>1573</v>
      </c>
      <c r="U189">
        <v>1.0634727471109999E-4</v>
      </c>
      <c r="V189" t="s">
        <v>238</v>
      </c>
      <c r="X189">
        <v>1.1415525114155251E-4</v>
      </c>
      <c r="Y189">
        <v>1.408812536774151E-4</v>
      </c>
      <c r="Z189" t="s">
        <v>1573</v>
      </c>
      <c r="AA189" t="s">
        <v>25</v>
      </c>
      <c r="AC189" t="s">
        <v>22</v>
      </c>
      <c r="AD189" t="s">
        <v>1573</v>
      </c>
      <c r="AE189">
        <v>9.0535384049693048E-5</v>
      </c>
      <c r="AG189" t="s">
        <v>97</v>
      </c>
      <c r="AH189" t="s">
        <v>1573</v>
      </c>
      <c r="AI189">
        <v>0</v>
      </c>
    </row>
    <row r="190" spans="5:35" x14ac:dyDescent="0.45">
      <c r="E190" t="s">
        <v>876</v>
      </c>
      <c r="G190" t="s">
        <v>156</v>
      </c>
      <c r="I190" t="s">
        <v>236</v>
      </c>
      <c r="J190" t="s">
        <v>1574</v>
      </c>
      <c r="K190">
        <v>2.058933384864E-4</v>
      </c>
      <c r="L190" t="s">
        <v>238</v>
      </c>
      <c r="N190" t="s">
        <v>346</v>
      </c>
      <c r="O190" t="s">
        <v>1574</v>
      </c>
      <c r="P190">
        <v>9.5247511069463406E-5</v>
      </c>
      <c r="Q190" t="s">
        <v>238</v>
      </c>
      <c r="S190" t="s">
        <v>347</v>
      </c>
      <c r="T190" t="s">
        <v>1574</v>
      </c>
      <c r="U190">
        <v>1.087447079684E-4</v>
      </c>
      <c r="V190" t="s">
        <v>238</v>
      </c>
      <c r="X190">
        <v>1.1415525114155251E-4</v>
      </c>
      <c r="Y190">
        <v>1.4054976837464471E-4</v>
      </c>
      <c r="Z190" t="s">
        <v>1574</v>
      </c>
      <c r="AA190" t="s">
        <v>25</v>
      </c>
      <c r="AC190" t="s">
        <v>22</v>
      </c>
      <c r="AD190" t="s">
        <v>1574</v>
      </c>
      <c r="AE190">
        <v>9.0758953026305429E-5</v>
      </c>
      <c r="AG190" t="s">
        <v>97</v>
      </c>
      <c r="AH190" t="s">
        <v>1574</v>
      </c>
      <c r="AI190">
        <v>0</v>
      </c>
    </row>
    <row r="191" spans="5:35" x14ac:dyDescent="0.45">
      <c r="E191" t="s">
        <v>877</v>
      </c>
      <c r="G191" t="s">
        <v>156</v>
      </c>
      <c r="I191" t="s">
        <v>236</v>
      </c>
      <c r="J191" t="s">
        <v>1575</v>
      </c>
      <c r="K191">
        <v>1.967803662422E-4</v>
      </c>
      <c r="L191" t="s">
        <v>238</v>
      </c>
      <c r="N191" t="s">
        <v>346</v>
      </c>
      <c r="O191" t="s">
        <v>1575</v>
      </c>
      <c r="P191">
        <v>1.080509827405E-4</v>
      </c>
      <c r="Q191" t="s">
        <v>238</v>
      </c>
      <c r="S191" t="s">
        <v>347</v>
      </c>
      <c r="T191" t="s">
        <v>1575</v>
      </c>
      <c r="U191">
        <v>1.1452016794920001E-4</v>
      </c>
      <c r="V191" t="s">
        <v>238</v>
      </c>
      <c r="X191">
        <v>1.1415525114155251E-4</v>
      </c>
      <c r="Y191">
        <v>1.4253868019126702E-4</v>
      </c>
      <c r="Z191" t="s">
        <v>1575</v>
      </c>
      <c r="AA191" t="s">
        <v>25</v>
      </c>
      <c r="AC191" t="s">
        <v>22</v>
      </c>
      <c r="AD191" t="s">
        <v>1575</v>
      </c>
      <c r="AE191">
        <v>9.0747487950581718E-5</v>
      </c>
      <c r="AG191" t="s">
        <v>97</v>
      </c>
      <c r="AH191" t="s">
        <v>1575</v>
      </c>
      <c r="AI191">
        <v>0</v>
      </c>
    </row>
    <row r="192" spans="5:35" x14ac:dyDescent="0.45">
      <c r="E192" t="s">
        <v>878</v>
      </c>
      <c r="G192" t="s">
        <v>156</v>
      </c>
      <c r="I192" t="s">
        <v>236</v>
      </c>
      <c r="J192" t="s">
        <v>1576</v>
      </c>
      <c r="K192">
        <v>1.6828631557650001E-4</v>
      </c>
      <c r="L192" t="s">
        <v>238</v>
      </c>
      <c r="N192" t="s">
        <v>346</v>
      </c>
      <c r="O192" t="s">
        <v>1576</v>
      </c>
      <c r="P192">
        <v>1.007837352123E-4</v>
      </c>
      <c r="Q192" t="s">
        <v>238</v>
      </c>
      <c r="S192" t="s">
        <v>347</v>
      </c>
      <c r="T192" t="s">
        <v>1576</v>
      </c>
      <c r="U192">
        <v>1.114560549945E-4</v>
      </c>
      <c r="V192" t="s">
        <v>238</v>
      </c>
      <c r="X192">
        <v>1.1415525114155251E-4</v>
      </c>
      <c r="Y192">
        <v>1.4883690094390442E-4</v>
      </c>
      <c r="Z192" t="s">
        <v>1576</v>
      </c>
      <c r="AA192" t="s">
        <v>25</v>
      </c>
      <c r="AC192" t="s">
        <v>22</v>
      </c>
      <c r="AD192" t="s">
        <v>1576</v>
      </c>
      <c r="AE192">
        <v>8.9950665187783657E-5</v>
      </c>
      <c r="AG192" t="s">
        <v>97</v>
      </c>
      <c r="AH192" t="s">
        <v>1576</v>
      </c>
      <c r="AI192">
        <v>0</v>
      </c>
    </row>
    <row r="193" spans="5:35" x14ac:dyDescent="0.45">
      <c r="E193" t="s">
        <v>879</v>
      </c>
      <c r="G193" t="s">
        <v>156</v>
      </c>
      <c r="I193" t="s">
        <v>236</v>
      </c>
      <c r="J193" t="s">
        <v>1577</v>
      </c>
      <c r="K193">
        <v>1.325031367556E-4</v>
      </c>
      <c r="L193" t="s">
        <v>238</v>
      </c>
      <c r="N193" t="s">
        <v>346</v>
      </c>
      <c r="O193" t="s">
        <v>1577</v>
      </c>
      <c r="P193">
        <v>9.9332239323605045E-5</v>
      </c>
      <c r="Q193" t="s">
        <v>238</v>
      </c>
      <c r="S193" t="s">
        <v>347</v>
      </c>
      <c r="T193" t="s">
        <v>1577</v>
      </c>
      <c r="U193">
        <v>1.192267833342E-4</v>
      </c>
      <c r="V193" t="s">
        <v>238</v>
      </c>
      <c r="X193">
        <v>1.1415525114155251E-4</v>
      </c>
      <c r="Y193">
        <v>1.5049432745775637E-4</v>
      </c>
      <c r="Z193" t="s">
        <v>1577</v>
      </c>
      <c r="AA193" t="s">
        <v>25</v>
      </c>
      <c r="AC193" t="s">
        <v>22</v>
      </c>
      <c r="AD193" t="s">
        <v>1577</v>
      </c>
      <c r="AE193">
        <v>8.9268493182222721E-5</v>
      </c>
      <c r="AG193" t="s">
        <v>97</v>
      </c>
      <c r="AH193" t="s">
        <v>1577</v>
      </c>
      <c r="AI193">
        <v>0</v>
      </c>
    </row>
    <row r="194" spans="5:35" x14ac:dyDescent="0.45">
      <c r="E194" t="s">
        <v>880</v>
      </c>
      <c r="G194" t="s">
        <v>156</v>
      </c>
      <c r="I194" t="s">
        <v>236</v>
      </c>
      <c r="J194" t="s">
        <v>1578</v>
      </c>
      <c r="K194">
        <v>1.086462056771E-4</v>
      </c>
      <c r="L194" t="s">
        <v>238</v>
      </c>
      <c r="N194" t="s">
        <v>346</v>
      </c>
      <c r="O194" t="s">
        <v>1578</v>
      </c>
      <c r="P194">
        <v>1.0063655175629999E-4</v>
      </c>
      <c r="Q194" t="s">
        <v>238</v>
      </c>
      <c r="S194" t="s">
        <v>347</v>
      </c>
      <c r="T194" t="s">
        <v>1578</v>
      </c>
      <c r="U194">
        <v>1.194996927541E-4</v>
      </c>
      <c r="V194" t="s">
        <v>238</v>
      </c>
      <c r="X194">
        <v>1.1415525114155251E-4</v>
      </c>
      <c r="Y194">
        <v>1.7237235744060203E-4</v>
      </c>
      <c r="Z194" t="s">
        <v>1578</v>
      </c>
      <c r="AA194" t="s">
        <v>25</v>
      </c>
      <c r="AC194" t="s">
        <v>22</v>
      </c>
      <c r="AD194" t="s">
        <v>1578</v>
      </c>
      <c r="AE194">
        <v>8.9268493182222721E-5</v>
      </c>
      <c r="AG194" t="s">
        <v>97</v>
      </c>
      <c r="AH194" t="s">
        <v>1578</v>
      </c>
      <c r="AI194">
        <v>0</v>
      </c>
    </row>
    <row r="195" spans="5:35" x14ac:dyDescent="0.45">
      <c r="E195" t="s">
        <v>881</v>
      </c>
      <c r="G195" t="s">
        <v>156</v>
      </c>
      <c r="I195" t="s">
        <v>236</v>
      </c>
      <c r="J195" t="s">
        <v>1579</v>
      </c>
      <c r="K195">
        <v>5.9624573568699782E-5</v>
      </c>
      <c r="L195" t="s">
        <v>238</v>
      </c>
      <c r="N195" t="s">
        <v>346</v>
      </c>
      <c r="O195" t="s">
        <v>1579</v>
      </c>
      <c r="P195">
        <v>1.052909331997E-4</v>
      </c>
      <c r="Q195" t="s">
        <v>238</v>
      </c>
      <c r="S195" t="s">
        <v>347</v>
      </c>
      <c r="T195" t="s">
        <v>1579</v>
      </c>
      <c r="U195">
        <v>1.2291909819480001E-4</v>
      </c>
      <c r="V195" t="s">
        <v>238</v>
      </c>
      <c r="X195">
        <v>1.1415525114155251E-4</v>
      </c>
      <c r="Y195">
        <v>2.2209515285616027E-4</v>
      </c>
      <c r="Z195" t="s">
        <v>1579</v>
      </c>
      <c r="AA195" t="s">
        <v>25</v>
      </c>
      <c r="AC195" t="s">
        <v>22</v>
      </c>
      <c r="AD195" t="s">
        <v>1579</v>
      </c>
      <c r="AE195">
        <v>9.0248757156600201E-5</v>
      </c>
      <c r="AG195" t="s">
        <v>97</v>
      </c>
      <c r="AH195" t="s">
        <v>1579</v>
      </c>
      <c r="AI195">
        <v>0</v>
      </c>
    </row>
    <row r="196" spans="5:35" x14ac:dyDescent="0.45">
      <c r="E196" t="s">
        <v>882</v>
      </c>
      <c r="G196" t="s">
        <v>156</v>
      </c>
      <c r="I196" t="s">
        <v>236</v>
      </c>
      <c r="J196" t="s">
        <v>1580</v>
      </c>
      <c r="K196">
        <v>3.7990316544080363E-5</v>
      </c>
      <c r="L196" t="s">
        <v>238</v>
      </c>
      <c r="N196" t="s">
        <v>346</v>
      </c>
      <c r="O196" t="s">
        <v>1580</v>
      </c>
      <c r="P196">
        <v>1.1740924557999999E-4</v>
      </c>
      <c r="Q196" t="s">
        <v>238</v>
      </c>
      <c r="S196" t="s">
        <v>347</v>
      </c>
      <c r="T196" t="s">
        <v>1580</v>
      </c>
      <c r="U196">
        <v>1.5004542169700001E-4</v>
      </c>
      <c r="V196" t="s">
        <v>238</v>
      </c>
      <c r="X196">
        <v>1.1415525114155251E-4</v>
      </c>
      <c r="Y196">
        <v>2.2209515285616027E-4</v>
      </c>
      <c r="Z196" t="s">
        <v>1580</v>
      </c>
      <c r="AA196" t="s">
        <v>25</v>
      </c>
      <c r="AC196" t="s">
        <v>22</v>
      </c>
      <c r="AD196" t="s">
        <v>1580</v>
      </c>
      <c r="AE196">
        <v>9.0248757156600201E-5</v>
      </c>
      <c r="AG196" t="s">
        <v>97</v>
      </c>
      <c r="AH196" t="s">
        <v>1580</v>
      </c>
      <c r="AI196">
        <v>0</v>
      </c>
    </row>
    <row r="197" spans="5:35" x14ac:dyDescent="0.45">
      <c r="E197" t="s">
        <v>883</v>
      </c>
      <c r="G197" t="s">
        <v>156</v>
      </c>
      <c r="I197" t="s">
        <v>236</v>
      </c>
      <c r="J197" t="s">
        <v>1581</v>
      </c>
      <c r="K197">
        <v>1.5800032933712467E-5</v>
      </c>
      <c r="L197" t="s">
        <v>238</v>
      </c>
      <c r="N197" t="s">
        <v>346</v>
      </c>
      <c r="O197" t="s">
        <v>1581</v>
      </c>
      <c r="P197">
        <v>1.28107650068E-4</v>
      </c>
      <c r="Q197" t="s">
        <v>238</v>
      </c>
      <c r="S197" t="s">
        <v>347</v>
      </c>
      <c r="T197" t="s">
        <v>1581</v>
      </c>
      <c r="U197">
        <v>1.460100913023E-4</v>
      </c>
      <c r="V197" t="s">
        <v>238</v>
      </c>
      <c r="X197">
        <v>1.1415525114155251E-4</v>
      </c>
      <c r="Y197">
        <v>1.7237235744060203E-4</v>
      </c>
      <c r="Z197" t="s">
        <v>1581</v>
      </c>
      <c r="AA197" t="s">
        <v>25</v>
      </c>
      <c r="AC197" t="s">
        <v>22</v>
      </c>
      <c r="AD197" t="s">
        <v>1581</v>
      </c>
      <c r="AE197">
        <v>9.0810545867062156E-5</v>
      </c>
      <c r="AG197" t="s">
        <v>97</v>
      </c>
      <c r="AH197" t="s">
        <v>1581</v>
      </c>
      <c r="AI197">
        <v>0</v>
      </c>
    </row>
    <row r="198" spans="5:35" x14ac:dyDescent="0.45">
      <c r="E198" t="s">
        <v>884</v>
      </c>
      <c r="G198" t="s">
        <v>156</v>
      </c>
      <c r="I198" t="s">
        <v>236</v>
      </c>
      <c r="J198" t="s">
        <v>1582</v>
      </c>
      <c r="K198">
        <v>0</v>
      </c>
      <c r="L198" t="s">
        <v>238</v>
      </c>
      <c r="N198" t="s">
        <v>346</v>
      </c>
      <c r="O198" t="s">
        <v>1582</v>
      </c>
      <c r="P198">
        <v>1.3387385622330001E-4</v>
      </c>
      <c r="Q198" t="s">
        <v>238</v>
      </c>
      <c r="S198" t="s">
        <v>347</v>
      </c>
      <c r="T198" t="s">
        <v>1582</v>
      </c>
      <c r="U198">
        <v>1.667859261383E-4</v>
      </c>
      <c r="V198" t="s">
        <v>238</v>
      </c>
      <c r="X198">
        <v>1.1415525114155251E-4</v>
      </c>
      <c r="Y198">
        <v>1.5579809230208258E-4</v>
      </c>
      <c r="Z198" t="s">
        <v>1582</v>
      </c>
      <c r="AA198" t="s">
        <v>25</v>
      </c>
      <c r="AC198" t="s">
        <v>22</v>
      </c>
      <c r="AD198" t="s">
        <v>1582</v>
      </c>
      <c r="AE198">
        <v>9.1229021130977681E-5</v>
      </c>
      <c r="AG198" t="s">
        <v>97</v>
      </c>
      <c r="AH198" t="s">
        <v>1582</v>
      </c>
      <c r="AI198">
        <v>0</v>
      </c>
    </row>
    <row r="199" spans="5:35" x14ac:dyDescent="0.45">
      <c r="E199" t="s">
        <v>885</v>
      </c>
      <c r="G199" t="s">
        <v>156</v>
      </c>
      <c r="I199" t="s">
        <v>236</v>
      </c>
      <c r="J199" t="s">
        <v>1583</v>
      </c>
      <c r="K199">
        <v>0</v>
      </c>
      <c r="L199" t="s">
        <v>238</v>
      </c>
      <c r="N199" t="s">
        <v>346</v>
      </c>
      <c r="O199" t="s">
        <v>1583</v>
      </c>
      <c r="P199">
        <v>1.2925766941430001E-4</v>
      </c>
      <c r="Q199" t="s">
        <v>238</v>
      </c>
      <c r="S199" t="s">
        <v>347</v>
      </c>
      <c r="T199" t="s">
        <v>1583</v>
      </c>
      <c r="U199">
        <v>1.8052948222759999E-4</v>
      </c>
      <c r="V199" t="s">
        <v>238</v>
      </c>
      <c r="X199">
        <v>1.1415525114155251E-4</v>
      </c>
      <c r="Y199">
        <v>1.093901499142282E-4</v>
      </c>
      <c r="Z199" t="s">
        <v>1583</v>
      </c>
      <c r="AA199" t="s">
        <v>25</v>
      </c>
      <c r="AC199" t="s">
        <v>22</v>
      </c>
      <c r="AD199" t="s">
        <v>1583</v>
      </c>
      <c r="AE199">
        <v>9.0584110621518793E-5</v>
      </c>
      <c r="AG199" t="s">
        <v>97</v>
      </c>
      <c r="AH199" t="s">
        <v>1583</v>
      </c>
      <c r="AI199">
        <v>0</v>
      </c>
    </row>
    <row r="200" spans="5:35" x14ac:dyDescent="0.45">
      <c r="E200" t="s">
        <v>886</v>
      </c>
      <c r="G200" t="s">
        <v>156</v>
      </c>
      <c r="I200" t="s">
        <v>236</v>
      </c>
      <c r="J200" t="s">
        <v>1584</v>
      </c>
      <c r="K200">
        <v>0</v>
      </c>
      <c r="L200" t="s">
        <v>238</v>
      </c>
      <c r="N200" t="s">
        <v>346</v>
      </c>
      <c r="O200" t="s">
        <v>1584</v>
      </c>
      <c r="P200">
        <v>1.267652489727E-4</v>
      </c>
      <c r="Q200" t="s">
        <v>238</v>
      </c>
      <c r="S200" t="s">
        <v>347</v>
      </c>
      <c r="T200" t="s">
        <v>1584</v>
      </c>
      <c r="U200">
        <v>1.8781653759109999E-4</v>
      </c>
      <c r="V200" t="s">
        <v>238</v>
      </c>
      <c r="X200">
        <v>1.1415525114155251E-4</v>
      </c>
      <c r="Y200">
        <v>7.9556472664893237E-5</v>
      </c>
      <c r="Z200" t="s">
        <v>1584</v>
      </c>
      <c r="AA200" t="s">
        <v>25</v>
      </c>
      <c r="AC200" t="s">
        <v>22</v>
      </c>
      <c r="AD200" t="s">
        <v>1584</v>
      </c>
      <c r="AE200">
        <v>8.4986287399415819E-5</v>
      </c>
      <c r="AG200" t="s">
        <v>97</v>
      </c>
      <c r="AH200" t="s">
        <v>1584</v>
      </c>
      <c r="AI200">
        <v>0</v>
      </c>
    </row>
    <row r="201" spans="5:35" x14ac:dyDescent="0.45">
      <c r="E201" t="s">
        <v>887</v>
      </c>
      <c r="G201" t="s">
        <v>156</v>
      </c>
      <c r="I201" t="s">
        <v>236</v>
      </c>
      <c r="J201" t="s">
        <v>1585</v>
      </c>
      <c r="K201">
        <v>0</v>
      </c>
      <c r="L201" t="s">
        <v>238</v>
      </c>
      <c r="N201" t="s">
        <v>346</v>
      </c>
      <c r="O201" t="s">
        <v>1585</v>
      </c>
      <c r="P201">
        <v>1.2968791331179999E-4</v>
      </c>
      <c r="Q201" t="s">
        <v>238</v>
      </c>
      <c r="S201" t="s">
        <v>347</v>
      </c>
      <c r="T201" t="s">
        <v>1585</v>
      </c>
      <c r="U201">
        <v>1.9190554652289999E-4</v>
      </c>
      <c r="V201" t="s">
        <v>238</v>
      </c>
      <c r="X201">
        <v>1.1415525114155251E-4</v>
      </c>
      <c r="Y201">
        <v>5.6352501470966035E-5</v>
      </c>
      <c r="Z201" t="s">
        <v>1585</v>
      </c>
      <c r="AA201" t="s">
        <v>25</v>
      </c>
      <c r="AC201" t="s">
        <v>22</v>
      </c>
      <c r="AD201" t="s">
        <v>1585</v>
      </c>
      <c r="AE201">
        <v>8.1285934209587339E-5</v>
      </c>
      <c r="AG201" t="s">
        <v>97</v>
      </c>
      <c r="AH201" t="s">
        <v>1585</v>
      </c>
      <c r="AI201">
        <v>0</v>
      </c>
    </row>
    <row r="202" spans="5:35" x14ac:dyDescent="0.45">
      <c r="E202" t="s">
        <v>888</v>
      </c>
      <c r="G202" t="s">
        <v>156</v>
      </c>
      <c r="I202" t="s">
        <v>236</v>
      </c>
      <c r="J202" t="s">
        <v>1586</v>
      </c>
      <c r="K202">
        <v>0</v>
      </c>
      <c r="L202" t="s">
        <v>238</v>
      </c>
      <c r="N202" t="s">
        <v>346</v>
      </c>
      <c r="O202" t="s">
        <v>1586</v>
      </c>
      <c r="P202">
        <v>1.241255233941E-4</v>
      </c>
      <c r="Q202" t="s">
        <v>238</v>
      </c>
      <c r="S202" t="s">
        <v>347</v>
      </c>
      <c r="T202" t="s">
        <v>1586</v>
      </c>
      <c r="U202">
        <v>1.9060311055639999E-4</v>
      </c>
      <c r="V202" t="s">
        <v>238</v>
      </c>
      <c r="X202">
        <v>1.1415525114155251E-4</v>
      </c>
      <c r="Y202">
        <v>2.9833677249334962E-5</v>
      </c>
      <c r="Z202" t="s">
        <v>1586</v>
      </c>
      <c r="AA202" t="s">
        <v>25</v>
      </c>
      <c r="AC202" t="s">
        <v>22</v>
      </c>
      <c r="AD202" t="s">
        <v>1586</v>
      </c>
      <c r="AE202">
        <v>6.9173081707484254E-5</v>
      </c>
      <c r="AG202" t="s">
        <v>97</v>
      </c>
      <c r="AH202" t="s">
        <v>1586</v>
      </c>
      <c r="AI202">
        <v>0</v>
      </c>
    </row>
    <row r="203" spans="5:35" x14ac:dyDescent="0.45">
      <c r="E203" t="s">
        <v>889</v>
      </c>
      <c r="G203" t="s">
        <v>156</v>
      </c>
      <c r="I203" t="s">
        <v>236</v>
      </c>
      <c r="J203" t="s">
        <v>1587</v>
      </c>
      <c r="K203">
        <v>0</v>
      </c>
      <c r="L203" t="s">
        <v>238</v>
      </c>
      <c r="N203" t="s">
        <v>346</v>
      </c>
      <c r="O203" t="s">
        <v>1587</v>
      </c>
      <c r="P203">
        <v>1.2635646716209999E-4</v>
      </c>
      <c r="Q203" t="s">
        <v>238</v>
      </c>
      <c r="S203" t="s">
        <v>347</v>
      </c>
      <c r="T203" t="s">
        <v>1587</v>
      </c>
      <c r="U203">
        <v>1.8909379758209999E-4</v>
      </c>
      <c r="V203" t="s">
        <v>238</v>
      </c>
      <c r="X203">
        <v>1.1415525114155251E-4</v>
      </c>
      <c r="Y203">
        <v>2.1546544680075254E-5</v>
      </c>
      <c r="Z203" t="s">
        <v>1587</v>
      </c>
      <c r="AA203" t="s">
        <v>25</v>
      </c>
      <c r="AC203" t="s">
        <v>22</v>
      </c>
      <c r="AD203" t="s">
        <v>1587</v>
      </c>
      <c r="AE203">
        <v>6.0370769820603375E-5</v>
      </c>
      <c r="AG203" t="s">
        <v>97</v>
      </c>
      <c r="AH203" t="s">
        <v>1587</v>
      </c>
      <c r="AI203">
        <v>0</v>
      </c>
    </row>
    <row r="204" spans="5:35" x14ac:dyDescent="0.45">
      <c r="E204" t="s">
        <v>890</v>
      </c>
      <c r="G204" t="s">
        <v>156</v>
      </c>
      <c r="I204" t="s">
        <v>236</v>
      </c>
      <c r="J204" t="s">
        <v>1588</v>
      </c>
      <c r="K204">
        <v>0</v>
      </c>
      <c r="L204" t="s">
        <v>238</v>
      </c>
      <c r="N204" t="s">
        <v>346</v>
      </c>
      <c r="O204" t="s">
        <v>1588</v>
      </c>
      <c r="P204">
        <v>1.2523157696610001E-4</v>
      </c>
      <c r="Q204" t="s">
        <v>238</v>
      </c>
      <c r="S204" t="s">
        <v>347</v>
      </c>
      <c r="T204" t="s">
        <v>1588</v>
      </c>
      <c r="U204">
        <v>1.880424804138E-4</v>
      </c>
      <c r="V204" t="s">
        <v>238</v>
      </c>
      <c r="X204">
        <v>1.1415525114155251E-4</v>
      </c>
      <c r="Y204">
        <v>1.4916838624667481E-5</v>
      </c>
      <c r="Z204" t="s">
        <v>1588</v>
      </c>
      <c r="AA204" t="s">
        <v>25</v>
      </c>
      <c r="AC204" t="s">
        <v>22</v>
      </c>
      <c r="AD204" t="s">
        <v>1588</v>
      </c>
      <c r="AE204">
        <v>5.652996945315944E-5</v>
      </c>
      <c r="AG204" t="s">
        <v>97</v>
      </c>
      <c r="AH204" t="s">
        <v>1588</v>
      </c>
      <c r="AI204">
        <v>0</v>
      </c>
    </row>
    <row r="205" spans="5:35" x14ac:dyDescent="0.45">
      <c r="E205" t="s">
        <v>891</v>
      </c>
      <c r="G205" t="s">
        <v>156</v>
      </c>
      <c r="I205" t="s">
        <v>236</v>
      </c>
      <c r="J205" t="s">
        <v>1589</v>
      </c>
      <c r="K205">
        <v>0</v>
      </c>
      <c r="L205" t="s">
        <v>238</v>
      </c>
      <c r="N205" t="s">
        <v>346</v>
      </c>
      <c r="O205" t="s">
        <v>1589</v>
      </c>
      <c r="P205">
        <v>1.197391850269E-4</v>
      </c>
      <c r="Q205" t="s">
        <v>238</v>
      </c>
      <c r="S205" t="s">
        <v>347</v>
      </c>
      <c r="T205" t="s">
        <v>1589</v>
      </c>
      <c r="U205">
        <v>1.8190131043989999E-4</v>
      </c>
      <c r="V205" t="s">
        <v>238</v>
      </c>
      <c r="X205">
        <v>1.1415525114155251E-4</v>
      </c>
      <c r="Y205">
        <v>1.6574265138519424E-5</v>
      </c>
      <c r="Z205" t="s">
        <v>1589</v>
      </c>
      <c r="AA205" t="s">
        <v>25</v>
      </c>
      <c r="AC205" t="s">
        <v>22</v>
      </c>
      <c r="AD205" t="s">
        <v>1589</v>
      </c>
      <c r="AE205">
        <v>5.652996945315944E-5</v>
      </c>
      <c r="AG205" t="s">
        <v>97</v>
      </c>
      <c r="AH205" t="s">
        <v>1589</v>
      </c>
      <c r="AI205">
        <v>0</v>
      </c>
    </row>
    <row r="206" spans="5:35" x14ac:dyDescent="0.45">
      <c r="E206" t="s">
        <v>892</v>
      </c>
      <c r="G206" t="s">
        <v>156</v>
      </c>
      <c r="I206" t="s">
        <v>236</v>
      </c>
      <c r="J206" t="s">
        <v>1590</v>
      </c>
      <c r="K206">
        <v>0</v>
      </c>
      <c r="L206" t="s">
        <v>238</v>
      </c>
      <c r="N206" t="s">
        <v>346</v>
      </c>
      <c r="O206" t="s">
        <v>1590</v>
      </c>
      <c r="P206">
        <v>1.1712751098900001E-4</v>
      </c>
      <c r="Q206" t="s">
        <v>238</v>
      </c>
      <c r="S206" t="s">
        <v>347</v>
      </c>
      <c r="T206" t="s">
        <v>1590</v>
      </c>
      <c r="U206">
        <v>1.752766238304E-4</v>
      </c>
      <c r="V206" t="s">
        <v>238</v>
      </c>
      <c r="X206">
        <v>1.1415525114155251E-4</v>
      </c>
      <c r="Y206">
        <v>1.4585353321897093E-5</v>
      </c>
      <c r="Z206" t="s">
        <v>1590</v>
      </c>
      <c r="AA206" t="s">
        <v>25</v>
      </c>
      <c r="AC206" t="s">
        <v>22</v>
      </c>
      <c r="AD206" t="s">
        <v>1590</v>
      </c>
      <c r="AE206">
        <v>5.6790799925873895E-5</v>
      </c>
      <c r="AG206" t="s">
        <v>97</v>
      </c>
      <c r="AH206" t="s">
        <v>1590</v>
      </c>
      <c r="AI206">
        <v>0</v>
      </c>
    </row>
    <row r="207" spans="5:35" x14ac:dyDescent="0.45">
      <c r="E207" t="s">
        <v>893</v>
      </c>
      <c r="G207" t="s">
        <v>156</v>
      </c>
      <c r="I207" t="s">
        <v>236</v>
      </c>
      <c r="J207" t="s">
        <v>1591</v>
      </c>
      <c r="K207">
        <v>0</v>
      </c>
      <c r="L207" t="s">
        <v>238</v>
      </c>
      <c r="N207" t="s">
        <v>346</v>
      </c>
      <c r="O207" t="s">
        <v>1591</v>
      </c>
      <c r="P207">
        <v>1.131484884301E-4</v>
      </c>
      <c r="Q207" t="s">
        <v>238</v>
      </c>
      <c r="S207" t="s">
        <v>347</v>
      </c>
      <c r="T207" t="s">
        <v>1591</v>
      </c>
      <c r="U207">
        <v>1.6610461012579999E-4</v>
      </c>
      <c r="V207" t="s">
        <v>238</v>
      </c>
      <c r="X207">
        <v>1.1415525114155251E-4</v>
      </c>
      <c r="Y207">
        <v>2.1215059377304864E-5</v>
      </c>
      <c r="Z207" t="s">
        <v>1591</v>
      </c>
      <c r="AA207" t="s">
        <v>25</v>
      </c>
      <c r="AC207" t="s">
        <v>22</v>
      </c>
      <c r="AD207" t="s">
        <v>1591</v>
      </c>
      <c r="AE207">
        <v>5.7355454905266792E-5</v>
      </c>
      <c r="AG207" t="s">
        <v>97</v>
      </c>
      <c r="AH207" t="s">
        <v>1591</v>
      </c>
      <c r="AI207">
        <v>0</v>
      </c>
    </row>
    <row r="208" spans="5:35" x14ac:dyDescent="0.45">
      <c r="E208" t="s">
        <v>894</v>
      </c>
      <c r="G208" t="s">
        <v>156</v>
      </c>
      <c r="I208" t="s">
        <v>236</v>
      </c>
      <c r="J208" t="s">
        <v>1592</v>
      </c>
      <c r="K208">
        <v>0</v>
      </c>
      <c r="L208" t="s">
        <v>238</v>
      </c>
      <c r="N208" t="s">
        <v>346</v>
      </c>
      <c r="O208" t="s">
        <v>1592</v>
      </c>
      <c r="P208">
        <v>1.129959442089E-4</v>
      </c>
      <c r="Q208" t="s">
        <v>238</v>
      </c>
      <c r="S208" t="s">
        <v>347</v>
      </c>
      <c r="T208" t="s">
        <v>1592</v>
      </c>
      <c r="U208">
        <v>1.5481048301640001E-4</v>
      </c>
      <c r="V208" t="s">
        <v>238</v>
      </c>
      <c r="X208">
        <v>1.1415525114155251E-4</v>
      </c>
      <c r="Y208">
        <v>5.7678442682047593E-5</v>
      </c>
      <c r="Z208" t="s">
        <v>1592</v>
      </c>
      <c r="AA208" t="s">
        <v>25</v>
      </c>
      <c r="AC208" t="s">
        <v>22</v>
      </c>
      <c r="AD208" t="s">
        <v>1592</v>
      </c>
      <c r="AE208">
        <v>5.9508022872393947E-5</v>
      </c>
      <c r="AG208" t="s">
        <v>97</v>
      </c>
      <c r="AH208" t="s">
        <v>1592</v>
      </c>
      <c r="AI208">
        <v>0</v>
      </c>
    </row>
    <row r="209" spans="5:35" x14ac:dyDescent="0.45">
      <c r="E209" t="s">
        <v>895</v>
      </c>
      <c r="G209" t="s">
        <v>156</v>
      </c>
      <c r="I209" t="s">
        <v>236</v>
      </c>
      <c r="J209" t="s">
        <v>1593</v>
      </c>
      <c r="K209">
        <v>2.3023037361194947E-6</v>
      </c>
      <c r="L209" t="s">
        <v>238</v>
      </c>
      <c r="N209" t="s">
        <v>346</v>
      </c>
      <c r="O209" t="s">
        <v>1593</v>
      </c>
      <c r="P209">
        <v>1.138010076035E-4</v>
      </c>
      <c r="Q209" t="s">
        <v>238</v>
      </c>
      <c r="S209" t="s">
        <v>347</v>
      </c>
      <c r="T209" t="s">
        <v>1593</v>
      </c>
      <c r="U209">
        <v>1.3376535941539999E-4</v>
      </c>
      <c r="V209" t="s">
        <v>238</v>
      </c>
      <c r="X209">
        <v>1.1415525114155251E-4</v>
      </c>
      <c r="Y209">
        <v>1.6905750441289813E-4</v>
      </c>
      <c r="Z209" t="s">
        <v>1593</v>
      </c>
      <c r="AA209" t="s">
        <v>25</v>
      </c>
      <c r="AC209" t="s">
        <v>22</v>
      </c>
      <c r="AD209" t="s">
        <v>1593</v>
      </c>
      <c r="AE209">
        <v>6.6315411583348733E-5</v>
      </c>
      <c r="AG209" t="s">
        <v>97</v>
      </c>
      <c r="AH209" t="s">
        <v>1593</v>
      </c>
      <c r="AI209">
        <v>0</v>
      </c>
    </row>
    <row r="210" spans="5:35" x14ac:dyDescent="0.45">
      <c r="E210" t="s">
        <v>896</v>
      </c>
      <c r="G210" t="s">
        <v>156</v>
      </c>
      <c r="I210" t="s">
        <v>236</v>
      </c>
      <c r="J210" t="s">
        <v>1594</v>
      </c>
      <c r="K210">
        <v>1.8145782230319665E-5</v>
      </c>
      <c r="L210" t="s">
        <v>238</v>
      </c>
      <c r="N210" t="s">
        <v>346</v>
      </c>
      <c r="O210" t="s">
        <v>1594</v>
      </c>
      <c r="P210">
        <v>1.029282229631E-4</v>
      </c>
      <c r="Q210" t="s">
        <v>238</v>
      </c>
      <c r="S210" t="s">
        <v>347</v>
      </c>
      <c r="T210" t="s">
        <v>1594</v>
      </c>
      <c r="U210">
        <v>1.050498853398E-4</v>
      </c>
      <c r="V210" t="s">
        <v>238</v>
      </c>
      <c r="X210">
        <v>1.1415525114155251E-4</v>
      </c>
      <c r="Y210">
        <v>1.9060404909297337E-4</v>
      </c>
      <c r="Z210" t="s">
        <v>1594</v>
      </c>
      <c r="AA210" t="s">
        <v>25</v>
      </c>
      <c r="AC210" t="s">
        <v>22</v>
      </c>
      <c r="AD210" t="s">
        <v>1594</v>
      </c>
      <c r="AE210">
        <v>7.7296087857735112E-5</v>
      </c>
      <c r="AG210" t="s">
        <v>97</v>
      </c>
      <c r="AH210" t="s">
        <v>1594</v>
      </c>
      <c r="AI210">
        <v>0</v>
      </c>
    </row>
    <row r="211" spans="5:35" x14ac:dyDescent="0.45">
      <c r="E211" t="s">
        <v>897</v>
      </c>
      <c r="G211" t="s">
        <v>156</v>
      </c>
      <c r="I211" t="s">
        <v>236</v>
      </c>
      <c r="J211" t="s">
        <v>1595</v>
      </c>
      <c r="K211">
        <v>6.1412271325289995E-5</v>
      </c>
      <c r="L211" t="s">
        <v>238</v>
      </c>
      <c r="N211" t="s">
        <v>346</v>
      </c>
      <c r="O211" t="s">
        <v>1595</v>
      </c>
      <c r="P211">
        <v>1.019422080323E-4</v>
      </c>
      <c r="Q211" t="s">
        <v>238</v>
      </c>
      <c r="S211" t="s">
        <v>347</v>
      </c>
      <c r="T211" t="s">
        <v>1595</v>
      </c>
      <c r="U211">
        <v>9.3970344617655765E-5</v>
      </c>
      <c r="V211" t="s">
        <v>238</v>
      </c>
      <c r="X211">
        <v>1.1415525114155251E-4</v>
      </c>
      <c r="Y211">
        <v>1.4585353321897094E-4</v>
      </c>
      <c r="Z211" t="s">
        <v>1595</v>
      </c>
      <c r="AA211" t="s">
        <v>25</v>
      </c>
      <c r="AC211" t="s">
        <v>22</v>
      </c>
      <c r="AD211" t="s">
        <v>1595</v>
      </c>
      <c r="AE211">
        <v>8.9067854357057722E-5</v>
      </c>
      <c r="AG211" t="s">
        <v>97</v>
      </c>
      <c r="AH211" t="s">
        <v>1595</v>
      </c>
      <c r="AI211">
        <v>0</v>
      </c>
    </row>
    <row r="212" spans="5:35" x14ac:dyDescent="0.45">
      <c r="E212" t="s">
        <v>898</v>
      </c>
      <c r="G212" t="s">
        <v>156</v>
      </c>
      <c r="I212" t="s">
        <v>236</v>
      </c>
      <c r="J212" t="s">
        <v>1596</v>
      </c>
      <c r="K212">
        <v>1.1724731053380001E-4</v>
      </c>
      <c r="L212" t="s">
        <v>238</v>
      </c>
      <c r="N212" t="s">
        <v>346</v>
      </c>
      <c r="O212" t="s">
        <v>1596</v>
      </c>
      <c r="P212">
        <v>1.044870586194E-4</v>
      </c>
      <c r="Q212" t="s">
        <v>238</v>
      </c>
      <c r="S212" t="s">
        <v>347</v>
      </c>
      <c r="T212" t="s">
        <v>1596</v>
      </c>
      <c r="U212">
        <v>1.022456097214E-4</v>
      </c>
      <c r="V212" t="s">
        <v>238</v>
      </c>
      <c r="X212">
        <v>1.1415525114155251E-4</v>
      </c>
      <c r="Y212">
        <v>1.4452759200788939E-4</v>
      </c>
      <c r="Z212" t="s">
        <v>1596</v>
      </c>
      <c r="AA212" t="s">
        <v>25</v>
      </c>
      <c r="AC212" t="s">
        <v>22</v>
      </c>
      <c r="AD212" t="s">
        <v>1596</v>
      </c>
      <c r="AE212">
        <v>9.1492717872623079E-5</v>
      </c>
      <c r="AG212" t="s">
        <v>97</v>
      </c>
      <c r="AH212" t="s">
        <v>1596</v>
      </c>
      <c r="AI212">
        <v>0</v>
      </c>
    </row>
    <row r="213" spans="5:35" x14ac:dyDescent="0.45">
      <c r="E213" t="s">
        <v>899</v>
      </c>
      <c r="G213" t="s">
        <v>156</v>
      </c>
      <c r="I213" t="s">
        <v>236</v>
      </c>
      <c r="J213" t="s">
        <v>1597</v>
      </c>
      <c r="K213">
        <v>1.689985072378E-4</v>
      </c>
      <c r="L213" t="s">
        <v>238</v>
      </c>
      <c r="N213" t="s">
        <v>346</v>
      </c>
      <c r="O213" t="s">
        <v>1597</v>
      </c>
      <c r="P213">
        <v>1.138200012101E-4</v>
      </c>
      <c r="Q213" t="s">
        <v>238</v>
      </c>
      <c r="S213" t="s">
        <v>347</v>
      </c>
      <c r="T213" t="s">
        <v>1597</v>
      </c>
      <c r="U213">
        <v>1.176197191972E-4</v>
      </c>
      <c r="V213" t="s">
        <v>238</v>
      </c>
      <c r="X213">
        <v>1.1415525114155251E-4</v>
      </c>
      <c r="Y213">
        <v>1.408812536774151E-4</v>
      </c>
      <c r="Z213" t="s">
        <v>1597</v>
      </c>
      <c r="AA213" t="s">
        <v>25</v>
      </c>
      <c r="AC213" t="s">
        <v>22</v>
      </c>
      <c r="AD213" t="s">
        <v>1597</v>
      </c>
      <c r="AE213">
        <v>9.1452590107590076E-5</v>
      </c>
      <c r="AG213" t="s">
        <v>97</v>
      </c>
      <c r="AH213" t="s">
        <v>1597</v>
      </c>
      <c r="AI213">
        <v>0</v>
      </c>
    </row>
    <row r="214" spans="5:35" x14ac:dyDescent="0.45">
      <c r="E214" t="s">
        <v>900</v>
      </c>
      <c r="G214" t="s">
        <v>156</v>
      </c>
      <c r="I214" t="s">
        <v>236</v>
      </c>
      <c r="J214" t="s">
        <v>1598</v>
      </c>
      <c r="K214">
        <v>2.059176165696E-4</v>
      </c>
      <c r="L214" t="s">
        <v>238</v>
      </c>
      <c r="N214" t="s">
        <v>346</v>
      </c>
      <c r="O214" t="s">
        <v>1598</v>
      </c>
      <c r="P214">
        <v>1.1948258833250001E-4</v>
      </c>
      <c r="Q214" t="s">
        <v>238</v>
      </c>
      <c r="S214" t="s">
        <v>347</v>
      </c>
      <c r="T214" t="s">
        <v>1598</v>
      </c>
      <c r="U214">
        <v>1.4446210351909999E-4</v>
      </c>
      <c r="V214" t="s">
        <v>238</v>
      </c>
      <c r="X214">
        <v>1.1415525114155251E-4</v>
      </c>
      <c r="Y214">
        <v>1.4054976837464471E-4</v>
      </c>
      <c r="Z214" t="s">
        <v>1598</v>
      </c>
      <c r="AA214" t="s">
        <v>25</v>
      </c>
      <c r="AC214" t="s">
        <v>22</v>
      </c>
      <c r="AD214" t="s">
        <v>1598</v>
      </c>
      <c r="AE214">
        <v>9.1426793687211739E-5</v>
      </c>
      <c r="AG214" t="s">
        <v>97</v>
      </c>
      <c r="AH214" t="s">
        <v>1598</v>
      </c>
      <c r="AI214">
        <v>0</v>
      </c>
    </row>
    <row r="215" spans="5:35" x14ac:dyDescent="0.45">
      <c r="E215" t="s">
        <v>901</v>
      </c>
      <c r="G215" t="s">
        <v>156</v>
      </c>
      <c r="I215" t="s">
        <v>236</v>
      </c>
      <c r="J215" t="s">
        <v>1599</v>
      </c>
      <c r="K215">
        <v>2.01467970624E-4</v>
      </c>
      <c r="L215" t="s">
        <v>238</v>
      </c>
      <c r="N215" t="s">
        <v>346</v>
      </c>
      <c r="O215" t="s">
        <v>1599</v>
      </c>
      <c r="P215">
        <v>1.2713859064900001E-4</v>
      </c>
      <c r="Q215" t="s">
        <v>238</v>
      </c>
      <c r="S215" t="s">
        <v>347</v>
      </c>
      <c r="T215" t="s">
        <v>1599</v>
      </c>
      <c r="U215">
        <v>1.735977342316E-4</v>
      </c>
      <c r="V215" t="s">
        <v>238</v>
      </c>
      <c r="X215">
        <v>1.1415525114155251E-4</v>
      </c>
      <c r="Y215">
        <v>1.4253868019126702E-4</v>
      </c>
      <c r="Z215" t="s">
        <v>1599</v>
      </c>
      <c r="AA215" t="s">
        <v>25</v>
      </c>
      <c r="AC215" t="s">
        <v>22</v>
      </c>
      <c r="AD215" t="s">
        <v>1599</v>
      </c>
      <c r="AE215">
        <v>9.0836342287440507E-5</v>
      </c>
      <c r="AG215" t="s">
        <v>97</v>
      </c>
      <c r="AH215" t="s">
        <v>1599</v>
      </c>
      <c r="AI215">
        <v>0</v>
      </c>
    </row>
    <row r="216" spans="5:35" x14ac:dyDescent="0.45">
      <c r="E216" t="s">
        <v>902</v>
      </c>
      <c r="G216" t="s">
        <v>156</v>
      </c>
      <c r="I216" t="s">
        <v>236</v>
      </c>
      <c r="J216" t="s">
        <v>1600</v>
      </c>
      <c r="K216">
        <v>1.7926054171630001E-4</v>
      </c>
      <c r="L216" t="s">
        <v>238</v>
      </c>
      <c r="N216" t="s">
        <v>346</v>
      </c>
      <c r="O216" t="s">
        <v>1600</v>
      </c>
      <c r="P216">
        <v>1.3408980236779999E-4</v>
      </c>
      <c r="Q216" t="s">
        <v>238</v>
      </c>
      <c r="S216" t="s">
        <v>347</v>
      </c>
      <c r="T216" t="s">
        <v>1600</v>
      </c>
      <c r="U216">
        <v>1.949663599693E-4</v>
      </c>
      <c r="V216" t="s">
        <v>238</v>
      </c>
      <c r="X216">
        <v>1.1415525114155251E-4</v>
      </c>
      <c r="Y216">
        <v>1.4883690094390442E-4</v>
      </c>
      <c r="Z216" t="s">
        <v>1600</v>
      </c>
      <c r="AA216" t="s">
        <v>25</v>
      </c>
      <c r="AC216" t="s">
        <v>22</v>
      </c>
      <c r="AD216" t="s">
        <v>1600</v>
      </c>
      <c r="AE216">
        <v>9.0191431777981619E-5</v>
      </c>
      <c r="AG216" t="s">
        <v>97</v>
      </c>
      <c r="AH216" t="s">
        <v>1600</v>
      </c>
      <c r="AI216">
        <v>0</v>
      </c>
    </row>
    <row r="217" spans="5:35" x14ac:dyDescent="0.45">
      <c r="E217" t="s">
        <v>903</v>
      </c>
      <c r="G217" t="s">
        <v>156</v>
      </c>
      <c r="I217" t="s">
        <v>236</v>
      </c>
      <c r="J217" t="s">
        <v>1601</v>
      </c>
      <c r="K217">
        <v>1.6305325078290001E-4</v>
      </c>
      <c r="L217" t="s">
        <v>238</v>
      </c>
      <c r="N217" t="s">
        <v>346</v>
      </c>
      <c r="O217" t="s">
        <v>1601</v>
      </c>
      <c r="P217">
        <v>1.516139575098E-4</v>
      </c>
      <c r="Q217" t="s">
        <v>238</v>
      </c>
      <c r="S217" t="s">
        <v>347</v>
      </c>
      <c r="T217" t="s">
        <v>1601</v>
      </c>
      <c r="U217">
        <v>1.983960589349E-4</v>
      </c>
      <c r="V217" t="s">
        <v>238</v>
      </c>
      <c r="X217">
        <v>1.1415525114155251E-4</v>
      </c>
      <c r="Y217">
        <v>1.5049432745775637E-4</v>
      </c>
      <c r="Z217" t="s">
        <v>1601</v>
      </c>
      <c r="AA217" t="s">
        <v>25</v>
      </c>
      <c r="AC217" t="s">
        <v>22</v>
      </c>
      <c r="AD217" t="s">
        <v>1601</v>
      </c>
      <c r="AE217">
        <v>8.9268493182222721E-5</v>
      </c>
      <c r="AG217" t="s">
        <v>97</v>
      </c>
      <c r="AH217" t="s">
        <v>1601</v>
      </c>
      <c r="AI217">
        <v>0</v>
      </c>
    </row>
    <row r="218" spans="5:35" x14ac:dyDescent="0.45">
      <c r="E218" t="s">
        <v>904</v>
      </c>
      <c r="G218" t="s">
        <v>156</v>
      </c>
      <c r="I218" t="s">
        <v>236</v>
      </c>
      <c r="J218" t="s">
        <v>1602</v>
      </c>
      <c r="K218">
        <v>1.3035415042409999E-4</v>
      </c>
      <c r="L218" t="s">
        <v>238</v>
      </c>
      <c r="N218" t="s">
        <v>346</v>
      </c>
      <c r="O218" t="s">
        <v>1602</v>
      </c>
      <c r="P218">
        <v>1.495516962196E-4</v>
      </c>
      <c r="Q218" t="s">
        <v>238</v>
      </c>
      <c r="S218" t="s">
        <v>347</v>
      </c>
      <c r="T218" t="s">
        <v>1602</v>
      </c>
      <c r="U218">
        <v>1.968613901435E-4</v>
      </c>
      <c r="V218" t="s">
        <v>238</v>
      </c>
      <c r="X218">
        <v>1.1415525114155251E-4</v>
      </c>
      <c r="Y218">
        <v>1.7237235744060203E-4</v>
      </c>
      <c r="Z218" t="s">
        <v>1602</v>
      </c>
      <c r="AA218" t="s">
        <v>25</v>
      </c>
      <c r="AC218" t="s">
        <v>22</v>
      </c>
      <c r="AD218" t="s">
        <v>1602</v>
      </c>
      <c r="AE218">
        <v>8.9509259772420669E-5</v>
      </c>
      <c r="AG218" t="s">
        <v>97</v>
      </c>
      <c r="AH218" t="s">
        <v>1602</v>
      </c>
      <c r="AI218">
        <v>0</v>
      </c>
    </row>
    <row r="219" spans="5:35" x14ac:dyDescent="0.45">
      <c r="E219" t="s">
        <v>905</v>
      </c>
      <c r="G219" t="s">
        <v>156</v>
      </c>
      <c r="I219" t="s">
        <v>236</v>
      </c>
      <c r="J219" t="s">
        <v>1603</v>
      </c>
      <c r="K219">
        <v>1.013502645377E-4</v>
      </c>
      <c r="L219" t="s">
        <v>238</v>
      </c>
      <c r="N219" t="s">
        <v>346</v>
      </c>
      <c r="O219" t="s">
        <v>1603</v>
      </c>
      <c r="P219">
        <v>1.2407612474390001E-4</v>
      </c>
      <c r="Q219" t="s">
        <v>238</v>
      </c>
      <c r="S219" t="s">
        <v>347</v>
      </c>
      <c r="T219" t="s">
        <v>1603</v>
      </c>
      <c r="U219">
        <v>1.9415522785169999E-4</v>
      </c>
      <c r="V219" t="s">
        <v>238</v>
      </c>
      <c r="X219">
        <v>1.1415525114155251E-4</v>
      </c>
      <c r="Y219">
        <v>2.2209515285616027E-4</v>
      </c>
      <c r="Z219" t="s">
        <v>1603</v>
      </c>
      <c r="AA219" t="s">
        <v>25</v>
      </c>
      <c r="AC219" t="s">
        <v>22</v>
      </c>
      <c r="AD219" t="s">
        <v>1603</v>
      </c>
      <c r="AE219">
        <v>9.1214689786323029E-5</v>
      </c>
      <c r="AG219" t="s">
        <v>97</v>
      </c>
      <c r="AH219" t="s">
        <v>1603</v>
      </c>
      <c r="AI219">
        <v>0</v>
      </c>
    </row>
    <row r="220" spans="5:35" x14ac:dyDescent="0.45">
      <c r="E220" t="s">
        <v>906</v>
      </c>
      <c r="G220" t="s">
        <v>156</v>
      </c>
      <c r="I220" t="s">
        <v>236</v>
      </c>
      <c r="J220" t="s">
        <v>1604</v>
      </c>
      <c r="K220">
        <v>7.1683703403799181E-5</v>
      </c>
      <c r="L220" t="s">
        <v>238</v>
      </c>
      <c r="N220" t="s">
        <v>346</v>
      </c>
      <c r="O220" t="s">
        <v>1604</v>
      </c>
      <c r="P220">
        <v>1.150528304077E-4</v>
      </c>
      <c r="Q220" t="s">
        <v>238</v>
      </c>
      <c r="S220" t="s">
        <v>347</v>
      </c>
      <c r="T220" t="s">
        <v>1604</v>
      </c>
      <c r="U220">
        <v>1.9164342160990001E-4</v>
      </c>
      <c r="V220" t="s">
        <v>238</v>
      </c>
      <c r="X220">
        <v>1.1415525114155251E-4</v>
      </c>
      <c r="Y220">
        <v>2.2209515285616027E-4</v>
      </c>
      <c r="Z220" t="s">
        <v>1604</v>
      </c>
      <c r="AA220" t="s">
        <v>25</v>
      </c>
      <c r="AC220" t="s">
        <v>22</v>
      </c>
      <c r="AD220" t="s">
        <v>1604</v>
      </c>
      <c r="AE220">
        <v>9.1744949538544778E-5</v>
      </c>
      <c r="AG220" t="s">
        <v>97</v>
      </c>
      <c r="AH220" t="s">
        <v>1604</v>
      </c>
      <c r="AI220">
        <v>0</v>
      </c>
    </row>
    <row r="221" spans="5:35" x14ac:dyDescent="0.45">
      <c r="E221" t="s">
        <v>907</v>
      </c>
      <c r="G221" t="s">
        <v>156</v>
      </c>
      <c r="I221" t="s">
        <v>236</v>
      </c>
      <c r="J221" t="s">
        <v>1605</v>
      </c>
      <c r="K221">
        <v>2.2705637079533703E-5</v>
      </c>
      <c r="L221" t="s">
        <v>238</v>
      </c>
      <c r="N221" t="s">
        <v>346</v>
      </c>
      <c r="O221" t="s">
        <v>1605</v>
      </c>
      <c r="P221">
        <v>1.2227519312280001E-4</v>
      </c>
      <c r="Q221" t="s">
        <v>238</v>
      </c>
      <c r="S221" t="s">
        <v>347</v>
      </c>
      <c r="T221" t="s">
        <v>1605</v>
      </c>
      <c r="U221">
        <v>1.9213561560329999E-4</v>
      </c>
      <c r="V221" t="s">
        <v>238</v>
      </c>
      <c r="X221">
        <v>1.1415525114155251E-4</v>
      </c>
      <c r="Y221">
        <v>1.7237235744060203E-4</v>
      </c>
      <c r="Z221" t="s">
        <v>1605</v>
      </c>
      <c r="AA221" t="s">
        <v>25</v>
      </c>
      <c r="AC221" t="s">
        <v>22</v>
      </c>
      <c r="AD221" t="s">
        <v>1605</v>
      </c>
      <c r="AE221">
        <v>9.0681563765170379E-5</v>
      </c>
      <c r="AG221" t="s">
        <v>97</v>
      </c>
      <c r="AH221" t="s">
        <v>1605</v>
      </c>
      <c r="AI221">
        <v>0</v>
      </c>
    </row>
    <row r="222" spans="5:35" x14ac:dyDescent="0.45">
      <c r="E222" t="s">
        <v>908</v>
      </c>
      <c r="G222" t="s">
        <v>156</v>
      </c>
      <c r="I222" t="s">
        <v>236</v>
      </c>
      <c r="J222" t="s">
        <v>1606</v>
      </c>
      <c r="K222">
        <v>0</v>
      </c>
      <c r="L222" t="s">
        <v>238</v>
      </c>
      <c r="N222" t="s">
        <v>346</v>
      </c>
      <c r="O222" t="s">
        <v>1606</v>
      </c>
      <c r="P222">
        <v>1.4564283452540001E-4</v>
      </c>
      <c r="Q222" t="s">
        <v>238</v>
      </c>
      <c r="S222" t="s">
        <v>347</v>
      </c>
      <c r="T222" t="s">
        <v>1606</v>
      </c>
      <c r="U222">
        <v>1.918358235691E-4</v>
      </c>
      <c r="V222" t="s">
        <v>238</v>
      </c>
      <c r="X222">
        <v>1.1415525114155251E-4</v>
      </c>
      <c r="Y222">
        <v>1.5579809230208258E-4</v>
      </c>
      <c r="Z222" t="s">
        <v>1606</v>
      </c>
      <c r="AA222" t="s">
        <v>25</v>
      </c>
      <c r="AC222" t="s">
        <v>22</v>
      </c>
      <c r="AD222" t="s">
        <v>1606</v>
      </c>
      <c r="AE222">
        <v>9.1068510070845698E-5</v>
      </c>
      <c r="AG222" t="s">
        <v>97</v>
      </c>
      <c r="AH222" t="s">
        <v>1606</v>
      </c>
      <c r="AI222">
        <v>0</v>
      </c>
    </row>
    <row r="223" spans="5:35" x14ac:dyDescent="0.45">
      <c r="E223" t="s">
        <v>909</v>
      </c>
      <c r="G223" t="s">
        <v>156</v>
      </c>
      <c r="I223" t="s">
        <v>236</v>
      </c>
      <c r="J223" t="s">
        <v>1607</v>
      </c>
      <c r="K223">
        <v>0</v>
      </c>
      <c r="L223" t="s">
        <v>238</v>
      </c>
      <c r="N223" t="s">
        <v>346</v>
      </c>
      <c r="O223" t="s">
        <v>1607</v>
      </c>
      <c r="P223">
        <v>1.675792357986E-4</v>
      </c>
      <c r="Q223" t="s">
        <v>238</v>
      </c>
      <c r="S223" t="s">
        <v>347</v>
      </c>
      <c r="T223" t="s">
        <v>1607</v>
      </c>
      <c r="U223">
        <v>1.925935661397E-4</v>
      </c>
      <c r="V223" t="s">
        <v>238</v>
      </c>
      <c r="X223">
        <v>1.1415525114155251E-4</v>
      </c>
      <c r="Y223">
        <v>1.093901499142282E-4</v>
      </c>
      <c r="Z223" t="s">
        <v>1607</v>
      </c>
      <c r="AA223" t="s">
        <v>25</v>
      </c>
      <c r="AC223" t="s">
        <v>22</v>
      </c>
      <c r="AD223" t="s">
        <v>1607</v>
      </c>
      <c r="AE223">
        <v>9.0142705206155819E-5</v>
      </c>
      <c r="AG223" t="s">
        <v>97</v>
      </c>
      <c r="AH223" t="s">
        <v>1607</v>
      </c>
      <c r="AI223">
        <v>0</v>
      </c>
    </row>
    <row r="224" spans="5:35" x14ac:dyDescent="0.45">
      <c r="E224" t="s">
        <v>910</v>
      </c>
      <c r="G224" t="s">
        <v>156</v>
      </c>
      <c r="I224" t="s">
        <v>236</v>
      </c>
      <c r="J224" t="s">
        <v>1608</v>
      </c>
      <c r="K224">
        <v>0</v>
      </c>
      <c r="L224" t="s">
        <v>238</v>
      </c>
      <c r="N224" t="s">
        <v>346</v>
      </c>
      <c r="O224" t="s">
        <v>1608</v>
      </c>
      <c r="P224">
        <v>1.884670115092E-4</v>
      </c>
      <c r="Q224" t="s">
        <v>238</v>
      </c>
      <c r="S224" t="s">
        <v>347</v>
      </c>
      <c r="T224" t="s">
        <v>1608</v>
      </c>
      <c r="U224">
        <v>1.9540624198960001E-4</v>
      </c>
      <c r="V224" t="s">
        <v>238</v>
      </c>
      <c r="X224">
        <v>1.1415525114155251E-4</v>
      </c>
      <c r="Y224">
        <v>7.9556472664893237E-5</v>
      </c>
      <c r="Z224" t="s">
        <v>1608</v>
      </c>
      <c r="AA224" t="s">
        <v>25</v>
      </c>
      <c r="AC224" t="s">
        <v>22</v>
      </c>
      <c r="AD224" t="s">
        <v>1608</v>
      </c>
      <c r="AE224">
        <v>8.4994886206208575E-5</v>
      </c>
      <c r="AG224" t="s">
        <v>97</v>
      </c>
      <c r="AH224" t="s">
        <v>1608</v>
      </c>
      <c r="AI224">
        <v>0</v>
      </c>
    </row>
    <row r="225" spans="5:35" x14ac:dyDescent="0.45">
      <c r="E225" t="s">
        <v>911</v>
      </c>
      <c r="G225" t="s">
        <v>156</v>
      </c>
      <c r="I225" t="s">
        <v>236</v>
      </c>
      <c r="J225" t="s">
        <v>1609</v>
      </c>
      <c r="K225">
        <v>0</v>
      </c>
      <c r="L225" t="s">
        <v>238</v>
      </c>
      <c r="N225" t="s">
        <v>346</v>
      </c>
      <c r="O225" t="s">
        <v>1609</v>
      </c>
      <c r="P225">
        <v>2.1877234721170001E-4</v>
      </c>
      <c r="Q225" t="s">
        <v>238</v>
      </c>
      <c r="S225" t="s">
        <v>347</v>
      </c>
      <c r="T225" t="s">
        <v>1609</v>
      </c>
      <c r="U225">
        <v>1.98881992893E-4</v>
      </c>
      <c r="V225" t="s">
        <v>238</v>
      </c>
      <c r="X225">
        <v>1.1415525114155251E-4</v>
      </c>
      <c r="Y225">
        <v>5.6352501470966035E-5</v>
      </c>
      <c r="Z225" t="s">
        <v>1609</v>
      </c>
      <c r="AA225" t="s">
        <v>25</v>
      </c>
      <c r="AC225" t="s">
        <v>22</v>
      </c>
      <c r="AD225" t="s">
        <v>1609</v>
      </c>
      <c r="AE225">
        <v>8.6906687583137776E-5</v>
      </c>
      <c r="AG225" t="s">
        <v>97</v>
      </c>
      <c r="AH225" t="s">
        <v>1609</v>
      </c>
      <c r="AI225">
        <v>0</v>
      </c>
    </row>
    <row r="226" spans="5:35" x14ac:dyDescent="0.45">
      <c r="E226" t="s">
        <v>912</v>
      </c>
      <c r="G226" t="s">
        <v>156</v>
      </c>
      <c r="I226" t="s">
        <v>236</v>
      </c>
      <c r="J226" t="s">
        <v>1610</v>
      </c>
      <c r="K226">
        <v>0</v>
      </c>
      <c r="L226" t="s">
        <v>238</v>
      </c>
      <c r="N226" t="s">
        <v>346</v>
      </c>
      <c r="O226" t="s">
        <v>1610</v>
      </c>
      <c r="P226">
        <v>2.3951932748460001E-4</v>
      </c>
      <c r="Q226" t="s">
        <v>238</v>
      </c>
      <c r="S226" t="s">
        <v>347</v>
      </c>
      <c r="T226" t="s">
        <v>1610</v>
      </c>
      <c r="U226">
        <v>2.076005259795E-4</v>
      </c>
      <c r="V226" t="s">
        <v>238</v>
      </c>
      <c r="X226">
        <v>1.1415525114155251E-4</v>
      </c>
      <c r="Y226">
        <v>2.9833677249334962E-5</v>
      </c>
      <c r="Z226" t="s">
        <v>1610</v>
      </c>
      <c r="AA226" t="s">
        <v>25</v>
      </c>
      <c r="AC226" t="s">
        <v>22</v>
      </c>
      <c r="AD226" t="s">
        <v>1610</v>
      </c>
      <c r="AE226">
        <v>7.4624725214109911E-5</v>
      </c>
      <c r="AG226" t="s">
        <v>97</v>
      </c>
      <c r="AH226" t="s">
        <v>1610</v>
      </c>
      <c r="AI226">
        <v>0</v>
      </c>
    </row>
    <row r="227" spans="5:35" x14ac:dyDescent="0.45">
      <c r="E227" t="s">
        <v>913</v>
      </c>
      <c r="G227" t="s">
        <v>364</v>
      </c>
      <c r="I227" t="s">
        <v>236</v>
      </c>
      <c r="J227" t="s">
        <v>1611</v>
      </c>
      <c r="K227">
        <v>0</v>
      </c>
      <c r="L227" t="s">
        <v>238</v>
      </c>
      <c r="N227" t="s">
        <v>346</v>
      </c>
      <c r="O227" t="s">
        <v>1611</v>
      </c>
      <c r="P227">
        <v>2.451321925083E-4</v>
      </c>
      <c r="Q227" t="s">
        <v>238</v>
      </c>
      <c r="S227" t="s">
        <v>347</v>
      </c>
      <c r="T227" t="s">
        <v>1611</v>
      </c>
      <c r="U227">
        <v>2.091275840903E-4</v>
      </c>
      <c r="V227" t="s">
        <v>238</v>
      </c>
      <c r="X227">
        <v>1.1415525114155251E-4</v>
      </c>
      <c r="Y227">
        <v>2.1546544680075254E-5</v>
      </c>
      <c r="Z227" t="s">
        <v>1611</v>
      </c>
      <c r="AA227" t="s">
        <v>25</v>
      </c>
      <c r="AC227" t="s">
        <v>22</v>
      </c>
      <c r="AD227" t="s">
        <v>1611</v>
      </c>
      <c r="AE227">
        <v>6.6986118513185944E-5</v>
      </c>
      <c r="AG227" t="s">
        <v>97</v>
      </c>
      <c r="AH227" t="s">
        <v>1611</v>
      </c>
      <c r="AI227">
        <v>0</v>
      </c>
    </row>
    <row r="228" spans="5:35" x14ac:dyDescent="0.45">
      <c r="E228" t="s">
        <v>914</v>
      </c>
      <c r="G228" t="s">
        <v>364</v>
      </c>
      <c r="I228" t="s">
        <v>236</v>
      </c>
      <c r="J228" t="s">
        <v>1612</v>
      </c>
      <c r="K228">
        <v>0</v>
      </c>
      <c r="L228" t="s">
        <v>238</v>
      </c>
      <c r="N228" t="s">
        <v>346</v>
      </c>
      <c r="O228" t="s">
        <v>1612</v>
      </c>
      <c r="P228">
        <v>2.5108851372069999E-4</v>
      </c>
      <c r="Q228" t="s">
        <v>238</v>
      </c>
      <c r="S228" t="s">
        <v>347</v>
      </c>
      <c r="T228" t="s">
        <v>1612</v>
      </c>
      <c r="U228">
        <v>2.1110796299200001E-4</v>
      </c>
      <c r="V228" t="s">
        <v>238</v>
      </c>
      <c r="X228">
        <v>1.1415525114155251E-4</v>
      </c>
      <c r="Y228">
        <v>1.4916838624667481E-5</v>
      </c>
      <c r="Z228" t="s">
        <v>1612</v>
      </c>
      <c r="AA228" t="s">
        <v>25</v>
      </c>
      <c r="AC228" t="s">
        <v>22</v>
      </c>
      <c r="AD228" t="s">
        <v>1612</v>
      </c>
      <c r="AE228">
        <v>6.5713495107853776E-5</v>
      </c>
      <c r="AG228" t="s">
        <v>97</v>
      </c>
      <c r="AH228" t="s">
        <v>1612</v>
      </c>
      <c r="AI228">
        <v>0</v>
      </c>
    </row>
    <row r="229" spans="5:35" x14ac:dyDescent="0.45">
      <c r="E229" t="s">
        <v>915</v>
      </c>
      <c r="G229" t="s">
        <v>364</v>
      </c>
      <c r="I229" t="s">
        <v>236</v>
      </c>
      <c r="J229" t="s">
        <v>1613</v>
      </c>
      <c r="K229">
        <v>0</v>
      </c>
      <c r="L229" t="s">
        <v>238</v>
      </c>
      <c r="N229" t="s">
        <v>346</v>
      </c>
      <c r="O229" t="s">
        <v>1613</v>
      </c>
      <c r="P229">
        <v>2.5549230801500002E-4</v>
      </c>
      <c r="Q229" t="s">
        <v>238</v>
      </c>
      <c r="S229" t="s">
        <v>347</v>
      </c>
      <c r="T229" t="s">
        <v>1613</v>
      </c>
      <c r="U229">
        <v>2.1234987979339999E-4</v>
      </c>
      <c r="V229" t="s">
        <v>238</v>
      </c>
      <c r="X229">
        <v>1.1415525114155251E-4</v>
      </c>
      <c r="Y229">
        <v>1.6574265138519424E-5</v>
      </c>
      <c r="Z229" t="s">
        <v>1613</v>
      </c>
      <c r="AA229" t="s">
        <v>25</v>
      </c>
      <c r="AC229" t="s">
        <v>22</v>
      </c>
      <c r="AD229" t="s">
        <v>1613</v>
      </c>
      <c r="AE229">
        <v>6.5713495107853776E-5</v>
      </c>
      <c r="AG229" t="s">
        <v>97</v>
      </c>
      <c r="AH229" t="s">
        <v>1613</v>
      </c>
      <c r="AI229">
        <v>0</v>
      </c>
    </row>
    <row r="230" spans="5:35" x14ac:dyDescent="0.45">
      <c r="E230" t="s">
        <v>916</v>
      </c>
      <c r="G230" t="s">
        <v>364</v>
      </c>
      <c r="I230" t="s">
        <v>236</v>
      </c>
      <c r="J230" t="s">
        <v>1614</v>
      </c>
      <c r="K230">
        <v>0</v>
      </c>
      <c r="L230" t="s">
        <v>238</v>
      </c>
      <c r="N230" t="s">
        <v>346</v>
      </c>
      <c r="O230" t="s">
        <v>1614</v>
      </c>
      <c r="P230">
        <v>2.5216662776020001E-4</v>
      </c>
      <c r="Q230" t="s">
        <v>238</v>
      </c>
      <c r="S230" t="s">
        <v>347</v>
      </c>
      <c r="T230" t="s">
        <v>1614</v>
      </c>
      <c r="U230">
        <v>2.030549473141E-4</v>
      </c>
      <c r="V230" t="s">
        <v>238</v>
      </c>
      <c r="X230">
        <v>1.1415525114155251E-4</v>
      </c>
      <c r="Y230">
        <v>1.4585353321897093E-5</v>
      </c>
      <c r="Z230" t="s">
        <v>1614</v>
      </c>
      <c r="AA230" t="s">
        <v>25</v>
      </c>
      <c r="AC230" t="s">
        <v>22</v>
      </c>
      <c r="AD230" t="s">
        <v>1614</v>
      </c>
      <c r="AE230">
        <v>6.645872502989515E-5</v>
      </c>
      <c r="AG230" t="s">
        <v>97</v>
      </c>
      <c r="AH230" t="s">
        <v>1614</v>
      </c>
      <c r="AI230">
        <v>0</v>
      </c>
    </row>
    <row r="231" spans="5:35" x14ac:dyDescent="0.45">
      <c r="E231" t="s">
        <v>917</v>
      </c>
      <c r="G231" t="s">
        <v>364</v>
      </c>
      <c r="I231" t="s">
        <v>236</v>
      </c>
      <c r="J231" t="s">
        <v>1615</v>
      </c>
      <c r="K231">
        <v>0</v>
      </c>
      <c r="L231" t="s">
        <v>238</v>
      </c>
      <c r="N231" t="s">
        <v>346</v>
      </c>
      <c r="O231" t="s">
        <v>1615</v>
      </c>
      <c r="P231">
        <v>2.4449964029210001E-4</v>
      </c>
      <c r="Q231" t="s">
        <v>238</v>
      </c>
      <c r="S231" t="s">
        <v>347</v>
      </c>
      <c r="T231" t="s">
        <v>1615</v>
      </c>
      <c r="U231">
        <v>2.100862787515E-4</v>
      </c>
      <c r="V231" t="s">
        <v>238</v>
      </c>
      <c r="X231">
        <v>1.1415525114155251E-4</v>
      </c>
      <c r="Y231">
        <v>2.1215059377304864E-5</v>
      </c>
      <c r="Z231" t="s">
        <v>1615</v>
      </c>
      <c r="AA231" t="s">
        <v>25</v>
      </c>
      <c r="AC231" t="s">
        <v>22</v>
      </c>
      <c r="AD231" t="s">
        <v>1615</v>
      </c>
      <c r="AE231">
        <v>7.6163911630018418E-5</v>
      </c>
      <c r="AG231" t="s">
        <v>97</v>
      </c>
      <c r="AH231" t="s">
        <v>1615</v>
      </c>
      <c r="AI231">
        <v>0</v>
      </c>
    </row>
    <row r="232" spans="5:35" x14ac:dyDescent="0.45">
      <c r="E232" t="s">
        <v>918</v>
      </c>
      <c r="G232" t="s">
        <v>364</v>
      </c>
      <c r="I232" t="s">
        <v>236</v>
      </c>
      <c r="J232" t="s">
        <v>1616</v>
      </c>
      <c r="K232">
        <v>0</v>
      </c>
      <c r="L232" t="s">
        <v>238</v>
      </c>
      <c r="N232" t="s">
        <v>346</v>
      </c>
      <c r="O232" t="s">
        <v>1616</v>
      </c>
      <c r="P232">
        <v>2.3874672469510001E-4</v>
      </c>
      <c r="Q232" t="s">
        <v>238</v>
      </c>
      <c r="S232" t="s">
        <v>347</v>
      </c>
      <c r="T232" t="s">
        <v>1616</v>
      </c>
      <c r="U232">
        <v>2.168524621231E-4</v>
      </c>
      <c r="V232" t="s">
        <v>238</v>
      </c>
      <c r="X232">
        <v>1.1415525114155251E-4</v>
      </c>
      <c r="Y232">
        <v>5.7678442682047593E-5</v>
      </c>
      <c r="Z232" t="s">
        <v>1616</v>
      </c>
      <c r="AA232" t="s">
        <v>25</v>
      </c>
      <c r="AC232" t="s">
        <v>22</v>
      </c>
      <c r="AD232" t="s">
        <v>1616</v>
      </c>
      <c r="AE232">
        <v>9.6196265188276447E-5</v>
      </c>
      <c r="AG232" t="s">
        <v>97</v>
      </c>
      <c r="AH232" t="s">
        <v>1616</v>
      </c>
      <c r="AI232">
        <v>0</v>
      </c>
    </row>
    <row r="233" spans="5:35" x14ac:dyDescent="0.45">
      <c r="E233" t="s">
        <v>919</v>
      </c>
      <c r="G233" t="s">
        <v>364</v>
      </c>
      <c r="I233" t="s">
        <v>236</v>
      </c>
      <c r="J233" t="s">
        <v>1617</v>
      </c>
      <c r="K233">
        <v>1.0133578481788369E-6</v>
      </c>
      <c r="L233" t="s">
        <v>238</v>
      </c>
      <c r="N233" t="s">
        <v>346</v>
      </c>
      <c r="O233" t="s">
        <v>1617</v>
      </c>
      <c r="P233">
        <v>2.3632006656780001E-4</v>
      </c>
      <c r="Q233" t="s">
        <v>238</v>
      </c>
      <c r="S233" t="s">
        <v>347</v>
      </c>
      <c r="T233" t="s">
        <v>1617</v>
      </c>
      <c r="U233">
        <v>2.184376336708E-4</v>
      </c>
      <c r="V233" t="s">
        <v>238</v>
      </c>
      <c r="X233">
        <v>1.1415525114155251E-4</v>
      </c>
      <c r="Y233">
        <v>1.6905750441289813E-4</v>
      </c>
      <c r="Z233" t="s">
        <v>1617</v>
      </c>
      <c r="AA233" t="s">
        <v>25</v>
      </c>
      <c r="AC233" t="s">
        <v>22</v>
      </c>
      <c r="AD233" t="s">
        <v>1617</v>
      </c>
      <c r="AE233">
        <v>1.1174004160070072E-4</v>
      </c>
      <c r="AG233" t="s">
        <v>97</v>
      </c>
      <c r="AH233" t="s">
        <v>1617</v>
      </c>
      <c r="AI233">
        <v>0</v>
      </c>
    </row>
    <row r="234" spans="5:35" x14ac:dyDescent="0.45">
      <c r="E234" t="s">
        <v>920</v>
      </c>
      <c r="G234" t="s">
        <v>364</v>
      </c>
      <c r="I234" t="s">
        <v>236</v>
      </c>
      <c r="J234" t="s">
        <v>1618</v>
      </c>
      <c r="K234">
        <v>1.7838776138842043E-5</v>
      </c>
      <c r="L234" t="s">
        <v>238</v>
      </c>
      <c r="N234" t="s">
        <v>346</v>
      </c>
      <c r="O234" t="s">
        <v>1618</v>
      </c>
      <c r="P234">
        <v>2.4216014721549999E-4</v>
      </c>
      <c r="Q234" t="s">
        <v>238</v>
      </c>
      <c r="S234" t="s">
        <v>347</v>
      </c>
      <c r="T234" t="s">
        <v>1618</v>
      </c>
      <c r="U234">
        <v>2.2042252246560001E-4</v>
      </c>
      <c r="V234" t="s">
        <v>238</v>
      </c>
      <c r="X234">
        <v>1.1415525114155251E-4</v>
      </c>
      <c r="Y234">
        <v>1.9060404909297337E-4</v>
      </c>
      <c r="Z234" t="s">
        <v>1618</v>
      </c>
      <c r="AA234" t="s">
        <v>25</v>
      </c>
      <c r="AC234" t="s">
        <v>22</v>
      </c>
      <c r="AD234" t="s">
        <v>1618</v>
      </c>
      <c r="AE234">
        <v>1.218579709268777E-4</v>
      </c>
      <c r="AG234" t="s">
        <v>97</v>
      </c>
      <c r="AH234" t="s">
        <v>1618</v>
      </c>
      <c r="AI234">
        <v>0</v>
      </c>
    </row>
    <row r="235" spans="5:35" x14ac:dyDescent="0.45">
      <c r="E235" t="s">
        <v>921</v>
      </c>
      <c r="G235" t="s">
        <v>364</v>
      </c>
      <c r="I235" t="s">
        <v>236</v>
      </c>
      <c r="J235" t="s">
        <v>1619</v>
      </c>
      <c r="K235">
        <v>3.4190361615848773E-5</v>
      </c>
      <c r="L235" t="s">
        <v>238</v>
      </c>
      <c r="N235" t="s">
        <v>346</v>
      </c>
      <c r="O235" t="s">
        <v>1619</v>
      </c>
      <c r="P235">
        <v>2.4270935344209999E-4</v>
      </c>
      <c r="Q235" t="s">
        <v>238</v>
      </c>
      <c r="S235" t="s">
        <v>347</v>
      </c>
      <c r="T235" t="s">
        <v>1619</v>
      </c>
      <c r="U235">
        <v>2.205372595161E-4</v>
      </c>
      <c r="V235" t="s">
        <v>238</v>
      </c>
      <c r="X235">
        <v>1.1415525114155251E-4</v>
      </c>
      <c r="Y235">
        <v>1.4585353321897094E-4</v>
      </c>
      <c r="Z235" t="s">
        <v>1619</v>
      </c>
      <c r="AA235" t="s">
        <v>25</v>
      </c>
      <c r="AC235" t="s">
        <v>22</v>
      </c>
      <c r="AD235" t="s">
        <v>1619</v>
      </c>
      <c r="AE235">
        <v>1.2620610089509595E-4</v>
      </c>
      <c r="AG235" t="s">
        <v>97</v>
      </c>
      <c r="AH235" t="s">
        <v>1619</v>
      </c>
      <c r="AI235">
        <v>0</v>
      </c>
    </row>
    <row r="236" spans="5:35" x14ac:dyDescent="0.45">
      <c r="E236" t="s">
        <v>922</v>
      </c>
      <c r="G236" t="s">
        <v>364</v>
      </c>
      <c r="I236" t="s">
        <v>236</v>
      </c>
      <c r="J236" t="s">
        <v>1620</v>
      </c>
      <c r="K236">
        <v>5.4372889674411779E-5</v>
      </c>
      <c r="L236" t="s">
        <v>238</v>
      </c>
      <c r="N236" t="s">
        <v>346</v>
      </c>
      <c r="O236" t="s">
        <v>1620</v>
      </c>
      <c r="P236">
        <v>2.5265817050140001E-4</v>
      </c>
      <c r="Q236" t="s">
        <v>238</v>
      </c>
      <c r="S236" t="s">
        <v>347</v>
      </c>
      <c r="T236" t="s">
        <v>1620</v>
      </c>
      <c r="U236">
        <v>2.191068793728E-4</v>
      </c>
      <c r="V236" t="s">
        <v>238</v>
      </c>
      <c r="X236">
        <v>1.1415525114155251E-4</v>
      </c>
      <c r="Y236">
        <v>1.4452759200788939E-4</v>
      </c>
      <c r="Z236" t="s">
        <v>1620</v>
      </c>
      <c r="AA236" t="s">
        <v>25</v>
      </c>
      <c r="AC236" t="s">
        <v>22</v>
      </c>
      <c r="AD236" t="s">
        <v>1620</v>
      </c>
      <c r="AE236">
        <v>1.2618317074364853E-4</v>
      </c>
      <c r="AG236" t="s">
        <v>97</v>
      </c>
      <c r="AH236" t="s">
        <v>1620</v>
      </c>
      <c r="AI236">
        <v>0</v>
      </c>
    </row>
    <row r="237" spans="5:35" x14ac:dyDescent="0.45">
      <c r="E237" t="s">
        <v>923</v>
      </c>
      <c r="G237" t="s">
        <v>364</v>
      </c>
      <c r="I237" t="s">
        <v>236</v>
      </c>
      <c r="J237" t="s">
        <v>1621</v>
      </c>
      <c r="K237">
        <v>7.3862642162612031E-5</v>
      </c>
      <c r="L237" t="s">
        <v>238</v>
      </c>
      <c r="N237" t="s">
        <v>346</v>
      </c>
      <c r="O237" t="s">
        <v>1621</v>
      </c>
      <c r="P237">
        <v>2.264398695569E-4</v>
      </c>
      <c r="Q237" t="s">
        <v>238</v>
      </c>
      <c r="S237" t="s">
        <v>347</v>
      </c>
      <c r="T237" t="s">
        <v>1621</v>
      </c>
      <c r="U237">
        <v>2.167315597253E-4</v>
      </c>
      <c r="V237" t="s">
        <v>238</v>
      </c>
      <c r="X237">
        <v>1.1415525114155251E-4</v>
      </c>
      <c r="Y237">
        <v>1.408812536774151E-4</v>
      </c>
      <c r="Z237" t="s">
        <v>1621</v>
      </c>
      <c r="AA237" t="s">
        <v>25</v>
      </c>
      <c r="AC237" t="s">
        <v>22</v>
      </c>
      <c r="AD237" t="s">
        <v>1621</v>
      </c>
      <c r="AE237">
        <v>1.2602265968351657E-4</v>
      </c>
      <c r="AG237" t="s">
        <v>97</v>
      </c>
      <c r="AH237" t="s">
        <v>1621</v>
      </c>
      <c r="AI237">
        <v>0</v>
      </c>
    </row>
    <row r="238" spans="5:35" x14ac:dyDescent="0.45">
      <c r="E238" t="s">
        <v>924</v>
      </c>
      <c r="G238" t="s">
        <v>364</v>
      </c>
      <c r="I238" t="s">
        <v>236</v>
      </c>
      <c r="J238" t="s">
        <v>1622</v>
      </c>
      <c r="K238">
        <v>9.0587010185960045E-5</v>
      </c>
      <c r="L238" t="s">
        <v>238</v>
      </c>
      <c r="N238" t="s">
        <v>346</v>
      </c>
      <c r="O238" t="s">
        <v>1622</v>
      </c>
      <c r="P238">
        <v>2.410452365563E-4</v>
      </c>
      <c r="Q238" t="s">
        <v>238</v>
      </c>
      <c r="S238" t="s">
        <v>347</v>
      </c>
      <c r="T238" t="s">
        <v>1622</v>
      </c>
      <c r="U238">
        <v>2.167210280428E-4</v>
      </c>
      <c r="V238" t="s">
        <v>238</v>
      </c>
      <c r="X238">
        <v>1.1415525114155251E-4</v>
      </c>
      <c r="Y238">
        <v>1.4054976837464471E-4</v>
      </c>
      <c r="Z238" t="s">
        <v>1622</v>
      </c>
      <c r="AA238" t="s">
        <v>25</v>
      </c>
      <c r="AC238" t="s">
        <v>22</v>
      </c>
      <c r="AD238" t="s">
        <v>1622</v>
      </c>
      <c r="AE238">
        <v>1.2595960176703611E-4</v>
      </c>
      <c r="AG238" t="s">
        <v>97</v>
      </c>
      <c r="AH238" t="s">
        <v>1622</v>
      </c>
      <c r="AI238">
        <v>0</v>
      </c>
    </row>
    <row r="239" spans="5:35" x14ac:dyDescent="0.45">
      <c r="E239" t="s">
        <v>925</v>
      </c>
      <c r="G239" t="s">
        <v>364</v>
      </c>
      <c r="I239" t="s">
        <v>236</v>
      </c>
      <c r="J239" t="s">
        <v>1623</v>
      </c>
      <c r="K239">
        <v>9.3939656056002258E-5</v>
      </c>
      <c r="L239" t="s">
        <v>238</v>
      </c>
      <c r="N239" t="s">
        <v>346</v>
      </c>
      <c r="O239" t="s">
        <v>1623</v>
      </c>
      <c r="P239">
        <v>2.4438351366299997E-4</v>
      </c>
      <c r="Q239" t="s">
        <v>238</v>
      </c>
      <c r="S239" t="s">
        <v>347</v>
      </c>
      <c r="T239" t="s">
        <v>1623</v>
      </c>
      <c r="U239">
        <v>2.150860603761E-4</v>
      </c>
      <c r="V239" t="s">
        <v>238</v>
      </c>
      <c r="X239">
        <v>1.1415525114155251E-4</v>
      </c>
      <c r="Y239">
        <v>1.4253868019126702E-4</v>
      </c>
      <c r="Z239" t="s">
        <v>1623</v>
      </c>
      <c r="AA239" t="s">
        <v>25</v>
      </c>
      <c r="AC239" t="s">
        <v>22</v>
      </c>
      <c r="AD239" t="s">
        <v>1623</v>
      </c>
      <c r="AE239">
        <v>1.2569303875645978E-4</v>
      </c>
      <c r="AG239" t="s">
        <v>97</v>
      </c>
      <c r="AH239" t="s">
        <v>1623</v>
      </c>
      <c r="AI239">
        <v>0</v>
      </c>
    </row>
    <row r="240" spans="5:35" x14ac:dyDescent="0.45">
      <c r="E240" t="s">
        <v>926</v>
      </c>
      <c r="G240" t="s">
        <v>364</v>
      </c>
      <c r="I240" t="s">
        <v>236</v>
      </c>
      <c r="J240" t="s">
        <v>1624</v>
      </c>
      <c r="K240">
        <v>9.5612949550962536E-5</v>
      </c>
      <c r="L240" t="s">
        <v>238</v>
      </c>
      <c r="N240" t="s">
        <v>346</v>
      </c>
      <c r="O240" t="s">
        <v>1624</v>
      </c>
      <c r="P240">
        <v>2.3426070890630001E-4</v>
      </c>
      <c r="Q240" t="s">
        <v>238</v>
      </c>
      <c r="S240" t="s">
        <v>347</v>
      </c>
      <c r="T240" t="s">
        <v>1624</v>
      </c>
      <c r="U240">
        <v>2.137256906004E-4</v>
      </c>
      <c r="V240" t="s">
        <v>238</v>
      </c>
      <c r="X240">
        <v>1.1415525114155251E-4</v>
      </c>
      <c r="Y240">
        <v>1.4883690094390442E-4</v>
      </c>
      <c r="Z240" t="s">
        <v>1624</v>
      </c>
      <c r="AA240" t="s">
        <v>25</v>
      </c>
      <c r="AC240" t="s">
        <v>22</v>
      </c>
      <c r="AD240" t="s">
        <v>1624</v>
      </c>
      <c r="AE240">
        <v>1.2498220406158956E-4</v>
      </c>
      <c r="AG240" t="s">
        <v>97</v>
      </c>
      <c r="AH240" t="s">
        <v>1624</v>
      </c>
      <c r="AI240">
        <v>0</v>
      </c>
    </row>
    <row r="241" spans="5:35" x14ac:dyDescent="0.45">
      <c r="E241" t="s">
        <v>927</v>
      </c>
      <c r="G241" t="s">
        <v>364</v>
      </c>
      <c r="I241" t="s">
        <v>236</v>
      </c>
      <c r="J241" t="s">
        <v>1625</v>
      </c>
      <c r="K241">
        <v>7.9204020757858861E-5</v>
      </c>
      <c r="L241" t="s">
        <v>238</v>
      </c>
      <c r="N241" t="s">
        <v>346</v>
      </c>
      <c r="O241" t="s">
        <v>1625</v>
      </c>
      <c r="P241">
        <v>2.0452645313879999E-4</v>
      </c>
      <c r="Q241" t="s">
        <v>238</v>
      </c>
      <c r="S241" t="s">
        <v>347</v>
      </c>
      <c r="T241" t="s">
        <v>1625</v>
      </c>
      <c r="U241">
        <v>2.1067994621990001E-4</v>
      </c>
      <c r="V241" t="s">
        <v>238</v>
      </c>
      <c r="X241">
        <v>1.1415525114155251E-4</v>
      </c>
      <c r="Y241">
        <v>1.5049432745775637E-4</v>
      </c>
      <c r="Z241" t="s">
        <v>1625</v>
      </c>
      <c r="AA241" t="s">
        <v>25</v>
      </c>
      <c r="AC241" t="s">
        <v>22</v>
      </c>
      <c r="AD241" t="s">
        <v>1625</v>
      </c>
      <c r="AE241">
        <v>1.2342008749423363E-4</v>
      </c>
      <c r="AG241" t="s">
        <v>97</v>
      </c>
      <c r="AH241" t="s">
        <v>1625</v>
      </c>
      <c r="AI241">
        <v>0</v>
      </c>
    </row>
    <row r="242" spans="5:35" x14ac:dyDescent="0.45">
      <c r="E242" t="s">
        <v>928</v>
      </c>
      <c r="G242" t="s">
        <v>364</v>
      </c>
      <c r="I242" t="s">
        <v>236</v>
      </c>
      <c r="J242" t="s">
        <v>1626</v>
      </c>
      <c r="K242">
        <v>7.2254658244120428E-5</v>
      </c>
      <c r="L242" t="s">
        <v>238</v>
      </c>
      <c r="N242" t="s">
        <v>346</v>
      </c>
      <c r="O242" t="s">
        <v>1626</v>
      </c>
      <c r="P242">
        <v>1.9315503547380001E-4</v>
      </c>
      <c r="Q242" t="s">
        <v>238</v>
      </c>
      <c r="S242" t="s">
        <v>347</v>
      </c>
      <c r="T242" t="s">
        <v>1626</v>
      </c>
      <c r="U242">
        <v>2.07513612673E-4</v>
      </c>
      <c r="V242" t="s">
        <v>238</v>
      </c>
      <c r="X242">
        <v>1.1415525114155251E-4</v>
      </c>
      <c r="Y242">
        <v>1.7237235744060203E-4</v>
      </c>
      <c r="Z242" t="s">
        <v>1626</v>
      </c>
      <c r="AA242" t="s">
        <v>25</v>
      </c>
      <c r="AC242" t="s">
        <v>22</v>
      </c>
      <c r="AD242" t="s">
        <v>1626</v>
      </c>
      <c r="AE242">
        <v>1.2371531319411926E-4</v>
      </c>
      <c r="AG242" t="s">
        <v>97</v>
      </c>
      <c r="AH242" t="s">
        <v>1626</v>
      </c>
      <c r="AI242">
        <v>0</v>
      </c>
    </row>
    <row r="243" spans="5:35" x14ac:dyDescent="0.45">
      <c r="E243" t="s">
        <v>929</v>
      </c>
      <c r="G243" t="s">
        <v>364</v>
      </c>
      <c r="I243" t="s">
        <v>236</v>
      </c>
      <c r="J243" t="s">
        <v>1627</v>
      </c>
      <c r="K243">
        <v>5.8533089638620389E-5</v>
      </c>
      <c r="L243" t="s">
        <v>238</v>
      </c>
      <c r="N243" t="s">
        <v>346</v>
      </c>
      <c r="O243" t="s">
        <v>1627</v>
      </c>
      <c r="P243">
        <v>1.698253143422E-4</v>
      </c>
      <c r="Q243" t="s">
        <v>238</v>
      </c>
      <c r="S243" t="s">
        <v>347</v>
      </c>
      <c r="T243" t="s">
        <v>1627</v>
      </c>
      <c r="U243">
        <v>1.94865147397E-4</v>
      </c>
      <c r="V243" t="s">
        <v>238</v>
      </c>
      <c r="X243">
        <v>1.1415525114155251E-4</v>
      </c>
      <c r="Y243">
        <v>2.2209515285616027E-4</v>
      </c>
      <c r="Z243" t="s">
        <v>1627</v>
      </c>
      <c r="AA243" t="s">
        <v>25</v>
      </c>
      <c r="AC243" t="s">
        <v>22</v>
      </c>
      <c r="AD243" t="s">
        <v>1627</v>
      </c>
      <c r="AE243">
        <v>1.2437168877930184E-4</v>
      </c>
      <c r="AG243" t="s">
        <v>97</v>
      </c>
      <c r="AH243" t="s">
        <v>1627</v>
      </c>
      <c r="AI243">
        <v>0</v>
      </c>
    </row>
    <row r="244" spans="5:35" x14ac:dyDescent="0.45">
      <c r="E244" t="s">
        <v>930</v>
      </c>
      <c r="G244" t="s">
        <v>364</v>
      </c>
      <c r="I244" t="s">
        <v>236</v>
      </c>
      <c r="J244" t="s">
        <v>1628</v>
      </c>
      <c r="K244">
        <v>3.9011931171111331E-5</v>
      </c>
      <c r="L244" t="s">
        <v>238</v>
      </c>
      <c r="N244" t="s">
        <v>346</v>
      </c>
      <c r="O244" t="s">
        <v>1628</v>
      </c>
      <c r="P244">
        <v>1.3597239165519999E-4</v>
      </c>
      <c r="Q244" t="s">
        <v>238</v>
      </c>
      <c r="S244" t="s">
        <v>347</v>
      </c>
      <c r="T244" t="s">
        <v>1628</v>
      </c>
      <c r="U244">
        <v>1.722537005286E-4</v>
      </c>
      <c r="V244" t="s">
        <v>238</v>
      </c>
      <c r="X244">
        <v>1.1415525114155251E-4</v>
      </c>
      <c r="Y244">
        <v>2.2209515285616027E-4</v>
      </c>
      <c r="Z244" t="s">
        <v>1628</v>
      </c>
      <c r="AA244" t="s">
        <v>25</v>
      </c>
      <c r="AC244" t="s">
        <v>22</v>
      </c>
      <c r="AD244" t="s">
        <v>1628</v>
      </c>
      <c r="AE244">
        <v>1.2585068354766085E-4</v>
      </c>
      <c r="AG244" t="s">
        <v>97</v>
      </c>
      <c r="AH244" t="s">
        <v>1628</v>
      </c>
      <c r="AI244">
        <v>0</v>
      </c>
    </row>
    <row r="245" spans="5:35" x14ac:dyDescent="0.45">
      <c r="E245" t="s">
        <v>931</v>
      </c>
      <c r="G245" t="s">
        <v>364</v>
      </c>
      <c r="I245" t="s">
        <v>236</v>
      </c>
      <c r="J245" t="s">
        <v>1629</v>
      </c>
      <c r="K245">
        <v>1.2665002355265934E-5</v>
      </c>
      <c r="L245" t="s">
        <v>238</v>
      </c>
      <c r="N245" t="s">
        <v>346</v>
      </c>
      <c r="O245" t="s">
        <v>1629</v>
      </c>
      <c r="P245">
        <v>1.078260149524E-4</v>
      </c>
      <c r="Q245" t="s">
        <v>238</v>
      </c>
      <c r="S245" t="s">
        <v>347</v>
      </c>
      <c r="T245" t="s">
        <v>1629</v>
      </c>
      <c r="U245">
        <v>1.6329141862439999E-4</v>
      </c>
      <c r="V245" t="s">
        <v>238</v>
      </c>
      <c r="X245">
        <v>1.1415525114155251E-4</v>
      </c>
      <c r="Y245">
        <v>1.7237235744060203E-4</v>
      </c>
      <c r="Z245" t="s">
        <v>1629</v>
      </c>
      <c r="AA245" t="s">
        <v>25</v>
      </c>
      <c r="AC245" t="s">
        <v>22</v>
      </c>
      <c r="AD245" t="s">
        <v>1629</v>
      </c>
      <c r="AE245">
        <v>1.2573316652149277E-4</v>
      </c>
      <c r="AG245" t="s">
        <v>97</v>
      </c>
      <c r="AH245" t="s">
        <v>1629</v>
      </c>
      <c r="AI245">
        <v>0</v>
      </c>
    </row>
    <row r="246" spans="5:35" x14ac:dyDescent="0.45">
      <c r="E246" t="s">
        <v>932</v>
      </c>
      <c r="G246" t="s">
        <v>364</v>
      </c>
      <c r="I246" t="s">
        <v>236</v>
      </c>
      <c r="J246" t="s">
        <v>1630</v>
      </c>
      <c r="K246">
        <v>0</v>
      </c>
      <c r="L246" t="s">
        <v>238</v>
      </c>
      <c r="N246" t="s">
        <v>346</v>
      </c>
      <c r="O246" t="s">
        <v>1630</v>
      </c>
      <c r="P246">
        <v>9.9935355632499562E-5</v>
      </c>
      <c r="Q246" t="s">
        <v>238</v>
      </c>
      <c r="S246" t="s">
        <v>347</v>
      </c>
      <c r="T246" t="s">
        <v>1630</v>
      </c>
      <c r="U246">
        <v>1.632970288281E-4</v>
      </c>
      <c r="V246" t="s">
        <v>238</v>
      </c>
      <c r="X246">
        <v>1.1415525114155251E-4</v>
      </c>
      <c r="Y246">
        <v>1.5579809230208258E-4</v>
      </c>
      <c r="Z246" t="s">
        <v>1630</v>
      </c>
      <c r="AA246" t="s">
        <v>25</v>
      </c>
      <c r="AC246" t="s">
        <v>22</v>
      </c>
      <c r="AD246" t="s">
        <v>1630</v>
      </c>
      <c r="AE246">
        <v>1.2218472558500352E-4</v>
      </c>
      <c r="AG246" t="s">
        <v>97</v>
      </c>
      <c r="AH246" t="s">
        <v>1630</v>
      </c>
      <c r="AI246">
        <v>0</v>
      </c>
    </row>
    <row r="247" spans="5:35" x14ac:dyDescent="0.45">
      <c r="E247" t="s">
        <v>933</v>
      </c>
      <c r="G247" t="s">
        <v>364</v>
      </c>
      <c r="I247" t="s">
        <v>236</v>
      </c>
      <c r="J247" t="s">
        <v>1631</v>
      </c>
      <c r="K247">
        <v>0</v>
      </c>
      <c r="L247" t="s">
        <v>238</v>
      </c>
      <c r="N247" t="s">
        <v>346</v>
      </c>
      <c r="O247" t="s">
        <v>1631</v>
      </c>
      <c r="P247">
        <v>1.044496940675E-4</v>
      </c>
      <c r="Q247" t="s">
        <v>238</v>
      </c>
      <c r="S247" t="s">
        <v>347</v>
      </c>
      <c r="T247" t="s">
        <v>1631</v>
      </c>
      <c r="U247">
        <v>1.652554630581E-4</v>
      </c>
      <c r="V247" t="s">
        <v>238</v>
      </c>
      <c r="X247">
        <v>1.1415525114155251E-4</v>
      </c>
      <c r="Y247">
        <v>1.093901499142282E-4</v>
      </c>
      <c r="Z247" t="s">
        <v>1631</v>
      </c>
      <c r="AA247" t="s">
        <v>25</v>
      </c>
      <c r="AC247" t="s">
        <v>22</v>
      </c>
      <c r="AD247" t="s">
        <v>1631</v>
      </c>
      <c r="AE247">
        <v>1.0750942865865053E-4</v>
      </c>
      <c r="AG247" t="s">
        <v>97</v>
      </c>
      <c r="AH247" t="s">
        <v>1631</v>
      </c>
      <c r="AI247">
        <v>0</v>
      </c>
    </row>
    <row r="248" spans="5:35" x14ac:dyDescent="0.45">
      <c r="E248" t="s">
        <v>934</v>
      </c>
      <c r="G248" t="s">
        <v>364</v>
      </c>
      <c r="I248" t="s">
        <v>236</v>
      </c>
      <c r="J248" t="s">
        <v>1632</v>
      </c>
      <c r="K248">
        <v>0</v>
      </c>
      <c r="L248" t="s">
        <v>238</v>
      </c>
      <c r="N248" t="s">
        <v>346</v>
      </c>
      <c r="O248" t="s">
        <v>1632</v>
      </c>
      <c r="P248">
        <v>1.166304076815E-4</v>
      </c>
      <c r="Q248" t="s">
        <v>238</v>
      </c>
      <c r="S248" t="s">
        <v>347</v>
      </c>
      <c r="T248" t="s">
        <v>1632</v>
      </c>
      <c r="U248">
        <v>1.7608328912E-4</v>
      </c>
      <c r="V248" t="s">
        <v>238</v>
      </c>
      <c r="X248">
        <v>1.1415525114155251E-4</v>
      </c>
      <c r="Y248">
        <v>7.9556472664893237E-5</v>
      </c>
      <c r="Z248" t="s">
        <v>1632</v>
      </c>
      <c r="AA248" t="s">
        <v>25</v>
      </c>
      <c r="AC248" t="s">
        <v>22</v>
      </c>
      <c r="AD248" t="s">
        <v>1632</v>
      </c>
      <c r="AE248">
        <v>9.8033543573001526E-5</v>
      </c>
      <c r="AG248" t="s">
        <v>97</v>
      </c>
      <c r="AH248" t="s">
        <v>1632</v>
      </c>
      <c r="AI248">
        <v>0</v>
      </c>
    </row>
    <row r="249" spans="5:35" x14ac:dyDescent="0.45">
      <c r="E249" t="s">
        <v>935</v>
      </c>
      <c r="G249" t="s">
        <v>364</v>
      </c>
      <c r="I249" t="s">
        <v>236</v>
      </c>
      <c r="J249" t="s">
        <v>1633</v>
      </c>
      <c r="K249">
        <v>0</v>
      </c>
      <c r="L249" t="s">
        <v>238</v>
      </c>
      <c r="N249" t="s">
        <v>346</v>
      </c>
      <c r="O249" t="s">
        <v>1633</v>
      </c>
      <c r="P249">
        <v>1.3674496888519999E-4</v>
      </c>
      <c r="Q249" t="s">
        <v>238</v>
      </c>
      <c r="S249" t="s">
        <v>347</v>
      </c>
      <c r="T249" t="s">
        <v>1633</v>
      </c>
      <c r="U249">
        <v>1.9086647507529999E-4</v>
      </c>
      <c r="V249" t="s">
        <v>238</v>
      </c>
      <c r="X249">
        <v>1.1415525114155251E-4</v>
      </c>
      <c r="Y249">
        <v>5.6352501470966035E-5</v>
      </c>
      <c r="Z249" t="s">
        <v>1633</v>
      </c>
      <c r="AA249" t="s">
        <v>25</v>
      </c>
      <c r="AC249" t="s">
        <v>22</v>
      </c>
      <c r="AD249" t="s">
        <v>1633</v>
      </c>
      <c r="AE249">
        <v>8.7007006995720249E-5</v>
      </c>
      <c r="AG249" t="s">
        <v>97</v>
      </c>
      <c r="AH249" t="s">
        <v>1633</v>
      </c>
      <c r="AI249">
        <v>0</v>
      </c>
    </row>
    <row r="250" spans="5:35" x14ac:dyDescent="0.45">
      <c r="E250" t="s">
        <v>936</v>
      </c>
      <c r="G250" t="s">
        <v>364</v>
      </c>
      <c r="I250" t="s">
        <v>236</v>
      </c>
      <c r="J250" t="s">
        <v>1634</v>
      </c>
      <c r="K250">
        <v>0</v>
      </c>
      <c r="L250" t="s">
        <v>238</v>
      </c>
      <c r="N250" t="s">
        <v>346</v>
      </c>
      <c r="O250" t="s">
        <v>1634</v>
      </c>
      <c r="P250">
        <v>1.464061487015E-4</v>
      </c>
      <c r="Q250" t="s">
        <v>238</v>
      </c>
      <c r="S250" t="s">
        <v>347</v>
      </c>
      <c r="T250" t="s">
        <v>1634</v>
      </c>
      <c r="U250">
        <v>1.9094380516679999E-4</v>
      </c>
      <c r="V250" t="s">
        <v>238</v>
      </c>
      <c r="X250">
        <v>1.1415525114155251E-4</v>
      </c>
      <c r="Y250">
        <v>2.9833677249334962E-5</v>
      </c>
      <c r="Z250" t="s">
        <v>1634</v>
      </c>
      <c r="AA250" t="s">
        <v>25</v>
      </c>
      <c r="AC250" t="s">
        <v>22</v>
      </c>
      <c r="AD250" t="s">
        <v>1634</v>
      </c>
      <c r="AE250">
        <v>7.4326633245293353E-5</v>
      </c>
      <c r="AG250" t="s">
        <v>97</v>
      </c>
      <c r="AH250" t="s">
        <v>1634</v>
      </c>
      <c r="AI250">
        <v>0</v>
      </c>
    </row>
    <row r="251" spans="5:35" x14ac:dyDescent="0.45">
      <c r="E251" t="s">
        <v>937</v>
      </c>
      <c r="G251" t="s">
        <v>364</v>
      </c>
      <c r="I251" t="s">
        <v>236</v>
      </c>
      <c r="J251" t="s">
        <v>337</v>
      </c>
      <c r="K251">
        <v>0</v>
      </c>
      <c r="L251" t="s">
        <v>238</v>
      </c>
      <c r="N251" t="s">
        <v>346</v>
      </c>
      <c r="O251" t="s">
        <v>337</v>
      </c>
      <c r="P251">
        <v>2.8909414498237054E-2</v>
      </c>
      <c r="Q251" t="s">
        <v>238</v>
      </c>
      <c r="S251" t="s">
        <v>347</v>
      </c>
      <c r="T251" t="s">
        <v>337</v>
      </c>
      <c r="U251">
        <v>2.9483156555343473E-2</v>
      </c>
      <c r="V251" t="s">
        <v>238</v>
      </c>
      <c r="X251">
        <v>2.1232876712328767E-2</v>
      </c>
      <c r="Y251">
        <v>4.5420116185598634E-3</v>
      </c>
      <c r="Z251" t="s">
        <v>337</v>
      </c>
      <c r="AA251" t="s">
        <v>25</v>
      </c>
      <c r="AC251" t="s">
        <v>22</v>
      </c>
      <c r="AD251" t="s">
        <v>337</v>
      </c>
      <c r="AE251">
        <v>1.3658992641872411E-2</v>
      </c>
      <c r="AG251" t="s">
        <v>97</v>
      </c>
      <c r="AH251" t="s">
        <v>337</v>
      </c>
      <c r="AI251">
        <v>0.23019062309836835</v>
      </c>
    </row>
    <row r="252" spans="5:35" x14ac:dyDescent="0.45">
      <c r="E252" t="s">
        <v>938</v>
      </c>
      <c r="G252" t="s">
        <v>364</v>
      </c>
      <c r="I252" t="s">
        <v>236</v>
      </c>
      <c r="J252" t="s">
        <v>338</v>
      </c>
      <c r="K252">
        <v>5.6033372197025706E-5</v>
      </c>
      <c r="L252" t="s">
        <v>238</v>
      </c>
      <c r="N252" t="s">
        <v>346</v>
      </c>
      <c r="O252" t="s">
        <v>338</v>
      </c>
      <c r="P252">
        <v>4.9863244958236741E-3</v>
      </c>
      <c r="Q252" t="s">
        <v>238</v>
      </c>
      <c r="S252" t="s">
        <v>347</v>
      </c>
      <c r="T252" t="s">
        <v>338</v>
      </c>
      <c r="U252">
        <v>4.9133227358917463E-3</v>
      </c>
      <c r="V252" t="s">
        <v>238</v>
      </c>
      <c r="X252">
        <v>3.5388127853881279E-3</v>
      </c>
      <c r="Y252">
        <v>5.240782636799844E-3</v>
      </c>
      <c r="Z252" t="s">
        <v>338</v>
      </c>
      <c r="AA252" t="s">
        <v>25</v>
      </c>
      <c r="AC252" t="s">
        <v>22</v>
      </c>
      <c r="AD252" t="s">
        <v>338</v>
      </c>
      <c r="AE252">
        <v>3.2857435931835034E-3</v>
      </c>
      <c r="AG252" t="s">
        <v>97</v>
      </c>
      <c r="AH252" t="s">
        <v>338</v>
      </c>
      <c r="AI252">
        <v>0.10280664525087735</v>
      </c>
    </row>
    <row r="253" spans="5:35" x14ac:dyDescent="0.45">
      <c r="E253" t="s">
        <v>939</v>
      </c>
      <c r="G253" t="s">
        <v>364</v>
      </c>
      <c r="I253" t="s">
        <v>236</v>
      </c>
      <c r="J253" t="s">
        <v>339</v>
      </c>
      <c r="K253">
        <v>1.7358161277209615E-3</v>
      </c>
      <c r="L253" t="s">
        <v>238</v>
      </c>
      <c r="N253" t="s">
        <v>346</v>
      </c>
      <c r="O253" t="s">
        <v>339</v>
      </c>
      <c r="P253">
        <v>4.9955176435088934E-3</v>
      </c>
      <c r="Q253" t="s">
        <v>238</v>
      </c>
      <c r="S253" t="s">
        <v>347</v>
      </c>
      <c r="T253" t="s">
        <v>339</v>
      </c>
      <c r="U253">
        <v>4.8688456993293333E-3</v>
      </c>
      <c r="V253" t="s">
        <v>238</v>
      </c>
      <c r="X253">
        <v>3.5388127853881279E-3</v>
      </c>
      <c r="Y253">
        <v>5.9087255218821738E-3</v>
      </c>
      <c r="Z253" t="s">
        <v>339</v>
      </c>
      <c r="AA253" t="s">
        <v>25</v>
      </c>
      <c r="AC253" t="s">
        <v>22</v>
      </c>
      <c r="AD253" t="s">
        <v>339</v>
      </c>
      <c r="AE253">
        <v>3.6228082206538809E-3</v>
      </c>
      <c r="AG253" t="s">
        <v>97</v>
      </c>
      <c r="AH253" t="s">
        <v>339</v>
      </c>
      <c r="AI253">
        <v>9.32355162562164E-2</v>
      </c>
    </row>
    <row r="254" spans="5:35" x14ac:dyDescent="0.45">
      <c r="E254" t="s">
        <v>940</v>
      </c>
      <c r="G254" t="s">
        <v>364</v>
      </c>
      <c r="I254" t="s">
        <v>236</v>
      </c>
      <c r="J254" t="s">
        <v>340</v>
      </c>
      <c r="K254">
        <v>3.8950103412762269E-3</v>
      </c>
      <c r="L254" t="s">
        <v>238</v>
      </c>
      <c r="N254" t="s">
        <v>346</v>
      </c>
      <c r="O254" t="s">
        <v>340</v>
      </c>
      <c r="P254">
        <v>4.839721332818547E-3</v>
      </c>
      <c r="Q254" t="s">
        <v>238</v>
      </c>
      <c r="S254" t="s">
        <v>347</v>
      </c>
      <c r="T254" t="s">
        <v>340</v>
      </c>
      <c r="U254">
        <v>4.8296668167991767E-3</v>
      </c>
      <c r="V254" t="s">
        <v>238</v>
      </c>
      <c r="X254">
        <v>3.5388127853881279E-3</v>
      </c>
      <c r="Y254">
        <v>4.521459529788099E-3</v>
      </c>
      <c r="Z254" t="s">
        <v>340</v>
      </c>
      <c r="AA254" t="s">
        <v>25</v>
      </c>
      <c r="AC254" t="s">
        <v>22</v>
      </c>
      <c r="AD254" t="s">
        <v>340</v>
      </c>
      <c r="AE254">
        <v>3.7377885988180704E-3</v>
      </c>
      <c r="AG254" t="s">
        <v>97</v>
      </c>
      <c r="AH254" t="s">
        <v>340</v>
      </c>
      <c r="AI254">
        <v>6.8577638883885905E-2</v>
      </c>
    </row>
    <row r="255" spans="5:35" x14ac:dyDescent="0.45">
      <c r="E255" t="s">
        <v>941</v>
      </c>
      <c r="G255" t="s">
        <v>364</v>
      </c>
      <c r="I255" t="s">
        <v>236</v>
      </c>
      <c r="J255" t="s">
        <v>341</v>
      </c>
      <c r="K255">
        <v>5.0441372992410624E-2</v>
      </c>
      <c r="L255" t="s">
        <v>238</v>
      </c>
      <c r="N255" t="s">
        <v>346</v>
      </c>
      <c r="O255" t="s">
        <v>341</v>
      </c>
      <c r="P255">
        <v>3.1496325742995851E-2</v>
      </c>
      <c r="Q255" t="s">
        <v>238</v>
      </c>
      <c r="S255" t="s">
        <v>347</v>
      </c>
      <c r="T255" t="s">
        <v>341</v>
      </c>
      <c r="U255">
        <v>3.1768453793188337E-2</v>
      </c>
      <c r="V255" t="s">
        <v>238</v>
      </c>
      <c r="X255">
        <v>2.4771689497716895E-2</v>
      </c>
      <c r="Y255">
        <v>3.2246227282897846E-2</v>
      </c>
      <c r="Z255" t="s">
        <v>341</v>
      </c>
      <c r="AA255" t="s">
        <v>25</v>
      </c>
      <c r="AC255" t="s">
        <v>22</v>
      </c>
      <c r="AD255" t="s">
        <v>341</v>
      </c>
      <c r="AE255">
        <v>2.5727288063926965E-2</v>
      </c>
      <c r="AG255" t="s">
        <v>97</v>
      </c>
      <c r="AH255" t="s">
        <v>341</v>
      </c>
      <c r="AI255">
        <v>7.7407316400293524E-2</v>
      </c>
    </row>
    <row r="256" spans="5:35" x14ac:dyDescent="0.45">
      <c r="E256" t="s">
        <v>942</v>
      </c>
      <c r="G256" t="s">
        <v>364</v>
      </c>
      <c r="I256" t="s">
        <v>236</v>
      </c>
      <c r="J256" t="s">
        <v>342</v>
      </c>
      <c r="K256">
        <v>4.649078766568851E-3</v>
      </c>
      <c r="L256" t="s">
        <v>238</v>
      </c>
      <c r="N256" t="s">
        <v>346</v>
      </c>
      <c r="O256" t="s">
        <v>342</v>
      </c>
      <c r="P256">
        <v>4.629816677073427E-3</v>
      </c>
      <c r="Q256" t="s">
        <v>238</v>
      </c>
      <c r="S256" t="s">
        <v>347</v>
      </c>
      <c r="T256" t="s">
        <v>342</v>
      </c>
      <c r="U256">
        <v>4.6219954078906911E-3</v>
      </c>
      <c r="V256" t="s">
        <v>238</v>
      </c>
      <c r="X256">
        <v>3.5388127853881279E-3</v>
      </c>
      <c r="Y256">
        <v>6.8849497385409693E-3</v>
      </c>
      <c r="Z256" t="s">
        <v>342</v>
      </c>
      <c r="AA256" t="s">
        <v>25</v>
      </c>
      <c r="AC256" t="s">
        <v>22</v>
      </c>
      <c r="AD256" t="s">
        <v>342</v>
      </c>
      <c r="AE256">
        <v>3.6574098191880476E-3</v>
      </c>
      <c r="AG256" t="s">
        <v>97</v>
      </c>
      <c r="AH256" t="s">
        <v>342</v>
      </c>
      <c r="AI256">
        <v>6.6876894440602186E-2</v>
      </c>
    </row>
    <row r="257" spans="5:35" x14ac:dyDescent="0.45">
      <c r="E257" t="s">
        <v>943</v>
      </c>
      <c r="G257" t="s">
        <v>364</v>
      </c>
      <c r="I257" t="s">
        <v>236</v>
      </c>
      <c r="J257" t="s">
        <v>343</v>
      </c>
      <c r="K257">
        <v>1.9055976387654422E-3</v>
      </c>
      <c r="L257" t="s">
        <v>238</v>
      </c>
      <c r="N257" t="s">
        <v>346</v>
      </c>
      <c r="O257" t="s">
        <v>343</v>
      </c>
      <c r="P257">
        <v>4.7588677693370116E-3</v>
      </c>
      <c r="Q257" t="s">
        <v>238</v>
      </c>
      <c r="S257" t="s">
        <v>347</v>
      </c>
      <c r="T257" t="s">
        <v>343</v>
      </c>
      <c r="U257">
        <v>4.6465944418938882E-3</v>
      </c>
      <c r="V257" t="s">
        <v>238</v>
      </c>
      <c r="X257">
        <v>3.5388127853881279E-3</v>
      </c>
      <c r="Y257">
        <v>6.8849497385409693E-3</v>
      </c>
      <c r="Z257" t="s">
        <v>343</v>
      </c>
      <c r="AA257" t="s">
        <v>25</v>
      </c>
      <c r="AC257" t="s">
        <v>22</v>
      </c>
      <c r="AD257" t="s">
        <v>343</v>
      </c>
      <c r="AE257">
        <v>3.699423589177595E-3</v>
      </c>
      <c r="AG257" t="s">
        <v>97</v>
      </c>
      <c r="AH257" t="s">
        <v>343</v>
      </c>
      <c r="AI257">
        <v>7.1760966463736642E-2</v>
      </c>
    </row>
    <row r="258" spans="5:35" x14ac:dyDescent="0.45">
      <c r="E258" t="s">
        <v>944</v>
      </c>
      <c r="G258" t="s">
        <v>364</v>
      </c>
      <c r="I258" t="s">
        <v>236</v>
      </c>
      <c r="J258" t="s">
        <v>344</v>
      </c>
      <c r="K258">
        <v>1.9935928339835554E-4</v>
      </c>
      <c r="L258" t="s">
        <v>238</v>
      </c>
      <c r="N258" t="s">
        <v>346</v>
      </c>
      <c r="O258" t="s">
        <v>344</v>
      </c>
      <c r="P258">
        <v>2.9737143445545507E-2</v>
      </c>
      <c r="Q258" t="s">
        <v>238</v>
      </c>
      <c r="S258" t="s">
        <v>347</v>
      </c>
      <c r="T258" t="s">
        <v>344</v>
      </c>
      <c r="U258">
        <v>2.8928588159273592E-2</v>
      </c>
      <c r="V258" t="s">
        <v>238</v>
      </c>
      <c r="X258">
        <v>2.1232876712328767E-2</v>
      </c>
      <c r="Y258">
        <v>1.8702400782305319E-2</v>
      </c>
      <c r="Z258" t="s">
        <v>344</v>
      </c>
      <c r="AA258" t="s">
        <v>25</v>
      </c>
      <c r="AC258" t="s">
        <v>22</v>
      </c>
      <c r="AD258" t="s">
        <v>344</v>
      </c>
      <c r="AE258">
        <v>1.9077874694617563E-2</v>
      </c>
      <c r="AG258" t="s">
        <v>97</v>
      </c>
      <c r="AH258" t="s">
        <v>344</v>
      </c>
      <c r="AI258">
        <v>0.15890174715492855</v>
      </c>
    </row>
    <row r="259" spans="5:35" x14ac:dyDescent="0.45">
      <c r="E259" t="s">
        <v>945</v>
      </c>
      <c r="G259" t="s">
        <v>364</v>
      </c>
      <c r="I259" t="s">
        <v>236</v>
      </c>
      <c r="J259" t="s">
        <v>703</v>
      </c>
      <c r="K259">
        <v>0</v>
      </c>
      <c r="L259" t="s">
        <v>238</v>
      </c>
      <c r="N259" t="s">
        <v>346</v>
      </c>
      <c r="O259" t="s">
        <v>703</v>
      </c>
      <c r="P259">
        <v>1.9801638411489342E-2</v>
      </c>
      <c r="Q259" t="s">
        <v>238</v>
      </c>
      <c r="S259" t="s">
        <v>347</v>
      </c>
      <c r="T259" t="s">
        <v>703</v>
      </c>
      <c r="U259">
        <v>1.8752316451289237E-2</v>
      </c>
      <c r="V259" t="s">
        <v>238</v>
      </c>
      <c r="X259">
        <v>1.5753424657534248E-2</v>
      </c>
      <c r="Y259">
        <v>3.3698795879637689E-3</v>
      </c>
      <c r="Z259" t="s">
        <v>703</v>
      </c>
      <c r="AA259" t="s">
        <v>25</v>
      </c>
      <c r="AC259" t="s">
        <v>22</v>
      </c>
      <c r="AD259" t="s">
        <v>703</v>
      </c>
      <c r="AE259">
        <v>1.1713926933855584E-2</v>
      </c>
      <c r="AG259" t="s">
        <v>97</v>
      </c>
      <c r="AH259" t="s">
        <v>703</v>
      </c>
      <c r="AI259">
        <v>0.22896503250243705</v>
      </c>
    </row>
    <row r="260" spans="5:35" x14ac:dyDescent="0.45">
      <c r="E260" t="s">
        <v>946</v>
      </c>
      <c r="G260" t="s">
        <v>364</v>
      </c>
      <c r="I260" t="s">
        <v>236</v>
      </c>
      <c r="J260" t="s">
        <v>704</v>
      </c>
      <c r="K260">
        <v>0</v>
      </c>
      <c r="L260" t="s">
        <v>238</v>
      </c>
      <c r="N260" t="s">
        <v>346</v>
      </c>
      <c r="O260" t="s">
        <v>704</v>
      </c>
      <c r="P260">
        <v>3.2468474391796841E-3</v>
      </c>
      <c r="Q260" t="s">
        <v>238</v>
      </c>
      <c r="S260" t="s">
        <v>347</v>
      </c>
      <c r="T260" t="s">
        <v>704</v>
      </c>
      <c r="U260">
        <v>3.0158874846415414E-3</v>
      </c>
      <c r="V260" t="s">
        <v>238</v>
      </c>
      <c r="X260">
        <v>2.625570776255708E-3</v>
      </c>
      <c r="Y260">
        <v>3.8883226014966589E-3</v>
      </c>
      <c r="Z260" t="s">
        <v>704</v>
      </c>
      <c r="AA260" t="s">
        <v>25</v>
      </c>
      <c r="AC260" t="s">
        <v>22</v>
      </c>
      <c r="AD260" t="s">
        <v>704</v>
      </c>
      <c r="AE260">
        <v>2.7698355138530422E-3</v>
      </c>
      <c r="AG260" t="s">
        <v>97</v>
      </c>
      <c r="AH260" t="s">
        <v>704</v>
      </c>
      <c r="AI260">
        <v>0.1209722143793337</v>
      </c>
    </row>
    <row r="261" spans="5:35" x14ac:dyDescent="0.45">
      <c r="E261" t="s">
        <v>947</v>
      </c>
      <c r="G261" t="s">
        <v>364</v>
      </c>
      <c r="I261" t="s">
        <v>236</v>
      </c>
      <c r="J261" t="s">
        <v>705</v>
      </c>
      <c r="K261">
        <v>1.0476133313176833E-4</v>
      </c>
      <c r="L261" t="s">
        <v>238</v>
      </c>
      <c r="N261" t="s">
        <v>346</v>
      </c>
      <c r="O261" t="s">
        <v>705</v>
      </c>
      <c r="P261">
        <v>3.2308827418672009E-3</v>
      </c>
      <c r="Q261" t="s">
        <v>238</v>
      </c>
      <c r="S261" t="s">
        <v>347</v>
      </c>
      <c r="T261" t="s">
        <v>705</v>
      </c>
      <c r="U261">
        <v>3.0539833610433165E-3</v>
      </c>
      <c r="V261" t="s">
        <v>238</v>
      </c>
      <c r="X261">
        <v>2.625570776255708E-3</v>
      </c>
      <c r="Y261">
        <v>4.3838931291383864E-3</v>
      </c>
      <c r="Z261" t="s">
        <v>705</v>
      </c>
      <c r="AA261" t="s">
        <v>25</v>
      </c>
      <c r="AC261" t="s">
        <v>22</v>
      </c>
      <c r="AD261" t="s">
        <v>705</v>
      </c>
      <c r="AE261">
        <v>2.9329032858714157E-3</v>
      </c>
      <c r="AG261" t="s">
        <v>97</v>
      </c>
      <c r="AH261" t="s">
        <v>705</v>
      </c>
      <c r="AI261">
        <v>0.10246102170089522</v>
      </c>
    </row>
    <row r="262" spans="5:35" x14ac:dyDescent="0.45">
      <c r="E262" t="s">
        <v>948</v>
      </c>
      <c r="G262" t="s">
        <v>364</v>
      </c>
      <c r="I262" t="s">
        <v>236</v>
      </c>
      <c r="J262" t="s">
        <v>706</v>
      </c>
      <c r="K262">
        <v>1.0724460243077044E-3</v>
      </c>
      <c r="L262" t="s">
        <v>238</v>
      </c>
      <c r="N262" t="s">
        <v>346</v>
      </c>
      <c r="O262" t="s">
        <v>706</v>
      </c>
      <c r="P262">
        <v>3.1907028806639551E-3</v>
      </c>
      <c r="Q262" t="s">
        <v>238</v>
      </c>
      <c r="S262" t="s">
        <v>347</v>
      </c>
      <c r="T262" t="s">
        <v>706</v>
      </c>
      <c r="U262">
        <v>3.0804736131580497E-3</v>
      </c>
      <c r="V262" t="s">
        <v>238</v>
      </c>
      <c r="X262">
        <v>2.625570776255708E-3</v>
      </c>
      <c r="Y262">
        <v>3.3546312640363313E-3</v>
      </c>
      <c r="Z262" t="s">
        <v>706</v>
      </c>
      <c r="AA262" t="s">
        <v>25</v>
      </c>
      <c r="AC262" t="s">
        <v>22</v>
      </c>
      <c r="AD262" t="s">
        <v>706</v>
      </c>
      <c r="AE262">
        <v>3.086403452198351E-3</v>
      </c>
      <c r="AG262" t="s">
        <v>97</v>
      </c>
      <c r="AH262" t="s">
        <v>706</v>
      </c>
      <c r="AI262">
        <v>0.10460338098529065</v>
      </c>
    </row>
    <row r="263" spans="5:35" x14ac:dyDescent="0.45">
      <c r="E263" t="s">
        <v>949</v>
      </c>
      <c r="G263" t="s">
        <v>364</v>
      </c>
      <c r="I263" t="s">
        <v>236</v>
      </c>
      <c r="J263" t="s">
        <v>707</v>
      </c>
      <c r="K263">
        <v>2.1334229779004614E-2</v>
      </c>
      <c r="L263" t="s">
        <v>238</v>
      </c>
      <c r="N263" t="s">
        <v>346</v>
      </c>
      <c r="O263" t="s">
        <v>707</v>
      </c>
      <c r="P263">
        <v>2.1269721410464178E-2</v>
      </c>
      <c r="Q263" t="s">
        <v>238</v>
      </c>
      <c r="S263" t="s">
        <v>347</v>
      </c>
      <c r="T263" t="s">
        <v>707</v>
      </c>
      <c r="U263">
        <v>2.1320491903916029E-2</v>
      </c>
      <c r="V263" t="s">
        <v>238</v>
      </c>
      <c r="X263">
        <v>1.8378995433789954E-2</v>
      </c>
      <c r="Y263">
        <v>2.3924620242150019E-2</v>
      </c>
      <c r="Z263" t="s">
        <v>707</v>
      </c>
      <c r="AA263" t="s">
        <v>25</v>
      </c>
      <c r="AC263" t="s">
        <v>22</v>
      </c>
      <c r="AD263" t="s">
        <v>707</v>
      </c>
      <c r="AE263">
        <v>2.1616246247078204E-2</v>
      </c>
      <c r="AG263" t="s">
        <v>97</v>
      </c>
      <c r="AH263" t="s">
        <v>707</v>
      </c>
      <c r="AI263">
        <v>0.113833074096656</v>
      </c>
    </row>
    <row r="264" spans="5:35" x14ac:dyDescent="0.45">
      <c r="E264" t="s">
        <v>950</v>
      </c>
      <c r="G264" t="s">
        <v>364</v>
      </c>
      <c r="I264" t="s">
        <v>236</v>
      </c>
      <c r="J264" t="s">
        <v>708</v>
      </c>
      <c r="K264">
        <v>1.2994450656710437E-3</v>
      </c>
      <c r="L264" t="s">
        <v>238</v>
      </c>
      <c r="N264" t="s">
        <v>346</v>
      </c>
      <c r="O264" t="s">
        <v>708</v>
      </c>
      <c r="P264">
        <v>2.9763749122879561E-3</v>
      </c>
      <c r="Q264" t="s">
        <v>238</v>
      </c>
      <c r="S264" t="s">
        <v>347</v>
      </c>
      <c r="T264" t="s">
        <v>708</v>
      </c>
      <c r="U264">
        <v>3.0493262341227262E-3</v>
      </c>
      <c r="V264" t="s">
        <v>238</v>
      </c>
      <c r="X264">
        <v>2.625570776255708E-3</v>
      </c>
      <c r="Y264">
        <v>5.1081885156916869E-3</v>
      </c>
      <c r="Z264" t="s">
        <v>708</v>
      </c>
      <c r="AA264" t="s">
        <v>25</v>
      </c>
      <c r="AC264" t="s">
        <v>22</v>
      </c>
      <c r="AD264" t="s">
        <v>708</v>
      </c>
      <c r="AE264">
        <v>3.1494499036030504E-3</v>
      </c>
      <c r="AG264" t="s">
        <v>97</v>
      </c>
      <c r="AH264" t="s">
        <v>708</v>
      </c>
      <c r="AI264">
        <v>9.1392543587759834E-2</v>
      </c>
    </row>
    <row r="265" spans="5:35" x14ac:dyDescent="0.45">
      <c r="E265" t="s">
        <v>951</v>
      </c>
      <c r="G265" t="s">
        <v>364</v>
      </c>
      <c r="I265" t="s">
        <v>236</v>
      </c>
      <c r="J265" t="s">
        <v>709</v>
      </c>
      <c r="K265">
        <v>8.1893093857031315E-5</v>
      </c>
      <c r="L265" t="s">
        <v>238</v>
      </c>
      <c r="N265" t="s">
        <v>346</v>
      </c>
      <c r="O265" t="s">
        <v>709</v>
      </c>
      <c r="P265">
        <v>3.0014622306405551E-3</v>
      </c>
      <c r="Q265" t="s">
        <v>238</v>
      </c>
      <c r="S265" t="s">
        <v>347</v>
      </c>
      <c r="T265" t="s">
        <v>709</v>
      </c>
      <c r="U265">
        <v>3.0548080462160891E-3</v>
      </c>
      <c r="V265" t="s">
        <v>238</v>
      </c>
      <c r="X265">
        <v>2.625570776255708E-3</v>
      </c>
      <c r="Y265">
        <v>5.1081885156916869E-3</v>
      </c>
      <c r="Z265" t="s">
        <v>709</v>
      </c>
      <c r="AA265" t="s">
        <v>25</v>
      </c>
      <c r="AC265" t="s">
        <v>22</v>
      </c>
      <c r="AD265" t="s">
        <v>709</v>
      </c>
      <c r="AE265">
        <v>3.1773157701495357E-3</v>
      </c>
      <c r="AG265" t="s">
        <v>97</v>
      </c>
      <c r="AH265" t="s">
        <v>709</v>
      </c>
      <c r="AI265">
        <v>9.1401028989169131E-2</v>
      </c>
    </row>
    <row r="266" spans="5:35" x14ac:dyDescent="0.45">
      <c r="E266" t="s">
        <v>952</v>
      </c>
      <c r="G266" t="s">
        <v>364</v>
      </c>
      <c r="I266" t="s">
        <v>236</v>
      </c>
      <c r="J266" t="s">
        <v>710</v>
      </c>
      <c r="K266">
        <v>0</v>
      </c>
      <c r="L266" t="s">
        <v>238</v>
      </c>
      <c r="N266" t="s">
        <v>346</v>
      </c>
      <c r="O266" t="s">
        <v>710</v>
      </c>
      <c r="P266">
        <v>1.8771992003736058E-2</v>
      </c>
      <c r="Q266" t="s">
        <v>238</v>
      </c>
      <c r="S266" t="s">
        <v>347</v>
      </c>
      <c r="T266" t="s">
        <v>710</v>
      </c>
      <c r="U266">
        <v>1.9267116850904587E-2</v>
      </c>
      <c r="V266" t="s">
        <v>238</v>
      </c>
      <c r="X266">
        <v>1.5753424657534248E-2</v>
      </c>
      <c r="Y266">
        <v>1.387597477396846E-2</v>
      </c>
      <c r="Z266" t="s">
        <v>710</v>
      </c>
      <c r="AA266" t="s">
        <v>25</v>
      </c>
      <c r="AC266" t="s">
        <v>22</v>
      </c>
      <c r="AD266" t="s">
        <v>710</v>
      </c>
      <c r="AE266">
        <v>1.6485012144328421E-2</v>
      </c>
      <c r="AG266" t="s">
        <v>97</v>
      </c>
      <c r="AH266" t="s">
        <v>710</v>
      </c>
      <c r="AI266">
        <v>0.19651142757585371</v>
      </c>
    </row>
    <row r="267" spans="5:35" x14ac:dyDescent="0.45">
      <c r="E267" t="s">
        <v>953</v>
      </c>
      <c r="G267" t="s">
        <v>364</v>
      </c>
      <c r="I267" t="s">
        <v>236</v>
      </c>
      <c r="J267" t="s">
        <v>1635</v>
      </c>
      <c r="K267">
        <v>0</v>
      </c>
      <c r="L267" t="s">
        <v>238</v>
      </c>
      <c r="N267" t="s">
        <v>346</v>
      </c>
      <c r="O267" t="s">
        <v>1635</v>
      </c>
      <c r="P267">
        <v>1.3059100898600001E-4</v>
      </c>
      <c r="Q267" t="s">
        <v>238</v>
      </c>
      <c r="S267" t="s">
        <v>347</v>
      </c>
      <c r="T267" t="s">
        <v>1635</v>
      </c>
      <c r="U267">
        <v>1.2907165758050001E-4</v>
      </c>
      <c r="V267" t="s">
        <v>238</v>
      </c>
      <c r="X267">
        <v>1.1415525114155251E-4</v>
      </c>
      <c r="Y267">
        <v>2.1546544680075254E-5</v>
      </c>
      <c r="Z267" t="s">
        <v>1635</v>
      </c>
      <c r="AA267" t="s">
        <v>25</v>
      </c>
      <c r="AC267" t="s">
        <v>22</v>
      </c>
      <c r="AD267" t="s">
        <v>1635</v>
      </c>
      <c r="AE267">
        <v>8.5165544444925574E-5</v>
      </c>
      <c r="AG267" t="s">
        <v>97</v>
      </c>
      <c r="AH267" t="s">
        <v>1635</v>
      </c>
      <c r="AI267">
        <v>0</v>
      </c>
    </row>
    <row r="268" spans="5:35" x14ac:dyDescent="0.45">
      <c r="E268" t="s">
        <v>954</v>
      </c>
      <c r="G268" t="s">
        <v>364</v>
      </c>
      <c r="I268" t="s">
        <v>236</v>
      </c>
      <c r="J268" t="s">
        <v>1636</v>
      </c>
      <c r="K268">
        <v>0</v>
      </c>
      <c r="L268" t="s">
        <v>238</v>
      </c>
      <c r="N268" t="s">
        <v>346</v>
      </c>
      <c r="O268" t="s">
        <v>1636</v>
      </c>
      <c r="P268">
        <v>1.3309611380549999E-4</v>
      </c>
      <c r="Q268" t="s">
        <v>238</v>
      </c>
      <c r="S268" t="s">
        <v>347</v>
      </c>
      <c r="T268" t="s">
        <v>1636</v>
      </c>
      <c r="U268">
        <v>1.162887081417E-4</v>
      </c>
      <c r="V268" t="s">
        <v>238</v>
      </c>
      <c r="X268">
        <v>1.1415525114155251E-4</v>
      </c>
      <c r="Y268">
        <v>1.4916838624667481E-5</v>
      </c>
      <c r="Z268" t="s">
        <v>1636</v>
      </c>
      <c r="AA268" t="s">
        <v>25</v>
      </c>
      <c r="AC268" t="s">
        <v>22</v>
      </c>
      <c r="AD268" t="s">
        <v>1636</v>
      </c>
      <c r="AE268">
        <v>8.1144169134833141E-5</v>
      </c>
      <c r="AG268" t="s">
        <v>97</v>
      </c>
      <c r="AH268" t="s">
        <v>1636</v>
      </c>
      <c r="AI268">
        <v>0</v>
      </c>
    </row>
    <row r="269" spans="5:35" x14ac:dyDescent="0.45">
      <c r="E269" t="s">
        <v>955</v>
      </c>
      <c r="G269" t="s">
        <v>364</v>
      </c>
      <c r="I269" t="s">
        <v>236</v>
      </c>
      <c r="J269" t="s">
        <v>1637</v>
      </c>
      <c r="K269">
        <v>0</v>
      </c>
      <c r="L269" t="s">
        <v>238</v>
      </c>
      <c r="N269" t="s">
        <v>346</v>
      </c>
      <c r="O269" t="s">
        <v>1637</v>
      </c>
      <c r="P269">
        <v>1.2147276856739999E-4</v>
      </c>
      <c r="Q269" t="s">
        <v>238</v>
      </c>
      <c r="S269" t="s">
        <v>347</v>
      </c>
      <c r="T269" t="s">
        <v>1637</v>
      </c>
      <c r="U269">
        <v>1.015937126788E-4</v>
      </c>
      <c r="V269" t="s">
        <v>238</v>
      </c>
      <c r="X269">
        <v>1.1415525114155251E-4</v>
      </c>
      <c r="Y269">
        <v>1.6574265138519424E-5</v>
      </c>
      <c r="Z269" t="s">
        <v>1637</v>
      </c>
      <c r="AA269" t="s">
        <v>25</v>
      </c>
      <c r="AC269" t="s">
        <v>22</v>
      </c>
      <c r="AD269" t="s">
        <v>1637</v>
      </c>
      <c r="AE269">
        <v>8.0714228795193904E-5</v>
      </c>
      <c r="AG269" t="s">
        <v>97</v>
      </c>
      <c r="AH269" t="s">
        <v>1637</v>
      </c>
      <c r="AI269">
        <v>0</v>
      </c>
    </row>
    <row r="270" spans="5:35" x14ac:dyDescent="0.45">
      <c r="E270" t="s">
        <v>956</v>
      </c>
      <c r="G270" t="s">
        <v>364</v>
      </c>
      <c r="I270" t="s">
        <v>236</v>
      </c>
      <c r="J270" t="s">
        <v>1638</v>
      </c>
      <c r="K270">
        <v>0</v>
      </c>
      <c r="L270" t="s">
        <v>238</v>
      </c>
      <c r="N270" t="s">
        <v>346</v>
      </c>
      <c r="O270" t="s">
        <v>1638</v>
      </c>
      <c r="P270">
        <v>1.1587207555539999E-4</v>
      </c>
      <c r="Q270" t="s">
        <v>238</v>
      </c>
      <c r="S270" t="s">
        <v>347</v>
      </c>
      <c r="T270" t="s">
        <v>1638</v>
      </c>
      <c r="U270">
        <v>8.3886027093341449E-5</v>
      </c>
      <c r="V270" t="s">
        <v>238</v>
      </c>
      <c r="X270">
        <v>1.1415525114155251E-4</v>
      </c>
      <c r="Y270">
        <v>1.4585353321897093E-5</v>
      </c>
      <c r="Z270" t="s">
        <v>1638</v>
      </c>
      <c r="AA270" t="s">
        <v>25</v>
      </c>
      <c r="AC270" t="s">
        <v>22</v>
      </c>
      <c r="AD270" t="s">
        <v>1638</v>
      </c>
      <c r="AE270">
        <v>8.0714228795193904E-5</v>
      </c>
      <c r="AG270" t="s">
        <v>97</v>
      </c>
      <c r="AH270" t="s">
        <v>1638</v>
      </c>
      <c r="AI270">
        <v>0</v>
      </c>
    </row>
    <row r="271" spans="5:35" x14ac:dyDescent="0.45">
      <c r="E271" t="s">
        <v>957</v>
      </c>
      <c r="G271" t="s">
        <v>364</v>
      </c>
      <c r="I271" t="s">
        <v>236</v>
      </c>
      <c r="J271" t="s">
        <v>1639</v>
      </c>
      <c r="K271">
        <v>0</v>
      </c>
      <c r="L271" t="s">
        <v>238</v>
      </c>
      <c r="N271" t="s">
        <v>346</v>
      </c>
      <c r="O271" t="s">
        <v>1639</v>
      </c>
      <c r="P271">
        <v>1.1557470355050001E-4</v>
      </c>
      <c r="Q271" t="s">
        <v>238</v>
      </c>
      <c r="S271" t="s">
        <v>347</v>
      </c>
      <c r="T271" t="s">
        <v>1639</v>
      </c>
      <c r="U271">
        <v>6.9444737983114093E-5</v>
      </c>
      <c r="V271" t="s">
        <v>238</v>
      </c>
      <c r="X271">
        <v>1.1415525114155251E-4</v>
      </c>
      <c r="Y271">
        <v>2.1215059377304864E-5</v>
      </c>
      <c r="Z271" t="s">
        <v>1639</v>
      </c>
      <c r="AA271" t="s">
        <v>25</v>
      </c>
      <c r="AC271" t="s">
        <v>22</v>
      </c>
      <c r="AD271" t="s">
        <v>1639</v>
      </c>
      <c r="AE271">
        <v>8.6524155918185617E-5</v>
      </c>
      <c r="AG271" t="s">
        <v>97</v>
      </c>
      <c r="AH271" t="s">
        <v>1639</v>
      </c>
      <c r="AI271">
        <v>0</v>
      </c>
    </row>
    <row r="272" spans="5:35" x14ac:dyDescent="0.45">
      <c r="E272" t="s">
        <v>958</v>
      </c>
      <c r="G272" t="s">
        <v>364</v>
      </c>
      <c r="I272" t="s">
        <v>236</v>
      </c>
      <c r="J272" t="s">
        <v>1640</v>
      </c>
      <c r="K272">
        <v>0</v>
      </c>
      <c r="L272" t="s">
        <v>238</v>
      </c>
      <c r="N272" t="s">
        <v>346</v>
      </c>
      <c r="O272" t="s">
        <v>1640</v>
      </c>
      <c r="P272">
        <v>1.149884407416E-4</v>
      </c>
      <c r="Q272" t="s">
        <v>238</v>
      </c>
      <c r="S272" t="s">
        <v>347</v>
      </c>
      <c r="T272" t="s">
        <v>1640</v>
      </c>
      <c r="U272">
        <v>5.6292587081282211E-5</v>
      </c>
      <c r="V272" t="s">
        <v>238</v>
      </c>
      <c r="X272">
        <v>1.1415525114155251E-4</v>
      </c>
      <c r="Y272">
        <v>5.7678442682047593E-5</v>
      </c>
      <c r="Z272" t="s">
        <v>1640</v>
      </c>
      <c r="AA272" t="s">
        <v>25</v>
      </c>
      <c r="AC272" t="s">
        <v>22</v>
      </c>
      <c r="AD272" t="s">
        <v>1640</v>
      </c>
      <c r="AE272">
        <v>1.1434129589284494E-4</v>
      </c>
      <c r="AG272" t="s">
        <v>97</v>
      </c>
      <c r="AH272" t="s">
        <v>1640</v>
      </c>
      <c r="AI272">
        <v>0</v>
      </c>
    </row>
    <row r="273" spans="5:35" x14ac:dyDescent="0.45">
      <c r="E273" t="s">
        <v>959</v>
      </c>
      <c r="G273" t="s">
        <v>364</v>
      </c>
      <c r="I273" t="s">
        <v>236</v>
      </c>
      <c r="J273" t="s">
        <v>1641</v>
      </c>
      <c r="K273">
        <v>0</v>
      </c>
      <c r="L273" t="s">
        <v>238</v>
      </c>
      <c r="N273" t="s">
        <v>346</v>
      </c>
      <c r="O273" t="s">
        <v>1641</v>
      </c>
      <c r="P273">
        <v>1.082423458188E-4</v>
      </c>
      <c r="Q273" t="s">
        <v>238</v>
      </c>
      <c r="S273" t="s">
        <v>347</v>
      </c>
      <c r="T273" t="s">
        <v>1641</v>
      </c>
      <c r="U273">
        <v>4.7646034337835348E-5</v>
      </c>
      <c r="V273" t="s">
        <v>238</v>
      </c>
      <c r="X273">
        <v>1.1415525114155251E-4</v>
      </c>
      <c r="Y273">
        <v>1.6905750441289813E-4</v>
      </c>
      <c r="Z273" t="s">
        <v>1641</v>
      </c>
      <c r="AA273" t="s">
        <v>25</v>
      </c>
      <c r="AC273" t="s">
        <v>22</v>
      </c>
      <c r="AD273" t="s">
        <v>1641</v>
      </c>
      <c r="AE273">
        <v>1.3545996537592481E-4</v>
      </c>
      <c r="AG273" t="s">
        <v>97</v>
      </c>
      <c r="AH273" t="s">
        <v>1641</v>
      </c>
      <c r="AI273">
        <v>0</v>
      </c>
    </row>
    <row r="274" spans="5:35" x14ac:dyDescent="0.45">
      <c r="E274" t="s">
        <v>960</v>
      </c>
      <c r="G274" t="s">
        <v>364</v>
      </c>
      <c r="I274" t="s">
        <v>236</v>
      </c>
      <c r="J274" t="s">
        <v>1642</v>
      </c>
      <c r="K274">
        <v>0</v>
      </c>
      <c r="L274" t="s">
        <v>238</v>
      </c>
      <c r="N274" t="s">
        <v>346</v>
      </c>
      <c r="O274" t="s">
        <v>1642</v>
      </c>
      <c r="P274">
        <v>1.0202070006539999E-4</v>
      </c>
      <c r="Q274" t="s">
        <v>238</v>
      </c>
      <c r="S274" t="s">
        <v>347</v>
      </c>
      <c r="T274" t="s">
        <v>1642</v>
      </c>
      <c r="U274">
        <v>4.3289233068396951E-5</v>
      </c>
      <c r="V274" t="s">
        <v>238</v>
      </c>
      <c r="X274">
        <v>1.1415525114155251E-4</v>
      </c>
      <c r="Y274">
        <v>1.9060404909297337E-4</v>
      </c>
      <c r="Z274" t="s">
        <v>1642</v>
      </c>
      <c r="AA274" t="s">
        <v>25</v>
      </c>
      <c r="AC274" t="s">
        <v>22</v>
      </c>
      <c r="AD274" t="s">
        <v>1642</v>
      </c>
      <c r="AE274">
        <v>1.4221576124612287E-4</v>
      </c>
      <c r="AG274" t="s">
        <v>97</v>
      </c>
      <c r="AH274" t="s">
        <v>1642</v>
      </c>
      <c r="AI274">
        <v>0</v>
      </c>
    </row>
    <row r="275" spans="5:35" x14ac:dyDescent="0.45">
      <c r="E275" t="s">
        <v>961</v>
      </c>
      <c r="G275" t="s">
        <v>364</v>
      </c>
      <c r="I275" t="s">
        <v>236</v>
      </c>
      <c r="J275" t="s">
        <v>1643</v>
      </c>
      <c r="K275">
        <v>1.7359385990498581E-5</v>
      </c>
      <c r="L275" t="s">
        <v>238</v>
      </c>
      <c r="N275" t="s">
        <v>346</v>
      </c>
      <c r="O275" t="s">
        <v>1643</v>
      </c>
      <c r="P275">
        <v>9.5886082737354114E-5</v>
      </c>
      <c r="Q275" t="s">
        <v>238</v>
      </c>
      <c r="S275" t="s">
        <v>347</v>
      </c>
      <c r="T275" t="s">
        <v>1643</v>
      </c>
      <c r="U275">
        <v>4.5314898350546242E-5</v>
      </c>
      <c r="V275" t="s">
        <v>238</v>
      </c>
      <c r="X275">
        <v>1.1415525114155251E-4</v>
      </c>
      <c r="Y275">
        <v>1.4585353321897094E-4</v>
      </c>
      <c r="Z275" t="s">
        <v>1643</v>
      </c>
      <c r="AA275" t="s">
        <v>25</v>
      </c>
      <c r="AC275" t="s">
        <v>22</v>
      </c>
      <c r="AD275" t="s">
        <v>1643</v>
      </c>
      <c r="AE275">
        <v>1.4668140824050917E-4</v>
      </c>
      <c r="AG275" t="s">
        <v>97</v>
      </c>
      <c r="AH275" t="s">
        <v>1643</v>
      </c>
      <c r="AI275">
        <v>0</v>
      </c>
    </row>
    <row r="276" spans="5:35" x14ac:dyDescent="0.45">
      <c r="E276" t="s">
        <v>962</v>
      </c>
      <c r="G276" t="s">
        <v>364</v>
      </c>
      <c r="I276" t="s">
        <v>236</v>
      </c>
      <c r="J276" t="s">
        <v>1644</v>
      </c>
      <c r="K276">
        <v>7.7566193901810172E-5</v>
      </c>
      <c r="L276" t="s">
        <v>238</v>
      </c>
      <c r="N276" t="s">
        <v>346</v>
      </c>
      <c r="O276" t="s">
        <v>1644</v>
      </c>
      <c r="P276">
        <v>8.7088062817043522E-5</v>
      </c>
      <c r="Q276" t="s">
        <v>238</v>
      </c>
      <c r="S276" t="s">
        <v>347</v>
      </c>
      <c r="T276" t="s">
        <v>1644</v>
      </c>
      <c r="U276">
        <v>5.7750452209810472E-5</v>
      </c>
      <c r="V276" t="s">
        <v>238</v>
      </c>
      <c r="X276">
        <v>1.1415525114155251E-4</v>
      </c>
      <c r="Y276">
        <v>1.4452759200788939E-4</v>
      </c>
      <c r="Z276" t="s">
        <v>1644</v>
      </c>
      <c r="AA276" t="s">
        <v>25</v>
      </c>
      <c r="AC276" t="s">
        <v>22</v>
      </c>
      <c r="AD276" t="s">
        <v>1644</v>
      </c>
      <c r="AE276">
        <v>1.475040274236856E-4</v>
      </c>
      <c r="AG276" t="s">
        <v>97</v>
      </c>
      <c r="AH276" t="s">
        <v>1644</v>
      </c>
      <c r="AI276">
        <v>0</v>
      </c>
    </row>
    <row r="277" spans="5:35" x14ac:dyDescent="0.45">
      <c r="E277" t="s">
        <v>963</v>
      </c>
      <c r="G277" t="s">
        <v>364</v>
      </c>
      <c r="I277" t="s">
        <v>236</v>
      </c>
      <c r="J277" t="s">
        <v>1645</v>
      </c>
      <c r="K277">
        <v>1.2215253087560001E-4</v>
      </c>
      <c r="L277" t="s">
        <v>238</v>
      </c>
      <c r="N277" t="s">
        <v>346</v>
      </c>
      <c r="O277" t="s">
        <v>1645</v>
      </c>
      <c r="P277">
        <v>7.7779522737182305E-5</v>
      </c>
      <c r="Q277" t="s">
        <v>238</v>
      </c>
      <c r="S277" t="s">
        <v>347</v>
      </c>
      <c r="T277" t="s">
        <v>1645</v>
      </c>
      <c r="U277">
        <v>9.873198643910904E-5</v>
      </c>
      <c r="V277" t="s">
        <v>238</v>
      </c>
      <c r="X277">
        <v>1.1415525114155251E-4</v>
      </c>
      <c r="Y277">
        <v>1.408812536774151E-4</v>
      </c>
      <c r="Z277" t="s">
        <v>1645</v>
      </c>
      <c r="AA277" t="s">
        <v>25</v>
      </c>
      <c r="AC277" t="s">
        <v>22</v>
      </c>
      <c r="AD277" t="s">
        <v>1645</v>
      </c>
      <c r="AE277">
        <v>1.4531419796045636E-4</v>
      </c>
      <c r="AG277" t="s">
        <v>97</v>
      </c>
      <c r="AH277" t="s">
        <v>1645</v>
      </c>
      <c r="AI277">
        <v>0</v>
      </c>
    </row>
    <row r="278" spans="5:35" x14ac:dyDescent="0.45">
      <c r="E278" t="s">
        <v>964</v>
      </c>
      <c r="G278" t="s">
        <v>364</v>
      </c>
      <c r="I278" t="s">
        <v>236</v>
      </c>
      <c r="J278" t="s">
        <v>1646</v>
      </c>
      <c r="K278">
        <v>1.3140106622079999E-4</v>
      </c>
      <c r="L278" t="s">
        <v>238</v>
      </c>
      <c r="N278" t="s">
        <v>346</v>
      </c>
      <c r="O278" t="s">
        <v>1646</v>
      </c>
      <c r="P278">
        <v>6.3058283380179001E-5</v>
      </c>
      <c r="Q278" t="s">
        <v>238</v>
      </c>
      <c r="S278" t="s">
        <v>347</v>
      </c>
      <c r="T278" t="s">
        <v>1646</v>
      </c>
      <c r="U278">
        <v>1.133336145287E-4</v>
      </c>
      <c r="V278" t="s">
        <v>238</v>
      </c>
      <c r="X278">
        <v>1.1415525114155251E-4</v>
      </c>
      <c r="Y278">
        <v>1.4054976837464471E-4</v>
      </c>
      <c r="Z278" t="s">
        <v>1646</v>
      </c>
      <c r="AA278" t="s">
        <v>25</v>
      </c>
      <c r="AC278" t="s">
        <v>22</v>
      </c>
      <c r="AD278" t="s">
        <v>1646</v>
      </c>
      <c r="AE278">
        <v>1.4481833343540576E-4</v>
      </c>
      <c r="AG278" t="s">
        <v>97</v>
      </c>
      <c r="AH278" t="s">
        <v>1646</v>
      </c>
      <c r="AI278">
        <v>0</v>
      </c>
    </row>
    <row r="279" spans="5:35" x14ac:dyDescent="0.45">
      <c r="E279" t="s">
        <v>965</v>
      </c>
      <c r="G279" t="s">
        <v>364</v>
      </c>
      <c r="I279" t="s">
        <v>236</v>
      </c>
      <c r="J279" t="s">
        <v>1647</v>
      </c>
      <c r="K279">
        <v>1.2853981123359999E-4</v>
      </c>
      <c r="L279" t="s">
        <v>238</v>
      </c>
      <c r="N279" t="s">
        <v>346</v>
      </c>
      <c r="O279" t="s">
        <v>1647</v>
      </c>
      <c r="P279">
        <v>5.4516521721976213E-5</v>
      </c>
      <c r="Q279" t="s">
        <v>238</v>
      </c>
      <c r="S279" t="s">
        <v>347</v>
      </c>
      <c r="T279" t="s">
        <v>1647</v>
      </c>
      <c r="U279">
        <v>1.2277624511000001E-4</v>
      </c>
      <c r="V279" t="s">
        <v>238</v>
      </c>
      <c r="X279">
        <v>1.1415525114155251E-4</v>
      </c>
      <c r="Y279">
        <v>1.4253868019126702E-4</v>
      </c>
      <c r="Z279" t="s">
        <v>1647</v>
      </c>
      <c r="AA279" t="s">
        <v>25</v>
      </c>
      <c r="AC279" t="s">
        <v>22</v>
      </c>
      <c r="AD279" t="s">
        <v>1647</v>
      </c>
      <c r="AE279">
        <v>1.4503903614308724E-4</v>
      </c>
      <c r="AG279" t="s">
        <v>97</v>
      </c>
      <c r="AH279" t="s">
        <v>1647</v>
      </c>
      <c r="AI279">
        <v>0</v>
      </c>
    </row>
    <row r="280" spans="5:35" x14ac:dyDescent="0.45">
      <c r="E280" t="s">
        <v>966</v>
      </c>
      <c r="G280" t="s">
        <v>364</v>
      </c>
      <c r="I280" t="s">
        <v>236</v>
      </c>
      <c r="J280" t="s">
        <v>1648</v>
      </c>
      <c r="K280">
        <v>1.170519599992E-4</v>
      </c>
      <c r="L280" t="s">
        <v>238</v>
      </c>
      <c r="N280" t="s">
        <v>346</v>
      </c>
      <c r="O280" t="s">
        <v>1648</v>
      </c>
      <c r="P280">
        <v>5.3611693189920089E-5</v>
      </c>
      <c r="Q280" t="s">
        <v>238</v>
      </c>
      <c r="S280" t="s">
        <v>347</v>
      </c>
      <c r="T280" t="s">
        <v>1648</v>
      </c>
      <c r="U280">
        <v>1.2746442331829999E-4</v>
      </c>
      <c r="V280" t="s">
        <v>238</v>
      </c>
      <c r="X280">
        <v>1.1415525114155251E-4</v>
      </c>
      <c r="Y280">
        <v>1.4883690094390442E-4</v>
      </c>
      <c r="Z280" t="s">
        <v>1648</v>
      </c>
      <c r="AA280" t="s">
        <v>25</v>
      </c>
      <c r="AC280" t="s">
        <v>22</v>
      </c>
      <c r="AD280" t="s">
        <v>1648</v>
      </c>
      <c r="AE280">
        <v>1.4503903614308724E-4</v>
      </c>
      <c r="AG280" t="s">
        <v>97</v>
      </c>
      <c r="AH280" t="s">
        <v>1648</v>
      </c>
      <c r="AI280">
        <v>0</v>
      </c>
    </row>
    <row r="281" spans="5:35" x14ac:dyDescent="0.45">
      <c r="E281" t="s">
        <v>967</v>
      </c>
      <c r="G281" t="s">
        <v>364</v>
      </c>
      <c r="I281" t="s">
        <v>236</v>
      </c>
      <c r="J281" t="s">
        <v>1649</v>
      </c>
      <c r="K281">
        <v>8.4099518779670476E-5</v>
      </c>
      <c r="L281" t="s">
        <v>238</v>
      </c>
      <c r="N281" t="s">
        <v>346</v>
      </c>
      <c r="O281" t="s">
        <v>1649</v>
      </c>
      <c r="P281">
        <v>5.4421042415040169E-5</v>
      </c>
      <c r="Q281" t="s">
        <v>238</v>
      </c>
      <c r="S281" t="s">
        <v>347</v>
      </c>
      <c r="T281" t="s">
        <v>1649</v>
      </c>
      <c r="U281">
        <v>1.2233497506290001E-4</v>
      </c>
      <c r="V281" t="s">
        <v>238</v>
      </c>
      <c r="X281">
        <v>1.1415525114155251E-4</v>
      </c>
      <c r="Y281">
        <v>1.5049432745775637E-4</v>
      </c>
      <c r="Z281" t="s">
        <v>1649</v>
      </c>
      <c r="AA281" t="s">
        <v>25</v>
      </c>
      <c r="AC281" t="s">
        <v>22</v>
      </c>
      <c r="AD281" t="s">
        <v>1649</v>
      </c>
      <c r="AE281">
        <v>1.4422788203563453E-4</v>
      </c>
      <c r="AG281" t="s">
        <v>97</v>
      </c>
      <c r="AH281" t="s">
        <v>1649</v>
      </c>
      <c r="AI281">
        <v>0</v>
      </c>
    </row>
    <row r="282" spans="5:35" x14ac:dyDescent="0.45">
      <c r="E282" t="s">
        <v>968</v>
      </c>
      <c r="G282" t="s">
        <v>364</v>
      </c>
      <c r="I282" t="s">
        <v>236</v>
      </c>
      <c r="J282" t="s">
        <v>1650</v>
      </c>
      <c r="K282">
        <v>5.0159943156103502E-5</v>
      </c>
      <c r="L282" t="s">
        <v>238</v>
      </c>
      <c r="N282" t="s">
        <v>346</v>
      </c>
      <c r="O282" t="s">
        <v>1650</v>
      </c>
      <c r="P282">
        <v>5.7210284219692611E-5</v>
      </c>
      <c r="Q282" t="s">
        <v>238</v>
      </c>
      <c r="S282" t="s">
        <v>347</v>
      </c>
      <c r="T282" t="s">
        <v>1650</v>
      </c>
      <c r="U282">
        <v>1.208247536847E-4</v>
      </c>
      <c r="V282" t="s">
        <v>238</v>
      </c>
      <c r="X282">
        <v>1.1415525114155251E-4</v>
      </c>
      <c r="Y282">
        <v>1.7237235744060203E-4</v>
      </c>
      <c r="Z282" t="s">
        <v>1650</v>
      </c>
      <c r="AA282" t="s">
        <v>25</v>
      </c>
      <c r="AC282" t="s">
        <v>22</v>
      </c>
      <c r="AD282" t="s">
        <v>1650</v>
      </c>
      <c r="AE282">
        <v>1.4481833343540576E-4</v>
      </c>
      <c r="AG282" t="s">
        <v>97</v>
      </c>
      <c r="AH282" t="s">
        <v>1650</v>
      </c>
      <c r="AI282">
        <v>0</v>
      </c>
    </row>
    <row r="283" spans="5:35" x14ac:dyDescent="0.45">
      <c r="E283" t="s">
        <v>969</v>
      </c>
      <c r="G283" t="s">
        <v>364</v>
      </c>
      <c r="I283" t="s">
        <v>236</v>
      </c>
      <c r="J283" t="s">
        <v>1651</v>
      </c>
      <c r="K283">
        <v>1.3387366692160403E-5</v>
      </c>
      <c r="L283" t="s">
        <v>238</v>
      </c>
      <c r="N283" t="s">
        <v>346</v>
      </c>
      <c r="O283" t="s">
        <v>1651</v>
      </c>
      <c r="P283">
        <v>6.2543957780542445E-5</v>
      </c>
      <c r="Q283" t="s">
        <v>238</v>
      </c>
      <c r="S283" t="s">
        <v>347</v>
      </c>
      <c r="T283" t="s">
        <v>1651</v>
      </c>
      <c r="U283">
        <v>1.059505366268E-4</v>
      </c>
      <c r="V283" t="s">
        <v>238</v>
      </c>
      <c r="X283">
        <v>1.1415525114155251E-4</v>
      </c>
      <c r="Y283">
        <v>2.2209515285616027E-4</v>
      </c>
      <c r="Z283" t="s">
        <v>1651</v>
      </c>
      <c r="AA283" t="s">
        <v>25</v>
      </c>
      <c r="AC283" t="s">
        <v>22</v>
      </c>
      <c r="AD283" t="s">
        <v>1651</v>
      </c>
      <c r="AE283">
        <v>1.4516515197604812E-4</v>
      </c>
      <c r="AG283" t="s">
        <v>97</v>
      </c>
      <c r="AH283" t="s">
        <v>1651</v>
      </c>
      <c r="AI283">
        <v>0</v>
      </c>
    </row>
    <row r="284" spans="5:35" x14ac:dyDescent="0.45">
      <c r="E284" t="s">
        <v>970</v>
      </c>
      <c r="G284" t="s">
        <v>364</v>
      </c>
      <c r="I284" t="s">
        <v>236</v>
      </c>
      <c r="J284" t="s">
        <v>1652</v>
      </c>
      <c r="K284">
        <v>0</v>
      </c>
      <c r="L284" t="s">
        <v>238</v>
      </c>
      <c r="N284" t="s">
        <v>346</v>
      </c>
      <c r="O284" t="s">
        <v>1652</v>
      </c>
      <c r="P284">
        <v>7.2384563835304025E-5</v>
      </c>
      <c r="Q284" t="s">
        <v>238</v>
      </c>
      <c r="S284" t="s">
        <v>347</v>
      </c>
      <c r="T284" t="s">
        <v>1652</v>
      </c>
      <c r="U284">
        <v>9.886679073798438E-5</v>
      </c>
      <c r="V284" t="s">
        <v>238</v>
      </c>
      <c r="X284">
        <v>1.1415525114155251E-4</v>
      </c>
      <c r="Y284">
        <v>2.2209515285616027E-4</v>
      </c>
      <c r="Z284" t="s">
        <v>1652</v>
      </c>
      <c r="AA284" t="s">
        <v>25</v>
      </c>
      <c r="AC284" t="s">
        <v>22</v>
      </c>
      <c r="AD284" t="s">
        <v>1652</v>
      </c>
      <c r="AE284">
        <v>1.4513648928673881E-4</v>
      </c>
      <c r="AG284" t="s">
        <v>97</v>
      </c>
      <c r="AH284" t="s">
        <v>1652</v>
      </c>
      <c r="AI284">
        <v>0</v>
      </c>
    </row>
    <row r="285" spans="5:35" x14ac:dyDescent="0.45">
      <c r="E285" t="s">
        <v>971</v>
      </c>
      <c r="G285" t="s">
        <v>364</v>
      </c>
      <c r="I285" t="s">
        <v>236</v>
      </c>
      <c r="J285" t="s">
        <v>1653</v>
      </c>
      <c r="K285">
        <v>0</v>
      </c>
      <c r="L285" t="s">
        <v>238</v>
      </c>
      <c r="N285" t="s">
        <v>346</v>
      </c>
      <c r="O285" t="s">
        <v>1653</v>
      </c>
      <c r="P285">
        <v>7.1119869775113431E-5</v>
      </c>
      <c r="Q285" t="s">
        <v>238</v>
      </c>
      <c r="S285" t="s">
        <v>347</v>
      </c>
      <c r="T285" t="s">
        <v>1653</v>
      </c>
      <c r="U285">
        <v>9.7828393846906679E-5</v>
      </c>
      <c r="V285" t="s">
        <v>238</v>
      </c>
      <c r="X285">
        <v>1.1415525114155251E-4</v>
      </c>
      <c r="Y285">
        <v>1.7237235744060203E-4</v>
      </c>
      <c r="Z285" t="s">
        <v>1653</v>
      </c>
      <c r="AA285" t="s">
        <v>25</v>
      </c>
      <c r="AC285" t="s">
        <v>22</v>
      </c>
      <c r="AD285" t="s">
        <v>1653</v>
      </c>
      <c r="AE285">
        <v>1.4513648928673881E-4</v>
      </c>
      <c r="AG285" t="s">
        <v>97</v>
      </c>
      <c r="AH285" t="s">
        <v>1653</v>
      </c>
      <c r="AI285">
        <v>0</v>
      </c>
    </row>
    <row r="286" spans="5:35" x14ac:dyDescent="0.45">
      <c r="E286" t="s">
        <v>972</v>
      </c>
      <c r="G286" t="s">
        <v>364</v>
      </c>
      <c r="I286" t="s">
        <v>236</v>
      </c>
      <c r="J286" t="s">
        <v>1654</v>
      </c>
      <c r="K286">
        <v>0</v>
      </c>
      <c r="L286" t="s">
        <v>238</v>
      </c>
      <c r="N286" t="s">
        <v>346</v>
      </c>
      <c r="O286" t="s">
        <v>1654</v>
      </c>
      <c r="P286">
        <v>6.2947799134967895E-5</v>
      </c>
      <c r="Q286" t="s">
        <v>238</v>
      </c>
      <c r="S286" t="s">
        <v>347</v>
      </c>
      <c r="T286" t="s">
        <v>1654</v>
      </c>
      <c r="U286">
        <v>7.6101033112951666E-5</v>
      </c>
      <c r="V286" t="s">
        <v>238</v>
      </c>
      <c r="X286">
        <v>1.1415525114155251E-4</v>
      </c>
      <c r="Y286">
        <v>1.5579809230208258E-4</v>
      </c>
      <c r="Z286" t="s">
        <v>1654</v>
      </c>
      <c r="AA286" t="s">
        <v>25</v>
      </c>
      <c r="AC286" t="s">
        <v>22</v>
      </c>
      <c r="AD286" t="s">
        <v>1654</v>
      </c>
      <c r="AE286">
        <v>1.4122116592709072E-4</v>
      </c>
      <c r="AG286" t="s">
        <v>97</v>
      </c>
      <c r="AH286" t="s">
        <v>1654</v>
      </c>
      <c r="AI286">
        <v>0</v>
      </c>
    </row>
    <row r="287" spans="5:35" x14ac:dyDescent="0.45">
      <c r="E287" t="s">
        <v>973</v>
      </c>
      <c r="G287" t="s">
        <v>364</v>
      </c>
      <c r="I287" t="s">
        <v>236</v>
      </c>
      <c r="J287" t="s">
        <v>1655</v>
      </c>
      <c r="K287">
        <v>0</v>
      </c>
      <c r="L287" t="s">
        <v>238</v>
      </c>
      <c r="N287" t="s">
        <v>346</v>
      </c>
      <c r="O287" t="s">
        <v>1655</v>
      </c>
      <c r="P287">
        <v>6.2611351699031742E-5</v>
      </c>
      <c r="Q287" t="s">
        <v>238</v>
      </c>
      <c r="S287" t="s">
        <v>347</v>
      </c>
      <c r="T287" t="s">
        <v>1655</v>
      </c>
      <c r="U287">
        <v>5.4157830195997976E-5</v>
      </c>
      <c r="V287" t="s">
        <v>238</v>
      </c>
      <c r="X287">
        <v>1.1415525114155251E-4</v>
      </c>
      <c r="Y287">
        <v>1.093901499142282E-4</v>
      </c>
      <c r="Z287" t="s">
        <v>1655</v>
      </c>
      <c r="AA287" t="s">
        <v>25</v>
      </c>
      <c r="AC287" t="s">
        <v>22</v>
      </c>
      <c r="AD287" t="s">
        <v>1655</v>
      </c>
      <c r="AE287">
        <v>1.3143285752797049E-4</v>
      </c>
      <c r="AG287" t="s">
        <v>97</v>
      </c>
      <c r="AH287" t="s">
        <v>1655</v>
      </c>
      <c r="AI287">
        <v>0</v>
      </c>
    </row>
    <row r="288" spans="5:35" x14ac:dyDescent="0.45">
      <c r="E288" t="s">
        <v>974</v>
      </c>
      <c r="G288" t="s">
        <v>364</v>
      </c>
      <c r="I288" t="s">
        <v>236</v>
      </c>
      <c r="J288" t="s">
        <v>1656</v>
      </c>
      <c r="K288">
        <v>0</v>
      </c>
      <c r="L288" t="s">
        <v>238</v>
      </c>
      <c r="N288" t="s">
        <v>346</v>
      </c>
      <c r="O288" t="s">
        <v>1656</v>
      </c>
      <c r="P288">
        <v>6.4956920579784609E-5</v>
      </c>
      <c r="Q288" t="s">
        <v>238</v>
      </c>
      <c r="S288" t="s">
        <v>347</v>
      </c>
      <c r="T288" t="s">
        <v>1656</v>
      </c>
      <c r="U288">
        <v>3.3971813682048887E-5</v>
      </c>
      <c r="V288" t="s">
        <v>238</v>
      </c>
      <c r="X288">
        <v>1.1415525114155251E-4</v>
      </c>
      <c r="Y288">
        <v>7.9556472664893237E-5</v>
      </c>
      <c r="Z288" t="s">
        <v>1656</v>
      </c>
      <c r="AA288" t="s">
        <v>25</v>
      </c>
      <c r="AC288" t="s">
        <v>22</v>
      </c>
      <c r="AD288" t="s">
        <v>1656</v>
      </c>
      <c r="AE288">
        <v>1.182938807485951E-4</v>
      </c>
      <c r="AG288" t="s">
        <v>97</v>
      </c>
      <c r="AH288" t="s">
        <v>1656</v>
      </c>
      <c r="AI288">
        <v>0</v>
      </c>
    </row>
    <row r="289" spans="5:35" x14ac:dyDescent="0.45">
      <c r="E289" t="s">
        <v>975</v>
      </c>
      <c r="G289" t="s">
        <v>364</v>
      </c>
      <c r="I289" t="s">
        <v>236</v>
      </c>
      <c r="J289" t="s">
        <v>1657</v>
      </c>
      <c r="K289">
        <v>0</v>
      </c>
      <c r="L289" t="s">
        <v>238</v>
      </c>
      <c r="N289" t="s">
        <v>346</v>
      </c>
      <c r="O289" t="s">
        <v>1657</v>
      </c>
      <c r="P289">
        <v>6.4519302109707934E-5</v>
      </c>
      <c r="Q289" t="s">
        <v>238</v>
      </c>
      <c r="S289" t="s">
        <v>347</v>
      </c>
      <c r="T289" t="s">
        <v>1657</v>
      </c>
      <c r="U289">
        <v>3.1909905907363422E-5</v>
      </c>
      <c r="V289" t="s">
        <v>238</v>
      </c>
      <c r="X289">
        <v>1.1415525114155251E-4</v>
      </c>
      <c r="Y289">
        <v>5.6352501470966035E-5</v>
      </c>
      <c r="Z289" t="s">
        <v>1657</v>
      </c>
      <c r="AA289" t="s">
        <v>25</v>
      </c>
      <c r="AC289" t="s">
        <v>22</v>
      </c>
      <c r="AD289" t="s">
        <v>1657</v>
      </c>
      <c r="AE289">
        <v>1.100447587653834E-4</v>
      </c>
      <c r="AG289" t="s">
        <v>97</v>
      </c>
      <c r="AH289" t="s">
        <v>1657</v>
      </c>
      <c r="AI289">
        <v>0</v>
      </c>
    </row>
    <row r="290" spans="5:35" x14ac:dyDescent="0.45">
      <c r="E290" t="s">
        <v>976</v>
      </c>
      <c r="G290" t="s">
        <v>364</v>
      </c>
      <c r="I290" t="s">
        <v>236</v>
      </c>
      <c r="J290" t="s">
        <v>1658</v>
      </c>
      <c r="K290">
        <v>0</v>
      </c>
      <c r="L290" t="s">
        <v>238</v>
      </c>
      <c r="N290" t="s">
        <v>346</v>
      </c>
      <c r="O290" t="s">
        <v>1658</v>
      </c>
      <c r="P290">
        <v>6.2066057076837165E-5</v>
      </c>
      <c r="Q290" t="s">
        <v>238</v>
      </c>
      <c r="S290" t="s">
        <v>347</v>
      </c>
      <c r="T290" t="s">
        <v>1658</v>
      </c>
      <c r="U290">
        <v>3.3086767466139849E-5</v>
      </c>
      <c r="V290" t="s">
        <v>238</v>
      </c>
      <c r="X290">
        <v>1.1415525114155251E-4</v>
      </c>
      <c r="Y290">
        <v>2.9833677249334962E-5</v>
      </c>
      <c r="Z290" t="s">
        <v>1658</v>
      </c>
      <c r="AA290" t="s">
        <v>25</v>
      </c>
      <c r="AC290" t="s">
        <v>22</v>
      </c>
      <c r="AD290" t="s">
        <v>1658</v>
      </c>
      <c r="AE290">
        <v>9.2941732054534115E-5</v>
      </c>
      <c r="AG290" t="s">
        <v>97</v>
      </c>
      <c r="AH290" t="s">
        <v>1658</v>
      </c>
      <c r="AI290">
        <v>0</v>
      </c>
    </row>
    <row r="291" spans="5:35" x14ac:dyDescent="0.45">
      <c r="E291" t="s">
        <v>977</v>
      </c>
      <c r="G291" t="s">
        <v>364</v>
      </c>
      <c r="I291" t="s">
        <v>236</v>
      </c>
      <c r="J291" t="s">
        <v>1659</v>
      </c>
      <c r="K291">
        <v>0</v>
      </c>
      <c r="L291" t="s">
        <v>238</v>
      </c>
      <c r="N291" t="s">
        <v>346</v>
      </c>
      <c r="O291" t="s">
        <v>1659</v>
      </c>
      <c r="P291">
        <v>6.6901851474040759E-5</v>
      </c>
      <c r="Q291" t="s">
        <v>238</v>
      </c>
      <c r="S291" t="s">
        <v>347</v>
      </c>
      <c r="T291" t="s">
        <v>1659</v>
      </c>
      <c r="U291">
        <v>3.632149763625018E-5</v>
      </c>
      <c r="V291" t="s">
        <v>238</v>
      </c>
      <c r="X291">
        <v>1.1415525114155251E-4</v>
      </c>
      <c r="Y291">
        <v>2.1546544680075254E-5</v>
      </c>
      <c r="Z291" t="s">
        <v>1659</v>
      </c>
      <c r="AA291" t="s">
        <v>25</v>
      </c>
      <c r="AC291" t="s">
        <v>22</v>
      </c>
      <c r="AD291" t="s">
        <v>1659</v>
      </c>
      <c r="AE291">
        <v>8.5122550410961643E-5</v>
      </c>
      <c r="AG291" t="s">
        <v>97</v>
      </c>
      <c r="AH291" t="s">
        <v>1659</v>
      </c>
      <c r="AI291">
        <v>0</v>
      </c>
    </row>
    <row r="292" spans="5:35" x14ac:dyDescent="0.45">
      <c r="E292" t="s">
        <v>978</v>
      </c>
      <c r="G292" t="s">
        <v>364</v>
      </c>
      <c r="I292" t="s">
        <v>236</v>
      </c>
      <c r="J292" t="s">
        <v>1660</v>
      </c>
      <c r="K292">
        <v>0</v>
      </c>
      <c r="L292" t="s">
        <v>238</v>
      </c>
      <c r="N292" t="s">
        <v>346</v>
      </c>
      <c r="O292" t="s">
        <v>1660</v>
      </c>
      <c r="P292">
        <v>6.6892616563714129E-5</v>
      </c>
      <c r="Q292" t="s">
        <v>238</v>
      </c>
      <c r="S292" t="s">
        <v>347</v>
      </c>
      <c r="T292" t="s">
        <v>1660</v>
      </c>
      <c r="U292">
        <v>3.3562492970621459E-5</v>
      </c>
      <c r="V292" t="s">
        <v>238</v>
      </c>
      <c r="X292">
        <v>1.1415525114155251E-4</v>
      </c>
      <c r="Y292">
        <v>1.4916838624667481E-5</v>
      </c>
      <c r="Z292" t="s">
        <v>1660</v>
      </c>
      <c r="AA292" t="s">
        <v>25</v>
      </c>
      <c r="AC292" t="s">
        <v>22</v>
      </c>
      <c r="AD292" t="s">
        <v>1660</v>
      </c>
      <c r="AE292">
        <v>8.1144169134833141E-5</v>
      </c>
      <c r="AG292" t="s">
        <v>97</v>
      </c>
      <c r="AH292" t="s">
        <v>1660</v>
      </c>
      <c r="AI292">
        <v>0</v>
      </c>
    </row>
    <row r="293" spans="5:35" x14ac:dyDescent="0.45">
      <c r="E293" t="s">
        <v>979</v>
      </c>
      <c r="G293" t="s">
        <v>364</v>
      </c>
      <c r="I293" t="s">
        <v>236</v>
      </c>
      <c r="J293" t="s">
        <v>1661</v>
      </c>
      <c r="K293">
        <v>0</v>
      </c>
      <c r="L293" t="s">
        <v>238</v>
      </c>
      <c r="N293" t="s">
        <v>346</v>
      </c>
      <c r="O293" t="s">
        <v>1661</v>
      </c>
      <c r="P293">
        <v>6.3950443496285509E-5</v>
      </c>
      <c r="Q293" t="s">
        <v>238</v>
      </c>
      <c r="S293" t="s">
        <v>347</v>
      </c>
      <c r="T293" t="s">
        <v>1661</v>
      </c>
      <c r="U293">
        <v>2.4334101260100864E-5</v>
      </c>
      <c r="V293" t="s">
        <v>238</v>
      </c>
      <c r="X293">
        <v>1.1415525114155251E-4</v>
      </c>
      <c r="Y293">
        <v>1.6574265138519424E-5</v>
      </c>
      <c r="Z293" t="s">
        <v>1661</v>
      </c>
      <c r="AA293" t="s">
        <v>25</v>
      </c>
      <c r="AC293" t="s">
        <v>22</v>
      </c>
      <c r="AD293" t="s">
        <v>1661</v>
      </c>
      <c r="AE293">
        <v>8.0906268813566066E-5</v>
      </c>
      <c r="AG293" t="s">
        <v>97</v>
      </c>
      <c r="AH293" t="s">
        <v>1661</v>
      </c>
      <c r="AI293">
        <v>0</v>
      </c>
    </row>
    <row r="294" spans="5:35" x14ac:dyDescent="0.45">
      <c r="E294" t="s">
        <v>980</v>
      </c>
      <c r="G294" t="s">
        <v>364</v>
      </c>
      <c r="I294" t="s">
        <v>236</v>
      </c>
      <c r="J294" t="s">
        <v>1662</v>
      </c>
      <c r="K294">
        <v>0</v>
      </c>
      <c r="L294" t="s">
        <v>238</v>
      </c>
      <c r="N294" t="s">
        <v>346</v>
      </c>
      <c r="O294" t="s">
        <v>1662</v>
      </c>
      <c r="P294">
        <v>6.0411952385774792E-5</v>
      </c>
      <c r="Q294" t="s">
        <v>238</v>
      </c>
      <c r="S294" t="s">
        <v>347</v>
      </c>
      <c r="T294" t="s">
        <v>1662</v>
      </c>
      <c r="U294">
        <v>1.7090400438937327E-5</v>
      </c>
      <c r="V294" t="s">
        <v>238</v>
      </c>
      <c r="X294">
        <v>1.1415525114155251E-4</v>
      </c>
      <c r="Y294">
        <v>1.4585353321897093E-5</v>
      </c>
      <c r="Z294" t="s">
        <v>1662</v>
      </c>
      <c r="AA294" t="s">
        <v>25</v>
      </c>
      <c r="AC294" t="s">
        <v>22</v>
      </c>
      <c r="AD294" t="s">
        <v>1662</v>
      </c>
      <c r="AE294">
        <v>8.193812562870026E-5</v>
      </c>
      <c r="AG294" t="s">
        <v>97</v>
      </c>
      <c r="AH294" t="s">
        <v>1662</v>
      </c>
      <c r="AI294">
        <v>0</v>
      </c>
    </row>
    <row r="295" spans="5:35" x14ac:dyDescent="0.45">
      <c r="E295" t="s">
        <v>981</v>
      </c>
      <c r="G295" t="s">
        <v>364</v>
      </c>
      <c r="I295" t="s">
        <v>236</v>
      </c>
      <c r="J295" t="s">
        <v>1663</v>
      </c>
      <c r="K295">
        <v>0</v>
      </c>
      <c r="L295" t="s">
        <v>238</v>
      </c>
      <c r="N295" t="s">
        <v>346</v>
      </c>
      <c r="O295" t="s">
        <v>1663</v>
      </c>
      <c r="P295">
        <v>5.8370641008167388E-5</v>
      </c>
      <c r="Q295" t="s">
        <v>238</v>
      </c>
      <c r="S295" t="s">
        <v>347</v>
      </c>
      <c r="T295" t="s">
        <v>1663</v>
      </c>
      <c r="U295">
        <v>1.4874510167237532E-5</v>
      </c>
      <c r="V295" t="s">
        <v>238</v>
      </c>
      <c r="X295">
        <v>1.1415525114155251E-4</v>
      </c>
      <c r="Y295">
        <v>2.1215059377304864E-5</v>
      </c>
      <c r="Z295" t="s">
        <v>1663</v>
      </c>
      <c r="AA295" t="s">
        <v>25</v>
      </c>
      <c r="AC295" t="s">
        <v>22</v>
      </c>
      <c r="AD295" t="s">
        <v>1663</v>
      </c>
      <c r="AE295">
        <v>8.8166528015607511E-5</v>
      </c>
      <c r="AG295" t="s">
        <v>97</v>
      </c>
      <c r="AH295" t="s">
        <v>1663</v>
      </c>
      <c r="AI295">
        <v>0</v>
      </c>
    </row>
    <row r="296" spans="5:35" x14ac:dyDescent="0.45">
      <c r="E296" t="s">
        <v>982</v>
      </c>
      <c r="G296" t="s">
        <v>364</v>
      </c>
      <c r="I296" t="s">
        <v>236</v>
      </c>
      <c r="J296" t="s">
        <v>1664</v>
      </c>
      <c r="K296">
        <v>0</v>
      </c>
      <c r="L296" t="s">
        <v>238</v>
      </c>
      <c r="N296" t="s">
        <v>346</v>
      </c>
      <c r="O296" t="s">
        <v>1664</v>
      </c>
      <c r="P296">
        <v>5.6153248026938562E-5</v>
      </c>
      <c r="Q296" t="s">
        <v>238</v>
      </c>
      <c r="S296" t="s">
        <v>347</v>
      </c>
      <c r="T296" t="s">
        <v>1664</v>
      </c>
      <c r="U296">
        <v>1.6483902967053581E-5</v>
      </c>
      <c r="V296" t="s">
        <v>238</v>
      </c>
      <c r="X296">
        <v>1.1415525114155251E-4</v>
      </c>
      <c r="Y296">
        <v>5.7678442682047593E-5</v>
      </c>
      <c r="Z296" t="s">
        <v>1664</v>
      </c>
      <c r="AA296" t="s">
        <v>25</v>
      </c>
      <c r="AC296" t="s">
        <v>22</v>
      </c>
      <c r="AD296" t="s">
        <v>1664</v>
      </c>
      <c r="AE296">
        <v>1.2007096748577064E-4</v>
      </c>
      <c r="AG296" t="s">
        <v>97</v>
      </c>
      <c r="AH296" t="s">
        <v>1664</v>
      </c>
      <c r="AI296">
        <v>0</v>
      </c>
    </row>
    <row r="297" spans="5:35" x14ac:dyDescent="0.45">
      <c r="E297" t="s">
        <v>983</v>
      </c>
      <c r="G297" t="s">
        <v>364</v>
      </c>
      <c r="I297" t="s">
        <v>236</v>
      </c>
      <c r="J297" t="s">
        <v>1665</v>
      </c>
      <c r="K297">
        <v>0</v>
      </c>
      <c r="L297" t="s">
        <v>238</v>
      </c>
      <c r="N297" t="s">
        <v>346</v>
      </c>
      <c r="O297" t="s">
        <v>1665</v>
      </c>
      <c r="P297">
        <v>5.793927960593958E-5</v>
      </c>
      <c r="Q297" t="s">
        <v>238</v>
      </c>
      <c r="S297" t="s">
        <v>347</v>
      </c>
      <c r="T297" t="s">
        <v>1665</v>
      </c>
      <c r="U297">
        <v>2.128908485554129E-5</v>
      </c>
      <c r="V297" t="s">
        <v>238</v>
      </c>
      <c r="X297">
        <v>1.1415525114155251E-4</v>
      </c>
      <c r="Y297">
        <v>1.6905750441289813E-4</v>
      </c>
      <c r="Z297" t="s">
        <v>1665</v>
      </c>
      <c r="AA297" t="s">
        <v>25</v>
      </c>
      <c r="AC297" t="s">
        <v>22</v>
      </c>
      <c r="AD297" t="s">
        <v>1665</v>
      </c>
      <c r="AE297">
        <v>1.3987688579848533E-4</v>
      </c>
      <c r="AG297" t="s">
        <v>97</v>
      </c>
      <c r="AH297" t="s">
        <v>1665</v>
      </c>
      <c r="AI297">
        <v>0</v>
      </c>
    </row>
    <row r="298" spans="5:35" x14ac:dyDescent="0.45">
      <c r="E298" t="s">
        <v>984</v>
      </c>
      <c r="G298" t="s">
        <v>364</v>
      </c>
      <c r="I298" t="s">
        <v>236</v>
      </c>
      <c r="J298" t="s">
        <v>1666</v>
      </c>
      <c r="K298">
        <v>0</v>
      </c>
      <c r="L298" t="s">
        <v>238</v>
      </c>
      <c r="N298" t="s">
        <v>346</v>
      </c>
      <c r="O298" t="s">
        <v>1666</v>
      </c>
      <c r="P298">
        <v>5.3969543358044665E-5</v>
      </c>
      <c r="Q298" t="s">
        <v>238</v>
      </c>
      <c r="S298" t="s">
        <v>347</v>
      </c>
      <c r="T298" t="s">
        <v>1666</v>
      </c>
      <c r="U298">
        <v>3.3803611787988442E-5</v>
      </c>
      <c r="V298" t="s">
        <v>238</v>
      </c>
      <c r="X298">
        <v>1.1415525114155251E-4</v>
      </c>
      <c r="Y298">
        <v>1.9060404909297337E-4</v>
      </c>
      <c r="Z298" t="s">
        <v>1666</v>
      </c>
      <c r="AA298" t="s">
        <v>25</v>
      </c>
      <c r="AC298" t="s">
        <v>22</v>
      </c>
      <c r="AD298" t="s">
        <v>1666</v>
      </c>
      <c r="AE298">
        <v>1.4483839731792224E-4</v>
      </c>
      <c r="AG298" t="s">
        <v>97</v>
      </c>
      <c r="AH298" t="s">
        <v>1666</v>
      </c>
      <c r="AI298">
        <v>0</v>
      </c>
    </row>
    <row r="299" spans="5:35" x14ac:dyDescent="0.45">
      <c r="E299" t="s">
        <v>985</v>
      </c>
      <c r="G299" t="s">
        <v>364</v>
      </c>
      <c r="I299" t="s">
        <v>236</v>
      </c>
      <c r="J299" t="s">
        <v>1667</v>
      </c>
      <c r="K299">
        <v>8.2757767048904296E-6</v>
      </c>
      <c r="L299" t="s">
        <v>238</v>
      </c>
      <c r="N299" t="s">
        <v>346</v>
      </c>
      <c r="O299" t="s">
        <v>1667</v>
      </c>
      <c r="P299">
        <v>4.6260393564574797E-5</v>
      </c>
      <c r="Q299" t="s">
        <v>238</v>
      </c>
      <c r="S299" t="s">
        <v>347</v>
      </c>
      <c r="T299" t="s">
        <v>1667</v>
      </c>
      <c r="U299">
        <v>5.1037408019091583E-5</v>
      </c>
      <c r="V299" t="s">
        <v>238</v>
      </c>
      <c r="X299">
        <v>1.1415525114155251E-4</v>
      </c>
      <c r="Y299">
        <v>1.4585353321897094E-4</v>
      </c>
      <c r="Z299" t="s">
        <v>1667</v>
      </c>
      <c r="AA299" t="s">
        <v>25</v>
      </c>
      <c r="AC299" t="s">
        <v>22</v>
      </c>
      <c r="AD299" t="s">
        <v>1667</v>
      </c>
      <c r="AE299">
        <v>1.5040755785071595E-4</v>
      </c>
      <c r="AG299" t="s">
        <v>97</v>
      </c>
      <c r="AH299" t="s">
        <v>1667</v>
      </c>
      <c r="AI299">
        <v>0</v>
      </c>
    </row>
    <row r="300" spans="5:35" x14ac:dyDescent="0.45">
      <c r="E300" t="s">
        <v>986</v>
      </c>
      <c r="G300" t="s">
        <v>364</v>
      </c>
      <c r="I300" t="s">
        <v>236</v>
      </c>
      <c r="J300" t="s">
        <v>1668</v>
      </c>
      <c r="K300">
        <v>3.3328414543041959E-5</v>
      </c>
      <c r="L300" t="s">
        <v>238</v>
      </c>
      <c r="N300" t="s">
        <v>346</v>
      </c>
      <c r="O300" t="s">
        <v>1668</v>
      </c>
      <c r="P300">
        <v>4.5500531646064406E-5</v>
      </c>
      <c r="Q300" t="s">
        <v>238</v>
      </c>
      <c r="S300" t="s">
        <v>347</v>
      </c>
      <c r="T300" t="s">
        <v>1668</v>
      </c>
      <c r="U300">
        <v>7.5538203138049168E-5</v>
      </c>
      <c r="V300" t="s">
        <v>238</v>
      </c>
      <c r="X300">
        <v>1.1415525114155251E-4</v>
      </c>
      <c r="Y300">
        <v>1.4452759200788939E-4</v>
      </c>
      <c r="Z300" t="s">
        <v>1668</v>
      </c>
      <c r="AA300" t="s">
        <v>25</v>
      </c>
      <c r="AC300" t="s">
        <v>22</v>
      </c>
      <c r="AD300" t="s">
        <v>1668</v>
      </c>
      <c r="AE300">
        <v>1.5301299630892981E-4</v>
      </c>
      <c r="AG300" t="s">
        <v>97</v>
      </c>
      <c r="AH300" t="s">
        <v>1668</v>
      </c>
      <c r="AI300">
        <v>0</v>
      </c>
    </row>
    <row r="301" spans="5:35" x14ac:dyDescent="0.45">
      <c r="E301" t="s">
        <v>987</v>
      </c>
      <c r="G301" t="s">
        <v>364</v>
      </c>
      <c r="I301" t="s">
        <v>236</v>
      </c>
      <c r="J301" t="s">
        <v>1669</v>
      </c>
      <c r="K301">
        <v>6.54793778140373E-5</v>
      </c>
      <c r="L301" t="s">
        <v>238</v>
      </c>
      <c r="N301" t="s">
        <v>346</v>
      </c>
      <c r="O301" t="s">
        <v>1669</v>
      </c>
      <c r="P301">
        <v>5.1455857141248421E-5</v>
      </c>
      <c r="Q301" t="s">
        <v>238</v>
      </c>
      <c r="S301" t="s">
        <v>347</v>
      </c>
      <c r="T301" t="s">
        <v>1669</v>
      </c>
      <c r="U301">
        <v>1.0200377336E-4</v>
      </c>
      <c r="V301" t="s">
        <v>238</v>
      </c>
      <c r="X301">
        <v>1.1415525114155251E-4</v>
      </c>
      <c r="Y301">
        <v>1.408812536774151E-4</v>
      </c>
      <c r="Z301" t="s">
        <v>1669</v>
      </c>
      <c r="AA301" t="s">
        <v>25</v>
      </c>
      <c r="AC301" t="s">
        <v>22</v>
      </c>
      <c r="AD301" t="s">
        <v>1669</v>
      </c>
      <c r="AE301">
        <v>1.5052507487688403E-4</v>
      </c>
      <c r="AG301" t="s">
        <v>97</v>
      </c>
      <c r="AH301" t="s">
        <v>1669</v>
      </c>
      <c r="AI301">
        <v>0</v>
      </c>
    </row>
    <row r="302" spans="5:35" x14ac:dyDescent="0.45">
      <c r="E302" t="s">
        <v>988</v>
      </c>
      <c r="G302" t="s">
        <v>364</v>
      </c>
      <c r="I302" t="s">
        <v>236</v>
      </c>
      <c r="J302" t="s">
        <v>1670</v>
      </c>
      <c r="K302">
        <v>6.7607873980169315E-5</v>
      </c>
      <c r="L302" t="s">
        <v>238</v>
      </c>
      <c r="N302" t="s">
        <v>346</v>
      </c>
      <c r="O302" t="s">
        <v>1670</v>
      </c>
      <c r="P302">
        <v>5.2755228212974789E-5</v>
      </c>
      <c r="Q302" t="s">
        <v>238</v>
      </c>
      <c r="S302" t="s">
        <v>347</v>
      </c>
      <c r="T302" t="s">
        <v>1670</v>
      </c>
      <c r="U302">
        <v>1.2323906374029999E-4</v>
      </c>
      <c r="V302" t="s">
        <v>238</v>
      </c>
      <c r="X302">
        <v>1.1415525114155251E-4</v>
      </c>
      <c r="Y302">
        <v>1.4054976837464471E-4</v>
      </c>
      <c r="Z302" t="s">
        <v>1670</v>
      </c>
      <c r="AA302" t="s">
        <v>25</v>
      </c>
      <c r="AC302" t="s">
        <v>22</v>
      </c>
      <c r="AD302" t="s">
        <v>1670</v>
      </c>
      <c r="AE302">
        <v>1.4858174454171466E-4</v>
      </c>
      <c r="AG302" t="s">
        <v>97</v>
      </c>
      <c r="AH302" t="s">
        <v>1670</v>
      </c>
      <c r="AI302">
        <v>0</v>
      </c>
    </row>
    <row r="303" spans="5:35" x14ac:dyDescent="0.45">
      <c r="E303" t="s">
        <v>989</v>
      </c>
      <c r="G303" t="s">
        <v>364</v>
      </c>
      <c r="I303" t="s">
        <v>236</v>
      </c>
      <c r="J303" t="s">
        <v>1671</v>
      </c>
      <c r="K303">
        <v>7.7468693792535301E-5</v>
      </c>
      <c r="L303" t="s">
        <v>238</v>
      </c>
      <c r="N303" t="s">
        <v>346</v>
      </c>
      <c r="O303" t="s">
        <v>1671</v>
      </c>
      <c r="P303">
        <v>5.0634700089872613E-5</v>
      </c>
      <c r="Q303" t="s">
        <v>238</v>
      </c>
      <c r="S303" t="s">
        <v>347</v>
      </c>
      <c r="T303" t="s">
        <v>1671</v>
      </c>
      <c r="U303">
        <v>1.2570197961680001E-4</v>
      </c>
      <c r="V303" t="s">
        <v>238</v>
      </c>
      <c r="X303">
        <v>1.1415525114155251E-4</v>
      </c>
      <c r="Y303">
        <v>1.4253868019126702E-4</v>
      </c>
      <c r="Z303" t="s">
        <v>1671</v>
      </c>
      <c r="AA303" t="s">
        <v>25</v>
      </c>
      <c r="AC303" t="s">
        <v>22</v>
      </c>
      <c r="AD303" t="s">
        <v>1671</v>
      </c>
      <c r="AE303">
        <v>1.4777059043426192E-4</v>
      </c>
      <c r="AG303" t="s">
        <v>97</v>
      </c>
      <c r="AH303" t="s">
        <v>1671</v>
      </c>
      <c r="AI303">
        <v>0</v>
      </c>
    </row>
    <row r="304" spans="5:35" x14ac:dyDescent="0.45">
      <c r="E304" t="s">
        <v>990</v>
      </c>
      <c r="G304" t="s">
        <v>364</v>
      </c>
      <c r="I304" t="s">
        <v>236</v>
      </c>
      <c r="J304" t="s">
        <v>1672</v>
      </c>
      <c r="K304">
        <v>7.5551428161115675E-5</v>
      </c>
      <c r="L304" t="s">
        <v>238</v>
      </c>
      <c r="N304" t="s">
        <v>346</v>
      </c>
      <c r="O304" t="s">
        <v>1672</v>
      </c>
      <c r="P304">
        <v>4.9560271742362322E-5</v>
      </c>
      <c r="Q304" t="s">
        <v>238</v>
      </c>
      <c r="S304" t="s">
        <v>347</v>
      </c>
      <c r="T304" t="s">
        <v>1672</v>
      </c>
      <c r="U304">
        <v>1.2417966175750001E-4</v>
      </c>
      <c r="V304" t="s">
        <v>238</v>
      </c>
      <c r="X304">
        <v>1.1415525114155251E-4</v>
      </c>
      <c r="Y304">
        <v>1.4883690094390442E-4</v>
      </c>
      <c r="Z304" t="s">
        <v>1672</v>
      </c>
      <c r="AA304" t="s">
        <v>25</v>
      </c>
      <c r="AC304" t="s">
        <v>22</v>
      </c>
      <c r="AD304" t="s">
        <v>1672</v>
      </c>
      <c r="AE304">
        <v>1.4770753251778151E-4</v>
      </c>
      <c r="AG304" t="s">
        <v>97</v>
      </c>
      <c r="AH304" t="s">
        <v>1672</v>
      </c>
      <c r="AI304">
        <v>0</v>
      </c>
    </row>
    <row r="305" spans="5:35" x14ac:dyDescent="0.45">
      <c r="E305" t="s">
        <v>991</v>
      </c>
      <c r="G305" t="s">
        <v>364</v>
      </c>
      <c r="I305" t="s">
        <v>236</v>
      </c>
      <c r="J305" t="s">
        <v>1673</v>
      </c>
      <c r="K305">
        <v>6.6163541092601209E-5</v>
      </c>
      <c r="L305" t="s">
        <v>238</v>
      </c>
      <c r="N305" t="s">
        <v>346</v>
      </c>
      <c r="O305" t="s">
        <v>1673</v>
      </c>
      <c r="P305">
        <v>5.3245159145655512E-5</v>
      </c>
      <c r="Q305" t="s">
        <v>238</v>
      </c>
      <c r="S305" t="s">
        <v>347</v>
      </c>
      <c r="T305" t="s">
        <v>1673</v>
      </c>
      <c r="U305">
        <v>1.196139921366E-4</v>
      </c>
      <c r="V305" t="s">
        <v>238</v>
      </c>
      <c r="X305">
        <v>1.1415525114155251E-4</v>
      </c>
      <c r="Y305">
        <v>1.5049432745775637E-4</v>
      </c>
      <c r="Z305" t="s">
        <v>1673</v>
      </c>
      <c r="AA305" t="s">
        <v>25</v>
      </c>
      <c r="AC305" t="s">
        <v>22</v>
      </c>
      <c r="AD305" t="s">
        <v>1673</v>
      </c>
      <c r="AE305">
        <v>1.4777059043426192E-4</v>
      </c>
      <c r="AG305" t="s">
        <v>97</v>
      </c>
      <c r="AH305" t="s">
        <v>1673</v>
      </c>
      <c r="AI305">
        <v>0</v>
      </c>
    </row>
    <row r="306" spans="5:35" x14ac:dyDescent="0.45">
      <c r="E306" t="s">
        <v>992</v>
      </c>
      <c r="G306" t="s">
        <v>364</v>
      </c>
      <c r="I306" t="s">
        <v>236</v>
      </c>
      <c r="J306" t="s">
        <v>1674</v>
      </c>
      <c r="K306">
        <v>4.5139386847795845E-5</v>
      </c>
      <c r="L306" t="s">
        <v>238</v>
      </c>
      <c r="N306" t="s">
        <v>346</v>
      </c>
      <c r="O306" t="s">
        <v>1674</v>
      </c>
      <c r="P306">
        <v>5.6966393348366862E-5</v>
      </c>
      <c r="Q306" t="s">
        <v>238</v>
      </c>
      <c r="S306" t="s">
        <v>347</v>
      </c>
      <c r="T306" t="s">
        <v>1674</v>
      </c>
      <c r="U306">
        <v>1.1172519502930001E-4</v>
      </c>
      <c r="V306" t="s">
        <v>238</v>
      </c>
      <c r="X306">
        <v>1.1415525114155251E-4</v>
      </c>
      <c r="Y306">
        <v>1.7237235744060203E-4</v>
      </c>
      <c r="Z306" t="s">
        <v>1674</v>
      </c>
      <c r="AA306" t="s">
        <v>25</v>
      </c>
      <c r="AC306" t="s">
        <v>22</v>
      </c>
      <c r="AD306" t="s">
        <v>1674</v>
      </c>
      <c r="AE306">
        <v>1.4831518153113831E-4</v>
      </c>
      <c r="AG306" t="s">
        <v>97</v>
      </c>
      <c r="AH306" t="s">
        <v>1674</v>
      </c>
      <c r="AI306">
        <v>0</v>
      </c>
    </row>
    <row r="307" spans="5:35" x14ac:dyDescent="0.45">
      <c r="E307" t="s">
        <v>993</v>
      </c>
      <c r="G307" t="s">
        <v>364</v>
      </c>
      <c r="I307" t="s">
        <v>236</v>
      </c>
      <c r="J307" t="s">
        <v>1675</v>
      </c>
      <c r="K307">
        <v>9.7072757527229362E-6</v>
      </c>
      <c r="L307" t="s">
        <v>238</v>
      </c>
      <c r="N307" t="s">
        <v>346</v>
      </c>
      <c r="O307" t="s">
        <v>1675</v>
      </c>
      <c r="P307">
        <v>6.4359875306469678E-5</v>
      </c>
      <c r="Q307" t="s">
        <v>238</v>
      </c>
      <c r="S307" t="s">
        <v>347</v>
      </c>
      <c r="T307" t="s">
        <v>1675</v>
      </c>
      <c r="U307">
        <v>1.2230353624310001E-4</v>
      </c>
      <c r="V307" t="s">
        <v>238</v>
      </c>
      <c r="X307">
        <v>1.1415525114155251E-4</v>
      </c>
      <c r="Y307">
        <v>2.2209515285616027E-4</v>
      </c>
      <c r="Z307" t="s">
        <v>1675</v>
      </c>
      <c r="AA307" t="s">
        <v>25</v>
      </c>
      <c r="AC307" t="s">
        <v>22</v>
      </c>
      <c r="AD307" t="s">
        <v>1675</v>
      </c>
      <c r="AE307">
        <v>1.5110979373879343E-4</v>
      </c>
      <c r="AG307" t="s">
        <v>97</v>
      </c>
      <c r="AH307" t="s">
        <v>1675</v>
      </c>
      <c r="AI307">
        <v>0</v>
      </c>
    </row>
    <row r="308" spans="5:35" x14ac:dyDescent="0.45">
      <c r="E308" t="s">
        <v>994</v>
      </c>
      <c r="G308" t="s">
        <v>364</v>
      </c>
      <c r="I308" t="s">
        <v>236</v>
      </c>
      <c r="J308" t="s">
        <v>1676</v>
      </c>
      <c r="K308">
        <v>0</v>
      </c>
      <c r="L308" t="s">
        <v>238</v>
      </c>
      <c r="N308" t="s">
        <v>346</v>
      </c>
      <c r="O308" t="s">
        <v>1676</v>
      </c>
      <c r="P308">
        <v>7.0763791468487821E-5</v>
      </c>
      <c r="Q308" t="s">
        <v>238</v>
      </c>
      <c r="S308" t="s">
        <v>347</v>
      </c>
      <c r="T308" t="s">
        <v>1676</v>
      </c>
      <c r="U308">
        <v>1.3540617998480001E-4</v>
      </c>
      <c r="V308" t="s">
        <v>238</v>
      </c>
      <c r="X308">
        <v>1.1415525114155251E-4</v>
      </c>
      <c r="Y308">
        <v>2.2209515285616027E-4</v>
      </c>
      <c r="Z308" t="s">
        <v>1676</v>
      </c>
      <c r="AA308" t="s">
        <v>25</v>
      </c>
      <c r="AC308" t="s">
        <v>22</v>
      </c>
      <c r="AD308" t="s">
        <v>1676</v>
      </c>
      <c r="AE308">
        <v>1.514824086998141E-4</v>
      </c>
      <c r="AG308" t="s">
        <v>97</v>
      </c>
      <c r="AH308" t="s">
        <v>1676</v>
      </c>
      <c r="AI308">
        <v>0</v>
      </c>
    </row>
    <row r="309" spans="5:35" x14ac:dyDescent="0.45">
      <c r="E309" t="s">
        <v>995</v>
      </c>
      <c r="G309" t="s">
        <v>364</v>
      </c>
      <c r="I309" t="s">
        <v>236</v>
      </c>
      <c r="J309" t="s">
        <v>1677</v>
      </c>
      <c r="K309">
        <v>0</v>
      </c>
      <c r="L309" t="s">
        <v>238</v>
      </c>
      <c r="N309" t="s">
        <v>346</v>
      </c>
      <c r="O309" t="s">
        <v>1677</v>
      </c>
      <c r="P309">
        <v>7.6395868503179628E-5</v>
      </c>
      <c r="Q309" t="s">
        <v>238</v>
      </c>
      <c r="S309" t="s">
        <v>347</v>
      </c>
      <c r="T309" t="s">
        <v>1677</v>
      </c>
      <c r="U309">
        <v>1.3623199990139999E-4</v>
      </c>
      <c r="V309" t="s">
        <v>238</v>
      </c>
      <c r="X309">
        <v>1.1415525114155251E-4</v>
      </c>
      <c r="Y309">
        <v>1.7237235744060203E-4</v>
      </c>
      <c r="Z309" t="s">
        <v>1677</v>
      </c>
      <c r="AA309" t="s">
        <v>25</v>
      </c>
      <c r="AC309" t="s">
        <v>22</v>
      </c>
      <c r="AD309" t="s">
        <v>1677</v>
      </c>
      <c r="AE309">
        <v>1.5267191030614939E-4</v>
      </c>
      <c r="AG309" t="s">
        <v>97</v>
      </c>
      <c r="AH309" t="s">
        <v>1677</v>
      </c>
      <c r="AI309">
        <v>0</v>
      </c>
    </row>
    <row r="310" spans="5:35" x14ac:dyDescent="0.45">
      <c r="E310" t="s">
        <v>996</v>
      </c>
      <c r="G310" t="s">
        <v>364</v>
      </c>
      <c r="I310" t="s">
        <v>236</v>
      </c>
      <c r="J310" t="s">
        <v>1678</v>
      </c>
      <c r="K310">
        <v>0</v>
      </c>
      <c r="L310" t="s">
        <v>238</v>
      </c>
      <c r="N310" t="s">
        <v>346</v>
      </c>
      <c r="O310" t="s">
        <v>1678</v>
      </c>
      <c r="P310">
        <v>7.3897730287647399E-5</v>
      </c>
      <c r="Q310" t="s">
        <v>238</v>
      </c>
      <c r="S310" t="s">
        <v>347</v>
      </c>
      <c r="T310" t="s">
        <v>1678</v>
      </c>
      <c r="U310">
        <v>1.248489321664E-4</v>
      </c>
      <c r="V310" t="s">
        <v>238</v>
      </c>
      <c r="X310">
        <v>1.1415525114155251E-4</v>
      </c>
      <c r="Y310">
        <v>1.5579809230208258E-4</v>
      </c>
      <c r="Z310" t="s">
        <v>1678</v>
      </c>
      <c r="AA310" t="s">
        <v>25</v>
      </c>
      <c r="AC310" t="s">
        <v>22</v>
      </c>
      <c r="AD310" t="s">
        <v>1678</v>
      </c>
      <c r="AE310">
        <v>1.4938716611130549E-4</v>
      </c>
      <c r="AG310" t="s">
        <v>97</v>
      </c>
      <c r="AH310" t="s">
        <v>1678</v>
      </c>
      <c r="AI310">
        <v>0</v>
      </c>
    </row>
    <row r="311" spans="5:35" x14ac:dyDescent="0.45">
      <c r="E311" t="s">
        <v>997</v>
      </c>
      <c r="G311" t="s">
        <v>364</v>
      </c>
      <c r="I311" t="s">
        <v>236</v>
      </c>
      <c r="J311" t="s">
        <v>1679</v>
      </c>
      <c r="K311">
        <v>0</v>
      </c>
      <c r="L311" t="s">
        <v>238</v>
      </c>
      <c r="N311" t="s">
        <v>346</v>
      </c>
      <c r="O311" t="s">
        <v>1679</v>
      </c>
      <c r="P311">
        <v>7.0780939248193337E-5</v>
      </c>
      <c r="Q311" t="s">
        <v>238</v>
      </c>
      <c r="S311" t="s">
        <v>347</v>
      </c>
      <c r="T311" t="s">
        <v>1679</v>
      </c>
      <c r="U311">
        <v>1.1266907915430001E-4</v>
      </c>
      <c r="V311" t="s">
        <v>238</v>
      </c>
      <c r="X311">
        <v>1.1415525114155251E-4</v>
      </c>
      <c r="Y311">
        <v>1.093901499142282E-4</v>
      </c>
      <c r="Z311" t="s">
        <v>1679</v>
      </c>
      <c r="AA311" t="s">
        <v>25</v>
      </c>
      <c r="AC311" t="s">
        <v>22</v>
      </c>
      <c r="AD311" t="s">
        <v>1679</v>
      </c>
      <c r="AE311">
        <v>1.393666899287801E-4</v>
      </c>
      <c r="AG311" t="s">
        <v>97</v>
      </c>
      <c r="AH311" t="s">
        <v>1679</v>
      </c>
      <c r="AI311">
        <v>0</v>
      </c>
    </row>
    <row r="312" spans="5:35" x14ac:dyDescent="0.45">
      <c r="E312" t="s">
        <v>998</v>
      </c>
      <c r="G312" t="s">
        <v>364</v>
      </c>
      <c r="I312" t="s">
        <v>236</v>
      </c>
      <c r="J312" t="s">
        <v>1680</v>
      </c>
      <c r="K312">
        <v>0</v>
      </c>
      <c r="L312" t="s">
        <v>238</v>
      </c>
      <c r="N312" t="s">
        <v>346</v>
      </c>
      <c r="O312" t="s">
        <v>1680</v>
      </c>
      <c r="P312">
        <v>6.6115051498441755E-5</v>
      </c>
      <c r="Q312" t="s">
        <v>238</v>
      </c>
      <c r="S312" t="s">
        <v>347</v>
      </c>
      <c r="T312" t="s">
        <v>1680</v>
      </c>
      <c r="U312">
        <v>9.7615662296915776E-5</v>
      </c>
      <c r="V312" t="s">
        <v>238</v>
      </c>
      <c r="X312">
        <v>1.1415525114155251E-4</v>
      </c>
      <c r="Y312">
        <v>7.9556472664893237E-5</v>
      </c>
      <c r="Z312" t="s">
        <v>1680</v>
      </c>
      <c r="AA312" t="s">
        <v>25</v>
      </c>
      <c r="AC312" t="s">
        <v>22</v>
      </c>
      <c r="AD312" t="s">
        <v>1680</v>
      </c>
      <c r="AE312">
        <v>1.2654013646287588E-4</v>
      </c>
      <c r="AG312" t="s">
        <v>97</v>
      </c>
      <c r="AH312" t="s">
        <v>1680</v>
      </c>
      <c r="AI312">
        <v>0</v>
      </c>
    </row>
    <row r="313" spans="5:35" x14ac:dyDescent="0.45">
      <c r="E313" t="s">
        <v>999</v>
      </c>
      <c r="G313" t="s">
        <v>364</v>
      </c>
      <c r="I313" t="s">
        <v>236</v>
      </c>
      <c r="J313" t="s">
        <v>1681</v>
      </c>
      <c r="K313">
        <v>0</v>
      </c>
      <c r="L313" t="s">
        <v>238</v>
      </c>
      <c r="N313" t="s">
        <v>346</v>
      </c>
      <c r="O313" t="s">
        <v>1681</v>
      </c>
      <c r="P313">
        <v>7.2258545598042058E-5</v>
      </c>
      <c r="Q313" t="s">
        <v>238</v>
      </c>
      <c r="S313" t="s">
        <v>347</v>
      </c>
      <c r="T313" t="s">
        <v>1681</v>
      </c>
      <c r="U313">
        <v>8.9244741452267789E-5</v>
      </c>
      <c r="V313" t="s">
        <v>238</v>
      </c>
      <c r="X313">
        <v>1.1415525114155251E-4</v>
      </c>
      <c r="Y313">
        <v>5.6352501470966035E-5</v>
      </c>
      <c r="Z313" t="s">
        <v>1681</v>
      </c>
      <c r="AA313" t="s">
        <v>25</v>
      </c>
      <c r="AC313" t="s">
        <v>22</v>
      </c>
      <c r="AD313" t="s">
        <v>1681</v>
      </c>
      <c r="AE313">
        <v>1.1514958373136672E-4</v>
      </c>
      <c r="AG313" t="s">
        <v>97</v>
      </c>
      <c r="AH313" t="s">
        <v>1681</v>
      </c>
      <c r="AI313">
        <v>0</v>
      </c>
    </row>
    <row r="314" spans="5:35" x14ac:dyDescent="0.45">
      <c r="E314" t="s">
        <v>1000</v>
      </c>
      <c r="G314" t="s">
        <v>364</v>
      </c>
      <c r="I314" t="s">
        <v>236</v>
      </c>
      <c r="J314" t="s">
        <v>1682</v>
      </c>
      <c r="K314">
        <v>0</v>
      </c>
      <c r="L314" t="s">
        <v>238</v>
      </c>
      <c r="N314" t="s">
        <v>346</v>
      </c>
      <c r="O314" t="s">
        <v>1682</v>
      </c>
      <c r="P314">
        <v>7.2701158079195927E-5</v>
      </c>
      <c r="Q314" t="s">
        <v>238</v>
      </c>
      <c r="S314" t="s">
        <v>347</v>
      </c>
      <c r="T314" t="s">
        <v>1682</v>
      </c>
      <c r="U314">
        <v>9.684530840155306E-5</v>
      </c>
      <c r="V314" t="s">
        <v>238</v>
      </c>
      <c r="X314">
        <v>1.1415525114155251E-4</v>
      </c>
      <c r="Y314">
        <v>2.9833677249334962E-5</v>
      </c>
      <c r="Z314" t="s">
        <v>1682</v>
      </c>
      <c r="AA314" t="s">
        <v>25</v>
      </c>
      <c r="AC314" t="s">
        <v>22</v>
      </c>
      <c r="AD314" t="s">
        <v>1682</v>
      </c>
      <c r="AE314">
        <v>9.2239496166456657E-5</v>
      </c>
      <c r="AG314" t="s">
        <v>97</v>
      </c>
      <c r="AH314" t="s">
        <v>1682</v>
      </c>
      <c r="AI314">
        <v>0</v>
      </c>
    </row>
    <row r="315" spans="5:35" x14ac:dyDescent="0.45">
      <c r="E315" t="s">
        <v>1001</v>
      </c>
      <c r="G315" t="s">
        <v>364</v>
      </c>
      <c r="I315" t="s">
        <v>236</v>
      </c>
      <c r="J315" t="s">
        <v>1683</v>
      </c>
      <c r="K315">
        <v>0</v>
      </c>
      <c r="L315" t="s">
        <v>238</v>
      </c>
      <c r="N315" t="s">
        <v>346</v>
      </c>
      <c r="O315" t="s">
        <v>1683</v>
      </c>
      <c r="P315">
        <v>7.6641290712109198E-5</v>
      </c>
      <c r="Q315" t="s">
        <v>238</v>
      </c>
      <c r="S315" t="s">
        <v>347</v>
      </c>
      <c r="T315" t="s">
        <v>1683</v>
      </c>
      <c r="U315">
        <v>1.105019798187E-4</v>
      </c>
      <c r="V315" t="s">
        <v>238</v>
      </c>
      <c r="X315">
        <v>1.1415525114155251E-4</v>
      </c>
      <c r="Y315">
        <v>2.1546544680075254E-5</v>
      </c>
      <c r="Z315" t="s">
        <v>1683</v>
      </c>
      <c r="AA315" t="s">
        <v>25</v>
      </c>
      <c r="AC315" t="s">
        <v>22</v>
      </c>
      <c r="AD315" t="s">
        <v>1683</v>
      </c>
      <c r="AE315">
        <v>8.6653138020077367E-5</v>
      </c>
      <c r="AG315" t="s">
        <v>97</v>
      </c>
      <c r="AH315" t="s">
        <v>1683</v>
      </c>
      <c r="AI315">
        <v>0</v>
      </c>
    </row>
    <row r="316" spans="5:35" x14ac:dyDescent="0.45">
      <c r="E316" t="s">
        <v>1002</v>
      </c>
      <c r="G316" t="s">
        <v>364</v>
      </c>
      <c r="I316" t="s">
        <v>236</v>
      </c>
      <c r="J316" t="s">
        <v>1684</v>
      </c>
      <c r="K316">
        <v>0</v>
      </c>
      <c r="L316" t="s">
        <v>238</v>
      </c>
      <c r="N316" t="s">
        <v>346</v>
      </c>
      <c r="O316" t="s">
        <v>1684</v>
      </c>
      <c r="P316">
        <v>7.8611726275537212E-5</v>
      </c>
      <c r="Q316" t="s">
        <v>238</v>
      </c>
      <c r="S316" t="s">
        <v>347</v>
      </c>
      <c r="T316" t="s">
        <v>1684</v>
      </c>
      <c r="U316">
        <v>1.158285920657E-4</v>
      </c>
      <c r="V316" t="s">
        <v>238</v>
      </c>
      <c r="X316">
        <v>1.1415525114155251E-4</v>
      </c>
      <c r="Y316">
        <v>1.4916838624667481E-5</v>
      </c>
      <c r="Z316" t="s">
        <v>1684</v>
      </c>
      <c r="AA316" t="s">
        <v>25</v>
      </c>
      <c r="AC316" t="s">
        <v>22</v>
      </c>
      <c r="AD316" t="s">
        <v>1684</v>
      </c>
      <c r="AE316">
        <v>8.3119028428242739E-5</v>
      </c>
      <c r="AG316" t="s">
        <v>97</v>
      </c>
      <c r="AH316" t="s">
        <v>1684</v>
      </c>
      <c r="AI316">
        <v>0</v>
      </c>
    </row>
    <row r="317" spans="5:35" x14ac:dyDescent="0.45">
      <c r="E317" t="s">
        <v>1003</v>
      </c>
      <c r="G317" t="s">
        <v>364</v>
      </c>
      <c r="I317" t="s">
        <v>236</v>
      </c>
      <c r="J317" t="s">
        <v>1685</v>
      </c>
      <c r="K317">
        <v>0</v>
      </c>
      <c r="L317" t="s">
        <v>238</v>
      </c>
      <c r="N317" t="s">
        <v>346</v>
      </c>
      <c r="O317" t="s">
        <v>1685</v>
      </c>
      <c r="P317">
        <v>7.7857031080621133E-5</v>
      </c>
      <c r="Q317" t="s">
        <v>238</v>
      </c>
      <c r="S317" t="s">
        <v>347</v>
      </c>
      <c r="T317" t="s">
        <v>1685</v>
      </c>
      <c r="U317">
        <v>1.1176284193660001E-4</v>
      </c>
      <c r="V317" t="s">
        <v>238</v>
      </c>
      <c r="X317">
        <v>1.1415525114155251E-4</v>
      </c>
      <c r="Y317">
        <v>1.6574265138519424E-5</v>
      </c>
      <c r="Z317" t="s">
        <v>1685</v>
      </c>
      <c r="AA317" t="s">
        <v>25</v>
      </c>
      <c r="AC317" t="s">
        <v>22</v>
      </c>
      <c r="AD317" t="s">
        <v>1685</v>
      </c>
      <c r="AE317">
        <v>8.2691954357534431E-5</v>
      </c>
      <c r="AG317" t="s">
        <v>97</v>
      </c>
      <c r="AH317" t="s">
        <v>1685</v>
      </c>
      <c r="AI317">
        <v>0</v>
      </c>
    </row>
    <row r="318" spans="5:35" x14ac:dyDescent="0.45">
      <c r="E318" t="s">
        <v>1004</v>
      </c>
      <c r="G318" t="s">
        <v>364</v>
      </c>
      <c r="I318" t="s">
        <v>236</v>
      </c>
      <c r="J318" t="s">
        <v>1686</v>
      </c>
      <c r="K318">
        <v>0</v>
      </c>
      <c r="L318" t="s">
        <v>238</v>
      </c>
      <c r="N318" t="s">
        <v>346</v>
      </c>
      <c r="O318" t="s">
        <v>1686</v>
      </c>
      <c r="P318">
        <v>7.0211400269788583E-5</v>
      </c>
      <c r="Q318" t="s">
        <v>238</v>
      </c>
      <c r="S318" t="s">
        <v>347</v>
      </c>
      <c r="T318" t="s">
        <v>1686</v>
      </c>
      <c r="U318">
        <v>9.9151568061283722E-5</v>
      </c>
      <c r="V318" t="s">
        <v>238</v>
      </c>
      <c r="X318">
        <v>1.1415525114155251E-4</v>
      </c>
      <c r="Y318">
        <v>1.4585353321897093E-5</v>
      </c>
      <c r="Z318" t="s">
        <v>1686</v>
      </c>
      <c r="AA318" t="s">
        <v>25</v>
      </c>
      <c r="AC318" t="s">
        <v>22</v>
      </c>
      <c r="AD318" t="s">
        <v>1686</v>
      </c>
      <c r="AE318">
        <v>8.3055970511762328E-5</v>
      </c>
      <c r="AG318" t="s">
        <v>97</v>
      </c>
      <c r="AH318" t="s">
        <v>1686</v>
      </c>
      <c r="AI318">
        <v>0</v>
      </c>
    </row>
    <row r="319" spans="5:35" x14ac:dyDescent="0.45">
      <c r="E319" t="s">
        <v>1005</v>
      </c>
      <c r="G319" t="s">
        <v>364</v>
      </c>
      <c r="I319" t="s">
        <v>236</v>
      </c>
      <c r="J319" t="s">
        <v>1687</v>
      </c>
      <c r="K319">
        <v>0</v>
      </c>
      <c r="L319" t="s">
        <v>238</v>
      </c>
      <c r="N319" t="s">
        <v>346</v>
      </c>
      <c r="O319" t="s">
        <v>1687</v>
      </c>
      <c r="P319">
        <v>6.0157215240770811E-5</v>
      </c>
      <c r="Q319" t="s">
        <v>238</v>
      </c>
      <c r="S319" t="s">
        <v>347</v>
      </c>
      <c r="T319" t="s">
        <v>1687</v>
      </c>
      <c r="U319">
        <v>8.2322044768066928E-5</v>
      </c>
      <c r="V319" t="s">
        <v>238</v>
      </c>
      <c r="X319">
        <v>1.1415525114155251E-4</v>
      </c>
      <c r="Y319">
        <v>2.1215059377304864E-5</v>
      </c>
      <c r="Z319" t="s">
        <v>1687</v>
      </c>
      <c r="AA319" t="s">
        <v>25</v>
      </c>
      <c r="AC319" t="s">
        <v>22</v>
      </c>
      <c r="AD319" t="s">
        <v>1687</v>
      </c>
      <c r="AE319">
        <v>9.0319095982734673E-5</v>
      </c>
      <c r="AG319" t="s">
        <v>97</v>
      </c>
      <c r="AH319" t="s">
        <v>1687</v>
      </c>
      <c r="AI319">
        <v>0</v>
      </c>
    </row>
    <row r="320" spans="5:35" x14ac:dyDescent="0.45">
      <c r="E320" t="s">
        <v>1006</v>
      </c>
      <c r="G320" t="s">
        <v>364</v>
      </c>
      <c r="I320" t="s">
        <v>236</v>
      </c>
      <c r="J320" t="s">
        <v>1688</v>
      </c>
      <c r="K320">
        <v>0</v>
      </c>
      <c r="L320" t="s">
        <v>238</v>
      </c>
      <c r="N320" t="s">
        <v>346</v>
      </c>
      <c r="O320" t="s">
        <v>1688</v>
      </c>
      <c r="P320">
        <v>5.3603146510798531E-5</v>
      </c>
      <c r="Q320" t="s">
        <v>238</v>
      </c>
      <c r="S320" t="s">
        <v>347</v>
      </c>
      <c r="T320" t="s">
        <v>1688</v>
      </c>
      <c r="U320">
        <v>6.5391832885522443E-5</v>
      </c>
      <c r="V320" t="s">
        <v>238</v>
      </c>
      <c r="X320">
        <v>1.1415525114155251E-4</v>
      </c>
      <c r="Y320">
        <v>5.7678442682047593E-5</v>
      </c>
      <c r="Z320" t="s">
        <v>1688</v>
      </c>
      <c r="AA320" t="s">
        <v>25</v>
      </c>
      <c r="AC320" t="s">
        <v>22</v>
      </c>
      <c r="AD320" t="s">
        <v>1688</v>
      </c>
      <c r="AE320">
        <v>1.208047323320883E-4</v>
      </c>
      <c r="AG320" t="s">
        <v>97</v>
      </c>
      <c r="AH320" t="s">
        <v>1688</v>
      </c>
      <c r="AI320">
        <v>0</v>
      </c>
    </row>
    <row r="321" spans="5:35" x14ac:dyDescent="0.45">
      <c r="E321" t="s">
        <v>1007</v>
      </c>
      <c r="G321" t="s">
        <v>364</v>
      </c>
      <c r="I321" t="s">
        <v>236</v>
      </c>
      <c r="J321" t="s">
        <v>1689</v>
      </c>
      <c r="K321">
        <v>0</v>
      </c>
      <c r="L321" t="s">
        <v>238</v>
      </c>
      <c r="N321" t="s">
        <v>346</v>
      </c>
      <c r="O321" t="s">
        <v>1689</v>
      </c>
      <c r="P321">
        <v>5.0105528283675779E-5</v>
      </c>
      <c r="Q321" t="s">
        <v>238</v>
      </c>
      <c r="S321" t="s">
        <v>347</v>
      </c>
      <c r="T321" t="s">
        <v>1689</v>
      </c>
      <c r="U321">
        <v>5.1595455482836821E-5</v>
      </c>
      <c r="V321" t="s">
        <v>238</v>
      </c>
      <c r="X321">
        <v>1.1415525114155251E-4</v>
      </c>
      <c r="Y321">
        <v>1.6905750441289813E-4</v>
      </c>
      <c r="Z321" t="s">
        <v>1689</v>
      </c>
      <c r="AA321" t="s">
        <v>25</v>
      </c>
      <c r="AC321" t="s">
        <v>22</v>
      </c>
      <c r="AD321" t="s">
        <v>1689</v>
      </c>
      <c r="AE321">
        <v>1.4220716243933007E-4</v>
      </c>
      <c r="AG321" t="s">
        <v>97</v>
      </c>
      <c r="AH321" t="s">
        <v>1689</v>
      </c>
      <c r="AI321">
        <v>0</v>
      </c>
    </row>
    <row r="322" spans="5:35" x14ac:dyDescent="0.45">
      <c r="E322" t="s">
        <v>1008</v>
      </c>
      <c r="G322" t="s">
        <v>364</v>
      </c>
      <c r="I322" t="s">
        <v>236</v>
      </c>
      <c r="J322" t="s">
        <v>1690</v>
      </c>
      <c r="K322">
        <v>0</v>
      </c>
      <c r="L322" t="s">
        <v>238</v>
      </c>
      <c r="N322" t="s">
        <v>346</v>
      </c>
      <c r="O322" t="s">
        <v>1690</v>
      </c>
      <c r="P322">
        <v>4.6708808723328506E-5</v>
      </c>
      <c r="Q322" t="s">
        <v>238</v>
      </c>
      <c r="S322" t="s">
        <v>347</v>
      </c>
      <c r="T322" t="s">
        <v>1690</v>
      </c>
      <c r="U322">
        <v>4.3160053479630114E-5</v>
      </c>
      <c r="V322" t="s">
        <v>238</v>
      </c>
      <c r="X322">
        <v>1.1415525114155251E-4</v>
      </c>
      <c r="Y322">
        <v>1.9060404909297337E-4</v>
      </c>
      <c r="Z322" t="s">
        <v>1690</v>
      </c>
      <c r="AA322" t="s">
        <v>25</v>
      </c>
      <c r="AC322" t="s">
        <v>22</v>
      </c>
      <c r="AD322" t="s">
        <v>1690</v>
      </c>
      <c r="AE322">
        <v>1.4677886138416075E-4</v>
      </c>
      <c r="AG322" t="s">
        <v>97</v>
      </c>
      <c r="AH322" t="s">
        <v>1690</v>
      </c>
      <c r="AI322">
        <v>0</v>
      </c>
    </row>
    <row r="323" spans="5:35" x14ac:dyDescent="0.45">
      <c r="E323" t="s">
        <v>1009</v>
      </c>
      <c r="G323" t="s">
        <v>364</v>
      </c>
      <c r="I323" t="s">
        <v>236</v>
      </c>
      <c r="J323" t="s">
        <v>1691</v>
      </c>
      <c r="K323">
        <v>2.307537648163357E-5</v>
      </c>
      <c r="L323" t="s">
        <v>238</v>
      </c>
      <c r="N323" t="s">
        <v>346</v>
      </c>
      <c r="O323" t="s">
        <v>1691</v>
      </c>
      <c r="P323">
        <v>4.3639427945222201E-5</v>
      </c>
      <c r="Q323" t="s">
        <v>238</v>
      </c>
      <c r="S323" t="s">
        <v>347</v>
      </c>
      <c r="T323" t="s">
        <v>1691</v>
      </c>
      <c r="U323">
        <v>3.9752603021341372E-5</v>
      </c>
      <c r="V323" t="s">
        <v>238</v>
      </c>
      <c r="X323">
        <v>1.1415525114155251E-4</v>
      </c>
      <c r="Y323">
        <v>1.4585353321897094E-4</v>
      </c>
      <c r="Z323" t="s">
        <v>1691</v>
      </c>
      <c r="AA323" t="s">
        <v>25</v>
      </c>
      <c r="AC323" t="s">
        <v>22</v>
      </c>
      <c r="AD323" t="s">
        <v>1691</v>
      </c>
      <c r="AE323">
        <v>1.5328529185736802E-4</v>
      </c>
      <c r="AG323" t="s">
        <v>97</v>
      </c>
      <c r="AH323" t="s">
        <v>1691</v>
      </c>
      <c r="AI323">
        <v>0</v>
      </c>
    </row>
    <row r="324" spans="5:35" x14ac:dyDescent="0.45">
      <c r="E324" t="s">
        <v>1010</v>
      </c>
      <c r="G324" t="s">
        <v>364</v>
      </c>
      <c r="I324" t="s">
        <v>236</v>
      </c>
      <c r="J324" t="s">
        <v>1692</v>
      </c>
      <c r="K324">
        <v>9.7034973017806958E-5</v>
      </c>
      <c r="L324" t="s">
        <v>238</v>
      </c>
      <c r="N324" t="s">
        <v>346</v>
      </c>
      <c r="O324" t="s">
        <v>1692</v>
      </c>
      <c r="P324">
        <v>3.7390450243989728E-5</v>
      </c>
      <c r="Q324" t="s">
        <v>238</v>
      </c>
      <c r="S324" t="s">
        <v>347</v>
      </c>
      <c r="T324" t="s">
        <v>1692</v>
      </c>
      <c r="U324">
        <v>3.73569575254029E-5</v>
      </c>
      <c r="V324" t="s">
        <v>238</v>
      </c>
      <c r="X324">
        <v>1.1415525114155251E-4</v>
      </c>
      <c r="Y324">
        <v>1.4452759200788939E-4</v>
      </c>
      <c r="Z324" t="s">
        <v>1692</v>
      </c>
      <c r="AA324" t="s">
        <v>25</v>
      </c>
      <c r="AC324" t="s">
        <v>22</v>
      </c>
      <c r="AD324" t="s">
        <v>1692</v>
      </c>
      <c r="AE324">
        <v>1.5692545339964699E-4</v>
      </c>
      <c r="AG324" t="s">
        <v>97</v>
      </c>
      <c r="AH324" t="s">
        <v>1692</v>
      </c>
      <c r="AI324">
        <v>0</v>
      </c>
    </row>
    <row r="325" spans="5:35" x14ac:dyDescent="0.45">
      <c r="E325" t="s">
        <v>1011</v>
      </c>
      <c r="G325" t="s">
        <v>364</v>
      </c>
      <c r="I325" t="s">
        <v>236</v>
      </c>
      <c r="J325" t="s">
        <v>1693</v>
      </c>
      <c r="K325">
        <v>1.1908646755789999E-4</v>
      </c>
      <c r="L325" t="s">
        <v>238</v>
      </c>
      <c r="N325" t="s">
        <v>346</v>
      </c>
      <c r="O325" t="s">
        <v>1693</v>
      </c>
      <c r="P325">
        <v>2.6394789448917328E-5</v>
      </c>
      <c r="Q325" t="s">
        <v>238</v>
      </c>
      <c r="S325" t="s">
        <v>347</v>
      </c>
      <c r="T325" t="s">
        <v>1693</v>
      </c>
      <c r="U325">
        <v>2.8105888861407302E-5</v>
      </c>
      <c r="V325" t="s">
        <v>238</v>
      </c>
      <c r="X325">
        <v>1.1415525114155251E-4</v>
      </c>
      <c r="Y325">
        <v>1.408812536774151E-4</v>
      </c>
      <c r="Z325" t="s">
        <v>1693</v>
      </c>
      <c r="AA325" t="s">
        <v>25</v>
      </c>
      <c r="AC325" t="s">
        <v>22</v>
      </c>
      <c r="AD325" t="s">
        <v>1693</v>
      </c>
      <c r="AE325">
        <v>1.5437447405112077E-4</v>
      </c>
      <c r="AG325" t="s">
        <v>97</v>
      </c>
      <c r="AH325" t="s">
        <v>1693</v>
      </c>
      <c r="AI325">
        <v>0</v>
      </c>
    </row>
    <row r="326" spans="5:35" x14ac:dyDescent="0.45">
      <c r="E326" t="s">
        <v>1012</v>
      </c>
      <c r="G326" t="s">
        <v>364</v>
      </c>
      <c r="I326" t="s">
        <v>236</v>
      </c>
      <c r="J326" t="s">
        <v>1694</v>
      </c>
      <c r="K326">
        <v>1.167533743804E-4</v>
      </c>
      <c r="L326" t="s">
        <v>238</v>
      </c>
      <c r="N326" t="s">
        <v>346</v>
      </c>
      <c r="O326" t="s">
        <v>1694</v>
      </c>
      <c r="P326">
        <v>2.2885727807945667E-5</v>
      </c>
      <c r="Q326" t="s">
        <v>238</v>
      </c>
      <c r="S326" t="s">
        <v>347</v>
      </c>
      <c r="T326" t="s">
        <v>1694</v>
      </c>
      <c r="U326">
        <v>2.411474452335011E-5</v>
      </c>
      <c r="V326" t="s">
        <v>238</v>
      </c>
      <c r="X326">
        <v>1.1415525114155251E-4</v>
      </c>
      <c r="Y326">
        <v>1.4054976837464471E-4</v>
      </c>
      <c r="Z326" t="s">
        <v>1694</v>
      </c>
      <c r="AA326" t="s">
        <v>25</v>
      </c>
      <c r="AC326" t="s">
        <v>22</v>
      </c>
      <c r="AD326" t="s">
        <v>1694</v>
      </c>
      <c r="AE326">
        <v>1.5138208928723162E-4</v>
      </c>
      <c r="AG326" t="s">
        <v>97</v>
      </c>
      <c r="AH326" t="s">
        <v>1694</v>
      </c>
      <c r="AI326">
        <v>0</v>
      </c>
    </row>
    <row r="327" spans="5:35" x14ac:dyDescent="0.45">
      <c r="E327" t="s">
        <v>1013</v>
      </c>
      <c r="G327" t="s">
        <v>364</v>
      </c>
      <c r="I327" t="s">
        <v>236</v>
      </c>
      <c r="J327" t="s">
        <v>1695</v>
      </c>
      <c r="K327">
        <v>1.07028453334E-4</v>
      </c>
      <c r="L327" t="s">
        <v>238</v>
      </c>
      <c r="N327" t="s">
        <v>346</v>
      </c>
      <c r="O327" t="s">
        <v>1695</v>
      </c>
      <c r="P327">
        <v>2.33143012053801E-5</v>
      </c>
      <c r="Q327" t="s">
        <v>238</v>
      </c>
      <c r="S327" t="s">
        <v>347</v>
      </c>
      <c r="T327" t="s">
        <v>1695</v>
      </c>
      <c r="U327">
        <v>2.1352179904385451E-5</v>
      </c>
      <c r="V327" t="s">
        <v>238</v>
      </c>
      <c r="X327">
        <v>1.1415525114155251E-4</v>
      </c>
      <c r="Y327">
        <v>1.4253868019126702E-4</v>
      </c>
      <c r="Z327" t="s">
        <v>1695</v>
      </c>
      <c r="AA327" t="s">
        <v>25</v>
      </c>
      <c r="AC327" t="s">
        <v>22</v>
      </c>
      <c r="AD327" t="s">
        <v>1695</v>
      </c>
      <c r="AE327">
        <v>1.5078877161852947E-4</v>
      </c>
      <c r="AG327" t="s">
        <v>97</v>
      </c>
      <c r="AH327" t="s">
        <v>1695</v>
      </c>
      <c r="AI327">
        <v>0</v>
      </c>
    </row>
    <row r="328" spans="5:35" x14ac:dyDescent="0.45">
      <c r="E328" t="s">
        <v>1014</v>
      </c>
      <c r="G328" t="s">
        <v>364</v>
      </c>
      <c r="I328" t="s">
        <v>236</v>
      </c>
      <c r="J328" t="s">
        <v>1696</v>
      </c>
      <c r="K328">
        <v>9.2067062745539245E-5</v>
      </c>
      <c r="L328" t="s">
        <v>238</v>
      </c>
      <c r="N328" t="s">
        <v>346</v>
      </c>
      <c r="O328" t="s">
        <v>1696</v>
      </c>
      <c r="P328">
        <v>2.77506775118522E-5</v>
      </c>
      <c r="Q328" t="s">
        <v>238</v>
      </c>
      <c r="S328" t="s">
        <v>347</v>
      </c>
      <c r="T328" t="s">
        <v>1696</v>
      </c>
      <c r="U328">
        <v>2.2195929517815748E-5</v>
      </c>
      <c r="V328" t="s">
        <v>238</v>
      </c>
      <c r="X328">
        <v>1.1415525114155251E-4</v>
      </c>
      <c r="Y328">
        <v>1.4883690094390442E-4</v>
      </c>
      <c r="Z328" t="s">
        <v>1696</v>
      </c>
      <c r="AA328" t="s">
        <v>25</v>
      </c>
      <c r="AC328" t="s">
        <v>22</v>
      </c>
      <c r="AD328" t="s">
        <v>1696</v>
      </c>
      <c r="AE328">
        <v>1.5078877161852947E-4</v>
      </c>
      <c r="AG328" t="s">
        <v>97</v>
      </c>
      <c r="AH328" t="s">
        <v>1696</v>
      </c>
      <c r="AI328">
        <v>0</v>
      </c>
    </row>
    <row r="329" spans="5:35" x14ac:dyDescent="0.45">
      <c r="E329" t="s">
        <v>1015</v>
      </c>
      <c r="G329" t="s">
        <v>364</v>
      </c>
      <c r="I329" t="s">
        <v>236</v>
      </c>
      <c r="J329" t="s">
        <v>1697</v>
      </c>
      <c r="K329">
        <v>7.3770308553724299E-5</v>
      </c>
      <c r="L329" t="s">
        <v>238</v>
      </c>
      <c r="N329" t="s">
        <v>346</v>
      </c>
      <c r="O329" t="s">
        <v>1697</v>
      </c>
      <c r="P329">
        <v>3.3036551645917125E-5</v>
      </c>
      <c r="Q329" t="s">
        <v>238</v>
      </c>
      <c r="S329" t="s">
        <v>347</v>
      </c>
      <c r="T329" t="s">
        <v>1697</v>
      </c>
      <c r="U329">
        <v>2.6106063261932131E-5</v>
      </c>
      <c r="V329" t="s">
        <v>238</v>
      </c>
      <c r="X329">
        <v>1.1415525114155251E-4</v>
      </c>
      <c r="Y329">
        <v>1.5049432745775637E-4</v>
      </c>
      <c r="Z329" t="s">
        <v>1697</v>
      </c>
      <c r="AA329" t="s">
        <v>25</v>
      </c>
      <c r="AC329" t="s">
        <v>22</v>
      </c>
      <c r="AD329" t="s">
        <v>1697</v>
      </c>
      <c r="AE329">
        <v>1.5078877161852947E-4</v>
      </c>
      <c r="AG329" t="s">
        <v>97</v>
      </c>
      <c r="AH329" t="s">
        <v>1697</v>
      </c>
      <c r="AI329">
        <v>0</v>
      </c>
    </row>
    <row r="330" spans="5:35" x14ac:dyDescent="0.45">
      <c r="E330" t="s">
        <v>1016</v>
      </c>
      <c r="G330" t="s">
        <v>364</v>
      </c>
      <c r="I330" t="s">
        <v>236</v>
      </c>
      <c r="J330" t="s">
        <v>1698</v>
      </c>
      <c r="K330">
        <v>4.1156089365569283E-5</v>
      </c>
      <c r="L330" t="s">
        <v>238</v>
      </c>
      <c r="N330" t="s">
        <v>346</v>
      </c>
      <c r="O330" t="s">
        <v>1698</v>
      </c>
      <c r="P330">
        <v>4.4586165871760408E-5</v>
      </c>
      <c r="Q330" t="s">
        <v>238</v>
      </c>
      <c r="S330" t="s">
        <v>347</v>
      </c>
      <c r="T330" t="s">
        <v>1698</v>
      </c>
      <c r="U330">
        <v>3.36701317534725E-5</v>
      </c>
      <c r="V330" t="s">
        <v>238</v>
      </c>
      <c r="X330">
        <v>1.1415525114155251E-4</v>
      </c>
      <c r="Y330">
        <v>1.7237235744060203E-4</v>
      </c>
      <c r="Z330" t="s">
        <v>1698</v>
      </c>
      <c r="AA330" t="s">
        <v>25</v>
      </c>
      <c r="AC330" t="s">
        <v>22</v>
      </c>
      <c r="AD330" t="s">
        <v>1698</v>
      </c>
      <c r="AE330">
        <v>1.5222190608399363E-4</v>
      </c>
      <c r="AG330" t="s">
        <v>97</v>
      </c>
      <c r="AH330" t="s">
        <v>1698</v>
      </c>
      <c r="AI330">
        <v>0</v>
      </c>
    </row>
    <row r="331" spans="5:35" x14ac:dyDescent="0.45">
      <c r="E331" t="s">
        <v>1017</v>
      </c>
      <c r="G331" t="s">
        <v>364</v>
      </c>
      <c r="I331" t="s">
        <v>236</v>
      </c>
      <c r="J331" t="s">
        <v>1699</v>
      </c>
      <c r="K331">
        <v>1.0641576113631736E-5</v>
      </c>
      <c r="L331" t="s">
        <v>238</v>
      </c>
      <c r="N331" t="s">
        <v>346</v>
      </c>
      <c r="O331" t="s">
        <v>1699</v>
      </c>
      <c r="P331">
        <v>5.3260523641172437E-5</v>
      </c>
      <c r="Q331" t="s">
        <v>238</v>
      </c>
      <c r="S331" t="s">
        <v>347</v>
      </c>
      <c r="T331" t="s">
        <v>1699</v>
      </c>
      <c r="U331">
        <v>4.7603337271248125E-5</v>
      </c>
      <c r="V331" t="s">
        <v>238</v>
      </c>
      <c r="X331">
        <v>1.1415525114155251E-4</v>
      </c>
      <c r="Y331">
        <v>2.2209515285616027E-4</v>
      </c>
      <c r="Z331" t="s">
        <v>1699</v>
      </c>
      <c r="AA331" t="s">
        <v>25</v>
      </c>
      <c r="AC331" t="s">
        <v>22</v>
      </c>
      <c r="AD331" t="s">
        <v>1699</v>
      </c>
      <c r="AE331">
        <v>1.5570728910400245E-4</v>
      </c>
      <c r="AG331" t="s">
        <v>97</v>
      </c>
      <c r="AH331" t="s">
        <v>1699</v>
      </c>
      <c r="AI331">
        <v>0</v>
      </c>
    </row>
    <row r="332" spans="5:35" x14ac:dyDescent="0.45">
      <c r="E332" t="s">
        <v>1018</v>
      </c>
      <c r="G332" t="s">
        <v>364</v>
      </c>
      <c r="I332" t="s">
        <v>236</v>
      </c>
      <c r="J332" t="s">
        <v>1700</v>
      </c>
      <c r="K332">
        <v>0</v>
      </c>
      <c r="L332" t="s">
        <v>238</v>
      </c>
      <c r="N332" t="s">
        <v>346</v>
      </c>
      <c r="O332" t="s">
        <v>1700</v>
      </c>
      <c r="P332">
        <v>5.6976917759348239E-5</v>
      </c>
      <c r="Q332" t="s">
        <v>238</v>
      </c>
      <c r="S332" t="s">
        <v>347</v>
      </c>
      <c r="T332" t="s">
        <v>1700</v>
      </c>
      <c r="U332">
        <v>6.245746806503633E-5</v>
      </c>
      <c r="V332" t="s">
        <v>238</v>
      </c>
      <c r="X332">
        <v>1.1415525114155251E-4</v>
      </c>
      <c r="Y332">
        <v>2.2209515285616027E-4</v>
      </c>
      <c r="Z332" t="s">
        <v>1700</v>
      </c>
      <c r="AA332" t="s">
        <v>25</v>
      </c>
      <c r="AC332" t="s">
        <v>22</v>
      </c>
      <c r="AD332" t="s">
        <v>1700</v>
      </c>
      <c r="AE332">
        <v>1.5570728910400245E-4</v>
      </c>
      <c r="AG332" t="s">
        <v>97</v>
      </c>
      <c r="AH332" t="s">
        <v>1700</v>
      </c>
      <c r="AI332">
        <v>0</v>
      </c>
    </row>
    <row r="333" spans="5:35" x14ac:dyDescent="0.45">
      <c r="E333" t="s">
        <v>1019</v>
      </c>
      <c r="G333" t="s">
        <v>364</v>
      </c>
      <c r="I333" t="s">
        <v>236</v>
      </c>
      <c r="J333" t="s">
        <v>1701</v>
      </c>
      <c r="K333">
        <v>0</v>
      </c>
      <c r="L333" t="s">
        <v>238</v>
      </c>
      <c r="N333" t="s">
        <v>346</v>
      </c>
      <c r="O333" t="s">
        <v>1701</v>
      </c>
      <c r="P333">
        <v>5.8365775875471598E-5</v>
      </c>
      <c r="Q333" t="s">
        <v>238</v>
      </c>
      <c r="S333" t="s">
        <v>347</v>
      </c>
      <c r="T333" t="s">
        <v>1701</v>
      </c>
      <c r="U333">
        <v>7.3015037004674679E-5</v>
      </c>
      <c r="V333" t="s">
        <v>238</v>
      </c>
      <c r="X333">
        <v>1.1415525114155251E-4</v>
      </c>
      <c r="Y333">
        <v>1.7237235744060203E-4</v>
      </c>
      <c r="Z333" t="s">
        <v>1701</v>
      </c>
      <c r="AA333" t="s">
        <v>25</v>
      </c>
      <c r="AC333" t="s">
        <v>22</v>
      </c>
      <c r="AD333" t="s">
        <v>1701</v>
      </c>
      <c r="AE333">
        <v>1.5550665027883748E-4</v>
      </c>
      <c r="AG333" t="s">
        <v>97</v>
      </c>
      <c r="AH333" t="s">
        <v>1701</v>
      </c>
      <c r="AI333">
        <v>0</v>
      </c>
    </row>
    <row r="334" spans="5:35" x14ac:dyDescent="0.45">
      <c r="E334" t="s">
        <v>1020</v>
      </c>
      <c r="G334" t="s">
        <v>364</v>
      </c>
      <c r="I334" t="s">
        <v>236</v>
      </c>
      <c r="J334" t="s">
        <v>1702</v>
      </c>
      <c r="K334">
        <v>0</v>
      </c>
      <c r="L334" t="s">
        <v>238</v>
      </c>
      <c r="N334" t="s">
        <v>346</v>
      </c>
      <c r="O334" t="s">
        <v>1702</v>
      </c>
      <c r="P334">
        <v>5.7220119819644188E-5</v>
      </c>
      <c r="Q334" t="s">
        <v>238</v>
      </c>
      <c r="S334" t="s">
        <v>347</v>
      </c>
      <c r="T334" t="s">
        <v>1702</v>
      </c>
      <c r="U334">
        <v>8.2412631134928468E-5</v>
      </c>
      <c r="V334" t="s">
        <v>238</v>
      </c>
      <c r="X334">
        <v>1.1415525114155251E-4</v>
      </c>
      <c r="Y334">
        <v>1.5579809230208258E-4</v>
      </c>
      <c r="Z334" t="s">
        <v>1702</v>
      </c>
      <c r="AA334" t="s">
        <v>25</v>
      </c>
      <c r="AC334" t="s">
        <v>22</v>
      </c>
      <c r="AD334" t="s">
        <v>1702</v>
      </c>
      <c r="AE334">
        <v>1.5039895904392321E-4</v>
      </c>
      <c r="AG334" t="s">
        <v>97</v>
      </c>
      <c r="AH334" t="s">
        <v>1702</v>
      </c>
      <c r="AI334">
        <v>0</v>
      </c>
    </row>
    <row r="335" spans="5:35" x14ac:dyDescent="0.45">
      <c r="E335" t="s">
        <v>1021</v>
      </c>
      <c r="G335" t="s">
        <v>364</v>
      </c>
      <c r="I335" t="s">
        <v>236</v>
      </c>
      <c r="J335" t="s">
        <v>1703</v>
      </c>
      <c r="K335">
        <v>0</v>
      </c>
      <c r="L335" t="s">
        <v>238</v>
      </c>
      <c r="N335" t="s">
        <v>346</v>
      </c>
      <c r="O335" t="s">
        <v>1703</v>
      </c>
      <c r="P335">
        <v>5.6707162924713703E-5</v>
      </c>
      <c r="Q335" t="s">
        <v>238</v>
      </c>
      <c r="S335" t="s">
        <v>347</v>
      </c>
      <c r="T335" t="s">
        <v>1703</v>
      </c>
      <c r="U335">
        <v>8.848995727097882E-5</v>
      </c>
      <c r="V335" t="s">
        <v>238</v>
      </c>
      <c r="X335">
        <v>1.1415525114155251E-4</v>
      </c>
      <c r="Y335">
        <v>1.093901499142282E-4</v>
      </c>
      <c r="Z335" t="s">
        <v>1703</v>
      </c>
      <c r="AA335" t="s">
        <v>25</v>
      </c>
      <c r="AC335" t="s">
        <v>22</v>
      </c>
      <c r="AD335" t="s">
        <v>1703</v>
      </c>
      <c r="AE335">
        <v>1.393666899287801E-4</v>
      </c>
      <c r="AG335" t="s">
        <v>97</v>
      </c>
      <c r="AH335" t="s">
        <v>1703</v>
      </c>
      <c r="AI335">
        <v>0</v>
      </c>
    </row>
    <row r="336" spans="5:35" x14ac:dyDescent="0.45">
      <c r="E336" t="s">
        <v>1022</v>
      </c>
      <c r="G336" t="s">
        <v>364</v>
      </c>
      <c r="I336" t="s">
        <v>236</v>
      </c>
      <c r="J336" t="s">
        <v>1704</v>
      </c>
      <c r="K336">
        <v>0</v>
      </c>
      <c r="L336" t="s">
        <v>238</v>
      </c>
      <c r="N336" t="s">
        <v>346</v>
      </c>
      <c r="O336" t="s">
        <v>1704</v>
      </c>
      <c r="P336">
        <v>5.9162810995087472E-5</v>
      </c>
      <c r="Q336" t="s">
        <v>238</v>
      </c>
      <c r="S336" t="s">
        <v>347</v>
      </c>
      <c r="T336" t="s">
        <v>1704</v>
      </c>
      <c r="U336">
        <v>9.5660153236524478E-5</v>
      </c>
      <c r="V336" t="s">
        <v>238</v>
      </c>
      <c r="X336">
        <v>1.1415525114155251E-4</v>
      </c>
      <c r="Y336">
        <v>7.9556472664893237E-5</v>
      </c>
      <c r="Z336" t="s">
        <v>1704</v>
      </c>
      <c r="AA336" t="s">
        <v>25</v>
      </c>
      <c r="AC336" t="s">
        <v>22</v>
      </c>
      <c r="AD336" t="s">
        <v>1704</v>
      </c>
      <c r="AE336">
        <v>1.2654013646287588E-4</v>
      </c>
      <c r="AG336" t="s">
        <v>97</v>
      </c>
      <c r="AH336" t="s">
        <v>1704</v>
      </c>
      <c r="AI336">
        <v>0</v>
      </c>
    </row>
    <row r="337" spans="5:35" x14ac:dyDescent="0.45">
      <c r="E337" t="s">
        <v>1023</v>
      </c>
      <c r="G337" t="s">
        <v>364</v>
      </c>
      <c r="I337" t="s">
        <v>236</v>
      </c>
      <c r="J337" t="s">
        <v>1705</v>
      </c>
      <c r="K337">
        <v>0</v>
      </c>
      <c r="L337" t="s">
        <v>238</v>
      </c>
      <c r="N337" t="s">
        <v>346</v>
      </c>
      <c r="O337" t="s">
        <v>1705</v>
      </c>
      <c r="P337">
        <v>7.1680038252580457E-5</v>
      </c>
      <c r="Q337" t="s">
        <v>238</v>
      </c>
      <c r="S337" t="s">
        <v>347</v>
      </c>
      <c r="T337" t="s">
        <v>1705</v>
      </c>
      <c r="U337">
        <v>1.1915360413140001E-4</v>
      </c>
      <c r="V337" t="s">
        <v>238</v>
      </c>
      <c r="X337">
        <v>1.1415525114155251E-4</v>
      </c>
      <c r="Y337">
        <v>5.6352501470966035E-5</v>
      </c>
      <c r="Z337" t="s">
        <v>1705</v>
      </c>
      <c r="AA337" t="s">
        <v>25</v>
      </c>
      <c r="AC337" t="s">
        <v>22</v>
      </c>
      <c r="AD337" t="s">
        <v>1705</v>
      </c>
      <c r="AE337">
        <v>1.1498334013337289E-4</v>
      </c>
      <c r="AG337" t="s">
        <v>97</v>
      </c>
      <c r="AH337" t="s">
        <v>1705</v>
      </c>
      <c r="AI337">
        <v>0</v>
      </c>
    </row>
    <row r="338" spans="5:35" x14ac:dyDescent="0.45">
      <c r="E338" t="s">
        <v>1024</v>
      </c>
      <c r="G338" t="s">
        <v>364</v>
      </c>
      <c r="I338" t="s">
        <v>236</v>
      </c>
      <c r="J338" t="s">
        <v>1706</v>
      </c>
      <c r="K338">
        <v>0</v>
      </c>
      <c r="L338" t="s">
        <v>238</v>
      </c>
      <c r="N338" t="s">
        <v>346</v>
      </c>
      <c r="O338" t="s">
        <v>1706</v>
      </c>
      <c r="P338">
        <v>7.1719042800360826E-5</v>
      </c>
      <c r="Q338" t="s">
        <v>238</v>
      </c>
      <c r="S338" t="s">
        <v>347</v>
      </c>
      <c r="T338" t="s">
        <v>1706</v>
      </c>
      <c r="U338">
        <v>1.2992078133620001E-4</v>
      </c>
      <c r="V338" t="s">
        <v>238</v>
      </c>
      <c r="X338">
        <v>1.1415525114155251E-4</v>
      </c>
      <c r="Y338">
        <v>2.9833677249334962E-5</v>
      </c>
      <c r="Z338" t="s">
        <v>1706</v>
      </c>
      <c r="AA338" t="s">
        <v>25</v>
      </c>
      <c r="AC338" t="s">
        <v>22</v>
      </c>
      <c r="AD338" t="s">
        <v>1706</v>
      </c>
      <c r="AE338">
        <v>9.3718490934815681E-5</v>
      </c>
      <c r="AG338" t="s">
        <v>97</v>
      </c>
      <c r="AH338" t="s">
        <v>1706</v>
      </c>
      <c r="AI338">
        <v>0</v>
      </c>
    </row>
    <row r="339" spans="5:35" x14ac:dyDescent="0.45">
      <c r="E339" t="s">
        <v>1025</v>
      </c>
      <c r="G339" t="s">
        <v>364</v>
      </c>
      <c r="I339" t="s">
        <v>236</v>
      </c>
      <c r="J339" t="s">
        <v>1707</v>
      </c>
      <c r="K339">
        <v>0</v>
      </c>
      <c r="L339" t="s">
        <v>238</v>
      </c>
      <c r="N339" t="s">
        <v>346</v>
      </c>
      <c r="O339" t="s">
        <v>1707</v>
      </c>
      <c r="P339">
        <v>6.371773559941096E-5</v>
      </c>
      <c r="Q339" t="s">
        <v>238</v>
      </c>
      <c r="S339" t="s">
        <v>347</v>
      </c>
      <c r="T339" t="s">
        <v>1707</v>
      </c>
      <c r="U339">
        <v>1.329833542824E-4</v>
      </c>
      <c r="V339" t="s">
        <v>238</v>
      </c>
      <c r="X339">
        <v>1.1415525114155251E-4</v>
      </c>
      <c r="Y339">
        <v>2.1546544680075254E-5</v>
      </c>
      <c r="Z339" t="s">
        <v>1707</v>
      </c>
      <c r="AA339" t="s">
        <v>25</v>
      </c>
      <c r="AC339" t="s">
        <v>22</v>
      </c>
      <c r="AD339" t="s">
        <v>1707</v>
      </c>
      <c r="AE339">
        <v>8.6888172072413473E-5</v>
      </c>
      <c r="AG339" t="s">
        <v>97</v>
      </c>
      <c r="AH339" t="s">
        <v>1707</v>
      </c>
      <c r="AI339">
        <v>0</v>
      </c>
    </row>
    <row r="340" spans="5:35" x14ac:dyDescent="0.45">
      <c r="E340" t="s">
        <v>1026</v>
      </c>
      <c r="G340" t="s">
        <v>364</v>
      </c>
      <c r="I340" t="s">
        <v>236</v>
      </c>
      <c r="J340" t="s">
        <v>1708</v>
      </c>
      <c r="K340">
        <v>0</v>
      </c>
      <c r="L340" t="s">
        <v>238</v>
      </c>
      <c r="N340" t="s">
        <v>346</v>
      </c>
      <c r="O340" t="s">
        <v>1708</v>
      </c>
      <c r="P340">
        <v>5.7934272682415233E-5</v>
      </c>
      <c r="Q340" t="s">
        <v>238</v>
      </c>
      <c r="S340" t="s">
        <v>347</v>
      </c>
      <c r="T340" t="s">
        <v>1708</v>
      </c>
      <c r="U340">
        <v>1.2944934762119999E-4</v>
      </c>
      <c r="V340" t="s">
        <v>238</v>
      </c>
      <c r="X340">
        <v>1.1415525114155251E-4</v>
      </c>
      <c r="Y340">
        <v>1.4916838624667481E-5</v>
      </c>
      <c r="Z340" t="s">
        <v>1708</v>
      </c>
      <c r="AA340" t="s">
        <v>25</v>
      </c>
      <c r="AC340" t="s">
        <v>22</v>
      </c>
      <c r="AD340" t="s">
        <v>1708</v>
      </c>
      <c r="AE340">
        <v>8.3563300112536642E-5</v>
      </c>
      <c r="AG340" t="s">
        <v>97</v>
      </c>
      <c r="AH340" t="s">
        <v>1708</v>
      </c>
      <c r="AI340">
        <v>0</v>
      </c>
    </row>
    <row r="341" spans="5:35" x14ac:dyDescent="0.45">
      <c r="E341" t="s">
        <v>1027</v>
      </c>
      <c r="G341" t="s">
        <v>364</v>
      </c>
      <c r="I341" t="s">
        <v>236</v>
      </c>
      <c r="J341" t="s">
        <v>1709</v>
      </c>
      <c r="K341">
        <v>0</v>
      </c>
      <c r="L341" t="s">
        <v>238</v>
      </c>
      <c r="N341" t="s">
        <v>346</v>
      </c>
      <c r="O341" t="s">
        <v>1709</v>
      </c>
      <c r="P341">
        <v>6.1808212317624651E-5</v>
      </c>
      <c r="Q341" t="s">
        <v>238</v>
      </c>
      <c r="S341" t="s">
        <v>347</v>
      </c>
      <c r="T341" t="s">
        <v>1709</v>
      </c>
      <c r="U341">
        <v>1.3287262289889999E-4</v>
      </c>
      <c r="V341" t="s">
        <v>238</v>
      </c>
      <c r="X341">
        <v>1.1415525114155251E-4</v>
      </c>
      <c r="Y341">
        <v>1.6574265138519424E-5</v>
      </c>
      <c r="Z341" t="s">
        <v>1709</v>
      </c>
      <c r="AA341" t="s">
        <v>25</v>
      </c>
      <c r="AC341" t="s">
        <v>22</v>
      </c>
      <c r="AD341" t="s">
        <v>1709</v>
      </c>
      <c r="AE341">
        <v>8.3136226041828306E-5</v>
      </c>
      <c r="AG341" t="s">
        <v>97</v>
      </c>
      <c r="AH341" t="s">
        <v>1709</v>
      </c>
      <c r="AI341">
        <v>0</v>
      </c>
    </row>
    <row r="342" spans="5:35" x14ac:dyDescent="0.45">
      <c r="E342" t="s">
        <v>1028</v>
      </c>
      <c r="G342" t="s">
        <v>364</v>
      </c>
      <c r="I342" t="s">
        <v>236</v>
      </c>
      <c r="J342" t="s">
        <v>1710</v>
      </c>
      <c r="K342">
        <v>0</v>
      </c>
      <c r="L342" t="s">
        <v>238</v>
      </c>
      <c r="N342" t="s">
        <v>346</v>
      </c>
      <c r="O342" t="s">
        <v>1710</v>
      </c>
      <c r="P342">
        <v>6.8538531806513567E-5</v>
      </c>
      <c r="Q342" t="s">
        <v>238</v>
      </c>
      <c r="S342" t="s">
        <v>347</v>
      </c>
      <c r="T342" t="s">
        <v>1710</v>
      </c>
      <c r="U342">
        <v>1.4713391199539999E-4</v>
      </c>
      <c r="V342" t="s">
        <v>238</v>
      </c>
      <c r="X342">
        <v>1.1415525114155251E-4</v>
      </c>
      <c r="Y342">
        <v>1.4585353321897093E-5</v>
      </c>
      <c r="Z342" t="s">
        <v>1710</v>
      </c>
      <c r="AA342" t="s">
        <v>25</v>
      </c>
      <c r="AC342" t="s">
        <v>22</v>
      </c>
      <c r="AD342" t="s">
        <v>1710</v>
      </c>
      <c r="AE342">
        <v>8.3136226041828306E-5</v>
      </c>
      <c r="AG342" t="s">
        <v>97</v>
      </c>
      <c r="AH342" t="s">
        <v>1710</v>
      </c>
      <c r="AI342">
        <v>0</v>
      </c>
    </row>
    <row r="343" spans="5:35" x14ac:dyDescent="0.45">
      <c r="E343" t="s">
        <v>1029</v>
      </c>
      <c r="G343" t="s">
        <v>364</v>
      </c>
      <c r="I343" t="s">
        <v>236</v>
      </c>
      <c r="J343" t="s">
        <v>1711</v>
      </c>
      <c r="K343">
        <v>0</v>
      </c>
      <c r="L343" t="s">
        <v>238</v>
      </c>
      <c r="N343" t="s">
        <v>346</v>
      </c>
      <c r="O343" t="s">
        <v>1711</v>
      </c>
      <c r="P343">
        <v>7.9463448518703861E-5</v>
      </c>
      <c r="Q343" t="s">
        <v>238</v>
      </c>
      <c r="S343" t="s">
        <v>347</v>
      </c>
      <c r="T343" t="s">
        <v>1711</v>
      </c>
      <c r="U343">
        <v>1.5619407362710001E-4</v>
      </c>
      <c r="V343" t="s">
        <v>238</v>
      </c>
      <c r="X343">
        <v>1.1415525114155251E-4</v>
      </c>
      <c r="Y343">
        <v>2.1215059377304864E-5</v>
      </c>
      <c r="Z343" t="s">
        <v>1711</v>
      </c>
      <c r="AA343" t="s">
        <v>25</v>
      </c>
      <c r="AC343" t="s">
        <v>22</v>
      </c>
      <c r="AD343" t="s">
        <v>1711</v>
      </c>
      <c r="AE343">
        <v>9.0227375376944984E-5</v>
      </c>
      <c r="AG343" t="s">
        <v>97</v>
      </c>
      <c r="AH343" t="s">
        <v>1711</v>
      </c>
      <c r="AI343">
        <v>0</v>
      </c>
    </row>
    <row r="344" spans="5:35" x14ac:dyDescent="0.45">
      <c r="E344" t="s">
        <v>1030</v>
      </c>
      <c r="G344" t="s">
        <v>364</v>
      </c>
      <c r="I344" t="s">
        <v>236</v>
      </c>
      <c r="J344" t="s">
        <v>1712</v>
      </c>
      <c r="K344">
        <v>0</v>
      </c>
      <c r="L344" t="s">
        <v>238</v>
      </c>
      <c r="N344" t="s">
        <v>346</v>
      </c>
      <c r="O344" t="s">
        <v>1712</v>
      </c>
      <c r="P344">
        <v>9.2198010996400405E-5</v>
      </c>
      <c r="Q344" t="s">
        <v>238</v>
      </c>
      <c r="S344" t="s">
        <v>347</v>
      </c>
      <c r="T344" t="s">
        <v>1712</v>
      </c>
      <c r="U344">
        <v>1.6233863366220001E-4</v>
      </c>
      <c r="V344" t="s">
        <v>238</v>
      </c>
      <c r="X344">
        <v>1.1415525114155251E-4</v>
      </c>
      <c r="Y344">
        <v>5.7678442682047593E-5</v>
      </c>
      <c r="Z344" t="s">
        <v>1712</v>
      </c>
      <c r="AA344" t="s">
        <v>25</v>
      </c>
      <c r="AC344" t="s">
        <v>22</v>
      </c>
      <c r="AD344" t="s">
        <v>1712</v>
      </c>
      <c r="AE344">
        <v>1.2007096748577064E-4</v>
      </c>
      <c r="AG344" t="s">
        <v>97</v>
      </c>
      <c r="AH344" t="s">
        <v>1712</v>
      </c>
      <c r="AI344">
        <v>0</v>
      </c>
    </row>
    <row r="345" spans="5:35" x14ac:dyDescent="0.45">
      <c r="E345" t="s">
        <v>1031</v>
      </c>
      <c r="G345" t="s">
        <v>364</v>
      </c>
      <c r="I345" t="s">
        <v>236</v>
      </c>
      <c r="J345" t="s">
        <v>1713</v>
      </c>
      <c r="K345">
        <v>0</v>
      </c>
      <c r="L345" t="s">
        <v>238</v>
      </c>
      <c r="N345" t="s">
        <v>346</v>
      </c>
      <c r="O345" t="s">
        <v>1713</v>
      </c>
      <c r="P345">
        <v>9.6583478761966818E-5</v>
      </c>
      <c r="Q345" t="s">
        <v>238</v>
      </c>
      <c r="S345" t="s">
        <v>347</v>
      </c>
      <c r="T345" t="s">
        <v>1713</v>
      </c>
      <c r="U345">
        <v>1.6375860301779999E-4</v>
      </c>
      <c r="V345" t="s">
        <v>238</v>
      </c>
      <c r="X345">
        <v>1.1415525114155251E-4</v>
      </c>
      <c r="Y345">
        <v>1.6905750441289813E-4</v>
      </c>
      <c r="Z345" t="s">
        <v>1713</v>
      </c>
      <c r="AA345" t="s">
        <v>25</v>
      </c>
      <c r="AC345" t="s">
        <v>22</v>
      </c>
      <c r="AD345" t="s">
        <v>1713</v>
      </c>
      <c r="AE345">
        <v>1.3987688579848533E-4</v>
      </c>
      <c r="AG345" t="s">
        <v>97</v>
      </c>
      <c r="AH345" t="s">
        <v>1713</v>
      </c>
      <c r="AI345">
        <v>0</v>
      </c>
    </row>
    <row r="346" spans="5:35" x14ac:dyDescent="0.45">
      <c r="E346" t="s">
        <v>1032</v>
      </c>
      <c r="G346" t="s">
        <v>364</v>
      </c>
      <c r="I346" t="s">
        <v>236</v>
      </c>
      <c r="J346" t="s">
        <v>1714</v>
      </c>
      <c r="K346">
        <v>0</v>
      </c>
      <c r="L346" t="s">
        <v>238</v>
      </c>
      <c r="N346" t="s">
        <v>346</v>
      </c>
      <c r="O346" t="s">
        <v>1714</v>
      </c>
      <c r="P346">
        <v>9.9992915923112475E-5</v>
      </c>
      <c r="Q346" t="s">
        <v>238</v>
      </c>
      <c r="S346" t="s">
        <v>347</v>
      </c>
      <c r="T346" t="s">
        <v>1714</v>
      </c>
      <c r="U346">
        <v>1.649356966292E-4</v>
      </c>
      <c r="V346" t="s">
        <v>238</v>
      </c>
      <c r="X346">
        <v>1.1415525114155251E-4</v>
      </c>
      <c r="Y346">
        <v>1.9060404909297337E-4</v>
      </c>
      <c r="Z346" t="s">
        <v>1714</v>
      </c>
      <c r="AA346" t="s">
        <v>25</v>
      </c>
      <c r="AC346" t="s">
        <v>22</v>
      </c>
      <c r="AD346" t="s">
        <v>1714</v>
      </c>
      <c r="AE346">
        <v>1.4368042466982722E-4</v>
      </c>
      <c r="AG346" t="s">
        <v>97</v>
      </c>
      <c r="AH346" t="s">
        <v>1714</v>
      </c>
      <c r="AI346">
        <v>0</v>
      </c>
    </row>
    <row r="347" spans="5:35" x14ac:dyDescent="0.45">
      <c r="E347" t="s">
        <v>1033</v>
      </c>
      <c r="G347" t="s">
        <v>364</v>
      </c>
      <c r="I347" t="s">
        <v>236</v>
      </c>
      <c r="J347" t="s">
        <v>1715</v>
      </c>
      <c r="K347">
        <v>4.5560311688729044E-6</v>
      </c>
      <c r="L347" t="s">
        <v>238</v>
      </c>
      <c r="N347" t="s">
        <v>346</v>
      </c>
      <c r="O347" t="s">
        <v>1715</v>
      </c>
      <c r="P347">
        <v>9.5777440856997678E-5</v>
      </c>
      <c r="Q347" t="s">
        <v>238</v>
      </c>
      <c r="S347" t="s">
        <v>347</v>
      </c>
      <c r="T347" t="s">
        <v>1715</v>
      </c>
      <c r="U347">
        <v>1.652844334315E-4</v>
      </c>
      <c r="V347" t="s">
        <v>238</v>
      </c>
      <c r="X347">
        <v>1.1415525114155251E-4</v>
      </c>
      <c r="Y347">
        <v>1.4585353321897094E-4</v>
      </c>
      <c r="Z347" t="s">
        <v>1715</v>
      </c>
      <c r="AA347" t="s">
        <v>25</v>
      </c>
      <c r="AC347" t="s">
        <v>22</v>
      </c>
      <c r="AD347" t="s">
        <v>1715</v>
      </c>
      <c r="AE347">
        <v>1.4843269855730636E-4</v>
      </c>
      <c r="AG347" t="s">
        <v>97</v>
      </c>
      <c r="AH347" t="s">
        <v>1715</v>
      </c>
      <c r="AI347">
        <v>0</v>
      </c>
    </row>
    <row r="348" spans="5:35" x14ac:dyDescent="0.45">
      <c r="E348" t="s">
        <v>1034</v>
      </c>
      <c r="G348" t="s">
        <v>364</v>
      </c>
      <c r="I348" t="s">
        <v>236</v>
      </c>
      <c r="J348" t="s">
        <v>1716</v>
      </c>
      <c r="K348">
        <v>1.8904631195205156E-5</v>
      </c>
      <c r="L348" t="s">
        <v>238</v>
      </c>
      <c r="N348" t="s">
        <v>346</v>
      </c>
      <c r="O348" t="s">
        <v>1716</v>
      </c>
      <c r="P348">
        <v>8.6037586699233903E-5</v>
      </c>
      <c r="Q348" t="s">
        <v>238</v>
      </c>
      <c r="S348" t="s">
        <v>347</v>
      </c>
      <c r="T348" t="s">
        <v>1716</v>
      </c>
      <c r="U348">
        <v>1.6150119212030001E-4</v>
      </c>
      <c r="V348" t="s">
        <v>238</v>
      </c>
      <c r="X348">
        <v>1.1415525114155251E-4</v>
      </c>
      <c r="Y348">
        <v>1.4452759200788939E-4</v>
      </c>
      <c r="Z348" t="s">
        <v>1716</v>
      </c>
      <c r="AA348" t="s">
        <v>25</v>
      </c>
      <c r="AC348" t="s">
        <v>22</v>
      </c>
      <c r="AD348" t="s">
        <v>1716</v>
      </c>
      <c r="AE348">
        <v>1.5038176143033764E-4</v>
      </c>
      <c r="AG348" t="s">
        <v>97</v>
      </c>
      <c r="AH348" t="s">
        <v>1716</v>
      </c>
      <c r="AI348">
        <v>0</v>
      </c>
    </row>
    <row r="349" spans="5:35" x14ac:dyDescent="0.45">
      <c r="E349" t="s">
        <v>1035</v>
      </c>
      <c r="G349" t="s">
        <v>364</v>
      </c>
      <c r="I349" t="s">
        <v>236</v>
      </c>
      <c r="J349" t="s">
        <v>1717</v>
      </c>
      <c r="K349">
        <v>4.6842377095853163E-5</v>
      </c>
      <c r="L349" t="s">
        <v>238</v>
      </c>
      <c r="N349" t="s">
        <v>346</v>
      </c>
      <c r="O349" t="s">
        <v>1717</v>
      </c>
      <c r="P349">
        <v>8.8175905397418837E-5</v>
      </c>
      <c r="Q349" t="s">
        <v>238</v>
      </c>
      <c r="S349" t="s">
        <v>347</v>
      </c>
      <c r="T349" t="s">
        <v>1717</v>
      </c>
      <c r="U349">
        <v>1.372535546221E-4</v>
      </c>
      <c r="V349" t="s">
        <v>238</v>
      </c>
      <c r="X349">
        <v>1.1415525114155251E-4</v>
      </c>
      <c r="Y349">
        <v>1.408812536774151E-4</v>
      </c>
      <c r="Z349" t="s">
        <v>1717</v>
      </c>
      <c r="AA349" t="s">
        <v>25</v>
      </c>
      <c r="AC349" t="s">
        <v>22</v>
      </c>
      <c r="AD349" t="s">
        <v>1717</v>
      </c>
      <c r="AE349">
        <v>1.5014959364693242E-4</v>
      </c>
      <c r="AG349" t="s">
        <v>97</v>
      </c>
      <c r="AH349" t="s">
        <v>1717</v>
      </c>
      <c r="AI349">
        <v>0</v>
      </c>
    </row>
    <row r="350" spans="5:35" x14ac:dyDescent="0.45">
      <c r="E350" t="s">
        <v>1036</v>
      </c>
      <c r="G350" t="s">
        <v>364</v>
      </c>
      <c r="I350" t="s">
        <v>236</v>
      </c>
      <c r="J350" t="s">
        <v>1718</v>
      </c>
      <c r="K350">
        <v>6.9263954178994027E-5</v>
      </c>
      <c r="L350" t="s">
        <v>238</v>
      </c>
      <c r="N350" t="s">
        <v>346</v>
      </c>
      <c r="O350" t="s">
        <v>1718</v>
      </c>
      <c r="P350">
        <v>7.9276358744845345E-5</v>
      </c>
      <c r="Q350" t="s">
        <v>238</v>
      </c>
      <c r="S350" t="s">
        <v>347</v>
      </c>
      <c r="T350" t="s">
        <v>1718</v>
      </c>
      <c r="U350">
        <v>1.211388947461E-4</v>
      </c>
      <c r="V350" t="s">
        <v>238</v>
      </c>
      <c r="X350">
        <v>1.1415525114155251E-4</v>
      </c>
      <c r="Y350">
        <v>1.4054976837464471E-4</v>
      </c>
      <c r="Z350" t="s">
        <v>1718</v>
      </c>
      <c r="AA350" t="s">
        <v>25</v>
      </c>
      <c r="AC350" t="s">
        <v>22</v>
      </c>
      <c r="AD350" t="s">
        <v>1718</v>
      </c>
      <c r="AE350">
        <v>1.4858174454171466E-4</v>
      </c>
      <c r="AG350" t="s">
        <v>97</v>
      </c>
      <c r="AH350" t="s">
        <v>1718</v>
      </c>
      <c r="AI350">
        <v>0</v>
      </c>
    </row>
    <row r="351" spans="5:35" x14ac:dyDescent="0.45">
      <c r="E351" t="s">
        <v>1037</v>
      </c>
      <c r="G351" t="s">
        <v>364</v>
      </c>
      <c r="I351" t="s">
        <v>236</v>
      </c>
      <c r="J351" t="s">
        <v>1719</v>
      </c>
      <c r="K351">
        <v>7.4090660204993285E-5</v>
      </c>
      <c r="L351" t="s">
        <v>238</v>
      </c>
      <c r="N351" t="s">
        <v>346</v>
      </c>
      <c r="O351" t="s">
        <v>1719</v>
      </c>
      <c r="P351">
        <v>8.4735122168573659E-5</v>
      </c>
      <c r="Q351" t="s">
        <v>238</v>
      </c>
      <c r="S351" t="s">
        <v>347</v>
      </c>
      <c r="T351" t="s">
        <v>1719</v>
      </c>
      <c r="U351">
        <v>1.083382767245E-4</v>
      </c>
      <c r="V351" t="s">
        <v>238</v>
      </c>
      <c r="X351">
        <v>1.1415525114155251E-4</v>
      </c>
      <c r="Y351">
        <v>1.4253868019126702E-4</v>
      </c>
      <c r="Z351" t="s">
        <v>1719</v>
      </c>
      <c r="AA351" t="s">
        <v>25</v>
      </c>
      <c r="AC351" t="s">
        <v>22</v>
      </c>
      <c r="AD351" t="s">
        <v>1719</v>
      </c>
      <c r="AE351">
        <v>1.4841836721265171E-4</v>
      </c>
      <c r="AG351" t="s">
        <v>97</v>
      </c>
      <c r="AH351" t="s">
        <v>1719</v>
      </c>
      <c r="AI351">
        <v>0</v>
      </c>
    </row>
    <row r="352" spans="5:35" x14ac:dyDescent="0.45">
      <c r="E352" t="s">
        <v>1038</v>
      </c>
      <c r="G352" t="s">
        <v>364</v>
      </c>
      <c r="I352" t="s">
        <v>236</v>
      </c>
      <c r="J352" t="s">
        <v>1720</v>
      </c>
      <c r="K352">
        <v>6.97172319679814E-5</v>
      </c>
      <c r="L352" t="s">
        <v>238</v>
      </c>
      <c r="N352" t="s">
        <v>346</v>
      </c>
      <c r="O352" t="s">
        <v>1720</v>
      </c>
      <c r="P352">
        <v>9.7845444162388559E-5</v>
      </c>
      <c r="Q352" t="s">
        <v>238</v>
      </c>
      <c r="S352" t="s">
        <v>347</v>
      </c>
      <c r="T352" t="s">
        <v>1720</v>
      </c>
      <c r="U352">
        <v>1.014622275749E-4</v>
      </c>
      <c r="V352" t="s">
        <v>238</v>
      </c>
      <c r="X352">
        <v>1.1415525114155251E-4</v>
      </c>
      <c r="Y352">
        <v>1.4883690094390442E-4</v>
      </c>
      <c r="Z352" t="s">
        <v>1720</v>
      </c>
      <c r="AA352" t="s">
        <v>25</v>
      </c>
      <c r="AC352" t="s">
        <v>22</v>
      </c>
      <c r="AD352" t="s">
        <v>1720</v>
      </c>
      <c r="AE352">
        <v>1.4777059043426192E-4</v>
      </c>
      <c r="AG352" t="s">
        <v>97</v>
      </c>
      <c r="AH352" t="s">
        <v>1720</v>
      </c>
      <c r="AI352">
        <v>0</v>
      </c>
    </row>
    <row r="353" spans="5:35" x14ac:dyDescent="0.45">
      <c r="E353" t="s">
        <v>1039</v>
      </c>
      <c r="G353" t="s">
        <v>364</v>
      </c>
      <c r="I353" t="s">
        <v>236</v>
      </c>
      <c r="J353" t="s">
        <v>1721</v>
      </c>
      <c r="K353">
        <v>4.4700386453942519E-5</v>
      </c>
      <c r="L353" t="s">
        <v>238</v>
      </c>
      <c r="N353" t="s">
        <v>346</v>
      </c>
      <c r="O353" t="s">
        <v>1721</v>
      </c>
      <c r="P353">
        <v>7.8962382767916288E-5</v>
      </c>
      <c r="Q353" t="s">
        <v>238</v>
      </c>
      <c r="S353" t="s">
        <v>347</v>
      </c>
      <c r="T353" t="s">
        <v>1721</v>
      </c>
      <c r="U353">
        <v>9.6968366734032042E-5</v>
      </c>
      <c r="V353" t="s">
        <v>238</v>
      </c>
      <c r="X353">
        <v>1.1415525114155251E-4</v>
      </c>
      <c r="Y353">
        <v>1.5049432745775637E-4</v>
      </c>
      <c r="Z353" t="s">
        <v>1721</v>
      </c>
      <c r="AA353" t="s">
        <v>25</v>
      </c>
      <c r="AC353" t="s">
        <v>22</v>
      </c>
      <c r="AD353" t="s">
        <v>1721</v>
      </c>
      <c r="AE353">
        <v>1.4777059043426192E-4</v>
      </c>
      <c r="AG353" t="s">
        <v>97</v>
      </c>
      <c r="AH353" t="s">
        <v>1721</v>
      </c>
      <c r="AI353">
        <v>0</v>
      </c>
    </row>
    <row r="354" spans="5:35" x14ac:dyDescent="0.45">
      <c r="E354" t="s">
        <v>1040</v>
      </c>
      <c r="G354" t="s">
        <v>364</v>
      </c>
      <c r="I354" t="s">
        <v>236</v>
      </c>
      <c r="J354" t="s">
        <v>1722</v>
      </c>
      <c r="K354">
        <v>2.3704456495312544E-5</v>
      </c>
      <c r="L354" t="s">
        <v>238</v>
      </c>
      <c r="N354" t="s">
        <v>346</v>
      </c>
      <c r="O354" t="s">
        <v>1722</v>
      </c>
      <c r="P354">
        <v>7.5595069674864887E-5</v>
      </c>
      <c r="Q354" t="s">
        <v>238</v>
      </c>
      <c r="S354" t="s">
        <v>347</v>
      </c>
      <c r="T354" t="s">
        <v>1722</v>
      </c>
      <c r="U354">
        <v>9.1387606639996942E-5</v>
      </c>
      <c r="V354" t="s">
        <v>238</v>
      </c>
      <c r="X354">
        <v>1.1415525114155251E-4</v>
      </c>
      <c r="Y354">
        <v>1.7237235744060203E-4</v>
      </c>
      <c r="Z354" t="s">
        <v>1722</v>
      </c>
      <c r="AA354" t="s">
        <v>25</v>
      </c>
      <c r="AC354" t="s">
        <v>22</v>
      </c>
      <c r="AD354" t="s">
        <v>1722</v>
      </c>
      <c r="AE354">
        <v>1.4805435105842382E-4</v>
      </c>
      <c r="AG354" t="s">
        <v>97</v>
      </c>
      <c r="AH354" t="s">
        <v>1722</v>
      </c>
      <c r="AI354">
        <v>0</v>
      </c>
    </row>
    <row r="355" spans="5:35" x14ac:dyDescent="0.45">
      <c r="E355" t="s">
        <v>1041</v>
      </c>
      <c r="G355" t="s">
        <v>364</v>
      </c>
      <c r="I355" t="s">
        <v>236</v>
      </c>
      <c r="J355" t="s">
        <v>1723</v>
      </c>
      <c r="K355">
        <v>5.5857381455408038E-6</v>
      </c>
      <c r="L355" t="s">
        <v>238</v>
      </c>
      <c r="N355" t="s">
        <v>346</v>
      </c>
      <c r="O355" t="s">
        <v>1723</v>
      </c>
      <c r="P355">
        <v>8.2850395673301531E-5</v>
      </c>
      <c r="Q355" t="s">
        <v>238</v>
      </c>
      <c r="S355" t="s">
        <v>347</v>
      </c>
      <c r="T355" t="s">
        <v>1723</v>
      </c>
      <c r="U355">
        <v>8.6310996703073691E-5</v>
      </c>
      <c r="V355" t="s">
        <v>238</v>
      </c>
      <c r="X355">
        <v>1.1415525114155251E-4</v>
      </c>
      <c r="Y355">
        <v>2.2209515285616027E-4</v>
      </c>
      <c r="Z355" t="s">
        <v>1723</v>
      </c>
      <c r="AA355" t="s">
        <v>25</v>
      </c>
      <c r="AC355" t="s">
        <v>22</v>
      </c>
      <c r="AD355" t="s">
        <v>1723</v>
      </c>
      <c r="AE355">
        <v>1.4840403586799709E-4</v>
      </c>
      <c r="AG355" t="s">
        <v>97</v>
      </c>
      <c r="AH355" t="s">
        <v>1723</v>
      </c>
      <c r="AI355">
        <v>0</v>
      </c>
    </row>
    <row r="356" spans="5:35" x14ac:dyDescent="0.45">
      <c r="E356" t="s">
        <v>1042</v>
      </c>
      <c r="G356" t="s">
        <v>364</v>
      </c>
      <c r="I356" t="s">
        <v>236</v>
      </c>
      <c r="J356" t="s">
        <v>1724</v>
      </c>
      <c r="K356">
        <v>0</v>
      </c>
      <c r="L356" t="s">
        <v>238</v>
      </c>
      <c r="N356" t="s">
        <v>346</v>
      </c>
      <c r="O356" t="s">
        <v>1724</v>
      </c>
      <c r="P356">
        <v>8.6898063941946349E-5</v>
      </c>
      <c r="Q356" t="s">
        <v>238</v>
      </c>
      <c r="S356" t="s">
        <v>347</v>
      </c>
      <c r="T356" t="s">
        <v>1724</v>
      </c>
      <c r="U356">
        <v>8.8288432672848727E-5</v>
      </c>
      <c r="V356" t="s">
        <v>238</v>
      </c>
      <c r="X356">
        <v>1.1415525114155251E-4</v>
      </c>
      <c r="Y356">
        <v>2.2209515285616027E-4</v>
      </c>
      <c r="Z356" t="s">
        <v>1724</v>
      </c>
      <c r="AA356" t="s">
        <v>25</v>
      </c>
      <c r="AC356" t="s">
        <v>22</v>
      </c>
      <c r="AD356" t="s">
        <v>1724</v>
      </c>
      <c r="AE356">
        <v>1.4837537317868781E-4</v>
      </c>
      <c r="AG356" t="s">
        <v>97</v>
      </c>
      <c r="AH356" t="s">
        <v>1724</v>
      </c>
      <c r="AI356">
        <v>0</v>
      </c>
    </row>
    <row r="357" spans="5:35" x14ac:dyDescent="0.45">
      <c r="E357" t="s">
        <v>1043</v>
      </c>
      <c r="G357" t="s">
        <v>364</v>
      </c>
      <c r="I357" t="s">
        <v>236</v>
      </c>
      <c r="J357" t="s">
        <v>1725</v>
      </c>
      <c r="K357">
        <v>0</v>
      </c>
      <c r="L357" t="s">
        <v>238</v>
      </c>
      <c r="N357" t="s">
        <v>346</v>
      </c>
      <c r="O357" t="s">
        <v>1725</v>
      </c>
      <c r="P357">
        <v>9.0180076435996645E-5</v>
      </c>
      <c r="Q357" t="s">
        <v>238</v>
      </c>
      <c r="S357" t="s">
        <v>347</v>
      </c>
      <c r="T357" t="s">
        <v>1725</v>
      </c>
      <c r="U357">
        <v>9.1696009442634403E-5</v>
      </c>
      <c r="V357" t="s">
        <v>238</v>
      </c>
      <c r="X357">
        <v>1.1415525114155251E-4</v>
      </c>
      <c r="Y357">
        <v>1.7237235744060203E-4</v>
      </c>
      <c r="Z357" t="s">
        <v>1725</v>
      </c>
      <c r="AA357" t="s">
        <v>25</v>
      </c>
      <c r="AC357" t="s">
        <v>22</v>
      </c>
      <c r="AD357" t="s">
        <v>1725</v>
      </c>
      <c r="AE357">
        <v>1.4837537317868781E-4</v>
      </c>
      <c r="AG357" t="s">
        <v>97</v>
      </c>
      <c r="AH357" t="s">
        <v>1725</v>
      </c>
      <c r="AI357">
        <v>0</v>
      </c>
    </row>
    <row r="358" spans="5:35" x14ac:dyDescent="0.45">
      <c r="E358" t="s">
        <v>1044</v>
      </c>
      <c r="G358" t="s">
        <v>364</v>
      </c>
      <c r="I358" t="s">
        <v>236</v>
      </c>
      <c r="J358" t="s">
        <v>1726</v>
      </c>
      <c r="K358">
        <v>0</v>
      </c>
      <c r="L358" t="s">
        <v>238</v>
      </c>
      <c r="N358" t="s">
        <v>346</v>
      </c>
      <c r="O358" t="s">
        <v>1726</v>
      </c>
      <c r="P358">
        <v>9.4345365706123105E-5</v>
      </c>
      <c r="Q358" t="s">
        <v>238</v>
      </c>
      <c r="S358" t="s">
        <v>347</v>
      </c>
      <c r="T358" t="s">
        <v>1726</v>
      </c>
      <c r="U358">
        <v>9.4761235158374283E-5</v>
      </c>
      <c r="V358" t="s">
        <v>238</v>
      </c>
      <c r="X358">
        <v>1.1415525114155251E-4</v>
      </c>
      <c r="Y358">
        <v>1.5579809230208258E-4</v>
      </c>
      <c r="Z358" t="s">
        <v>1726</v>
      </c>
      <c r="AA358" t="s">
        <v>25</v>
      </c>
      <c r="AC358" t="s">
        <v>22</v>
      </c>
      <c r="AD358" t="s">
        <v>1726</v>
      </c>
      <c r="AE358">
        <v>1.4398711544543654E-4</v>
      </c>
      <c r="AG358" t="s">
        <v>97</v>
      </c>
      <c r="AH358" t="s">
        <v>1726</v>
      </c>
      <c r="AI358">
        <v>0</v>
      </c>
    </row>
    <row r="359" spans="5:35" x14ac:dyDescent="0.45">
      <c r="E359" t="s">
        <v>1045</v>
      </c>
      <c r="G359" t="s">
        <v>364</v>
      </c>
      <c r="I359" t="s">
        <v>236</v>
      </c>
      <c r="J359" t="s">
        <v>1727</v>
      </c>
      <c r="K359">
        <v>0</v>
      </c>
      <c r="L359" t="s">
        <v>238</v>
      </c>
      <c r="N359" t="s">
        <v>346</v>
      </c>
      <c r="O359" t="s">
        <v>1727</v>
      </c>
      <c r="P359">
        <v>9.6283965909147126E-5</v>
      </c>
      <c r="Q359" t="s">
        <v>238</v>
      </c>
      <c r="S359" t="s">
        <v>347</v>
      </c>
      <c r="T359" t="s">
        <v>1727</v>
      </c>
      <c r="U359">
        <v>9.8685583730626357E-5</v>
      </c>
      <c r="V359" t="s">
        <v>238</v>
      </c>
      <c r="X359">
        <v>1.1415525114155251E-4</v>
      </c>
      <c r="Y359">
        <v>1.093901499142282E-4</v>
      </c>
      <c r="Z359" t="s">
        <v>1727</v>
      </c>
      <c r="AA359" t="s">
        <v>25</v>
      </c>
      <c r="AC359" t="s">
        <v>22</v>
      </c>
      <c r="AD359" t="s">
        <v>1727</v>
      </c>
      <c r="AE359">
        <v>1.3434212049286273E-4</v>
      </c>
      <c r="AG359" t="s">
        <v>97</v>
      </c>
      <c r="AH359" t="s">
        <v>1727</v>
      </c>
      <c r="AI359">
        <v>0</v>
      </c>
    </row>
    <row r="360" spans="5:35" x14ac:dyDescent="0.45">
      <c r="E360" t="s">
        <v>1046</v>
      </c>
      <c r="G360" t="s">
        <v>364</v>
      </c>
      <c r="I360" t="s">
        <v>236</v>
      </c>
      <c r="J360" t="s">
        <v>1728</v>
      </c>
      <c r="K360">
        <v>0</v>
      </c>
      <c r="L360" t="s">
        <v>238</v>
      </c>
      <c r="N360" t="s">
        <v>346</v>
      </c>
      <c r="O360" t="s">
        <v>1728</v>
      </c>
      <c r="P360">
        <v>9.3724108968604321E-5</v>
      </c>
      <c r="Q360" t="s">
        <v>238</v>
      </c>
      <c r="S360" t="s">
        <v>347</v>
      </c>
      <c r="T360" t="s">
        <v>1728</v>
      </c>
      <c r="U360">
        <v>9.6773368321467364E-5</v>
      </c>
      <c r="V360" t="s">
        <v>238</v>
      </c>
      <c r="X360">
        <v>1.1415525114155251E-4</v>
      </c>
      <c r="Y360">
        <v>7.9556472664893237E-5</v>
      </c>
      <c r="Z360" t="s">
        <v>1728</v>
      </c>
      <c r="AA360" t="s">
        <v>25</v>
      </c>
      <c r="AC360" t="s">
        <v>22</v>
      </c>
      <c r="AD360" t="s">
        <v>1728</v>
      </c>
      <c r="AE360">
        <v>1.2130346312606982E-4</v>
      </c>
      <c r="AG360" t="s">
        <v>97</v>
      </c>
      <c r="AH360" t="s">
        <v>1728</v>
      </c>
      <c r="AI360">
        <v>0</v>
      </c>
    </row>
    <row r="361" spans="5:35" x14ac:dyDescent="0.45">
      <c r="E361" t="s">
        <v>1047</v>
      </c>
      <c r="G361" t="s">
        <v>364</v>
      </c>
      <c r="I361" t="s">
        <v>236</v>
      </c>
      <c r="J361" t="s">
        <v>1729</v>
      </c>
      <c r="K361">
        <v>0</v>
      </c>
      <c r="L361" t="s">
        <v>238</v>
      </c>
      <c r="N361" t="s">
        <v>346</v>
      </c>
      <c r="O361" t="s">
        <v>1729</v>
      </c>
      <c r="P361">
        <v>7.5275518336848541E-5</v>
      </c>
      <c r="Q361" t="s">
        <v>238</v>
      </c>
      <c r="S361" t="s">
        <v>347</v>
      </c>
      <c r="T361" t="s">
        <v>1729</v>
      </c>
      <c r="U361">
        <v>7.8940941478454929E-5</v>
      </c>
      <c r="V361" t="s">
        <v>238</v>
      </c>
      <c r="X361">
        <v>1.1415525114155251E-4</v>
      </c>
      <c r="Y361">
        <v>5.6352501470966035E-5</v>
      </c>
      <c r="Z361" t="s">
        <v>1729</v>
      </c>
      <c r="AA361" t="s">
        <v>25</v>
      </c>
      <c r="AC361" t="s">
        <v>22</v>
      </c>
      <c r="AD361" t="s">
        <v>1729</v>
      </c>
      <c r="AE361">
        <v>1.1117120245523821E-4</v>
      </c>
      <c r="AG361" t="s">
        <v>97</v>
      </c>
      <c r="AH361" t="s">
        <v>1729</v>
      </c>
      <c r="AI361">
        <v>0</v>
      </c>
    </row>
    <row r="362" spans="5:35" x14ac:dyDescent="0.45">
      <c r="E362" t="s">
        <v>1048</v>
      </c>
      <c r="G362" t="s">
        <v>364</v>
      </c>
      <c r="I362" t="s">
        <v>236</v>
      </c>
      <c r="J362" t="s">
        <v>1730</v>
      </c>
      <c r="K362">
        <v>0</v>
      </c>
      <c r="L362" t="s">
        <v>238</v>
      </c>
      <c r="N362" t="s">
        <v>346</v>
      </c>
      <c r="O362" t="s">
        <v>1730</v>
      </c>
      <c r="P362">
        <v>6.7008709030713244E-5</v>
      </c>
      <c r="Q362" t="s">
        <v>238</v>
      </c>
      <c r="S362" t="s">
        <v>347</v>
      </c>
      <c r="T362" t="s">
        <v>1730</v>
      </c>
      <c r="U362">
        <v>6.8400643112476503E-5</v>
      </c>
      <c r="V362" t="s">
        <v>238</v>
      </c>
      <c r="X362">
        <v>1.1415525114155251E-4</v>
      </c>
      <c r="Y362">
        <v>2.9833677249334962E-5</v>
      </c>
      <c r="Z362" t="s">
        <v>1730</v>
      </c>
      <c r="AA362" t="s">
        <v>25</v>
      </c>
      <c r="AC362" t="s">
        <v>22</v>
      </c>
      <c r="AD362" t="s">
        <v>1730</v>
      </c>
      <c r="AE362">
        <v>9.0026736551780011E-5</v>
      </c>
      <c r="AG362" t="s">
        <v>97</v>
      </c>
      <c r="AH362" t="s">
        <v>1730</v>
      </c>
      <c r="AI362">
        <v>0</v>
      </c>
    </row>
    <row r="363" spans="5:35" x14ac:dyDescent="0.45">
      <c r="E363" t="s">
        <v>1049</v>
      </c>
      <c r="G363" t="s">
        <v>364</v>
      </c>
      <c r="I363" t="s">
        <v>236</v>
      </c>
      <c r="J363" t="s">
        <v>1731</v>
      </c>
      <c r="K363">
        <v>0</v>
      </c>
      <c r="L363" t="s">
        <v>238</v>
      </c>
      <c r="N363" t="s">
        <v>346</v>
      </c>
      <c r="O363" t="s">
        <v>1731</v>
      </c>
      <c r="P363">
        <v>6.498738650218233E-5</v>
      </c>
      <c r="Q363" t="s">
        <v>238</v>
      </c>
      <c r="S363" t="s">
        <v>347</v>
      </c>
      <c r="T363" t="s">
        <v>1731</v>
      </c>
      <c r="U363">
        <v>6.2036344012389742E-5</v>
      </c>
      <c r="V363" t="s">
        <v>238</v>
      </c>
      <c r="X363">
        <v>1.1415525114155251E-4</v>
      </c>
      <c r="Y363">
        <v>2.1546544680075254E-5</v>
      </c>
      <c r="Z363" t="s">
        <v>1731</v>
      </c>
      <c r="AA363" t="s">
        <v>25</v>
      </c>
      <c r="AC363" t="s">
        <v>22</v>
      </c>
      <c r="AD363" t="s">
        <v>1731</v>
      </c>
      <c r="AE363">
        <v>8.2508513145955012E-5</v>
      </c>
      <c r="AG363" t="s">
        <v>97</v>
      </c>
      <c r="AH363" t="s">
        <v>1731</v>
      </c>
      <c r="AI363">
        <v>0</v>
      </c>
    </row>
    <row r="364" spans="5:35" x14ac:dyDescent="0.45">
      <c r="E364" t="s">
        <v>1050</v>
      </c>
      <c r="G364" t="s">
        <v>364</v>
      </c>
      <c r="I364" t="s">
        <v>236</v>
      </c>
      <c r="J364" t="s">
        <v>1732</v>
      </c>
      <c r="K364">
        <v>0</v>
      </c>
      <c r="L364" t="s">
        <v>238</v>
      </c>
      <c r="N364" t="s">
        <v>346</v>
      </c>
      <c r="O364" t="s">
        <v>1732</v>
      </c>
      <c r="P364">
        <v>6.4903058968192727E-5</v>
      </c>
      <c r="Q364" t="s">
        <v>238</v>
      </c>
      <c r="S364" t="s">
        <v>347</v>
      </c>
      <c r="T364" t="s">
        <v>1732</v>
      </c>
      <c r="U364">
        <v>5.4732086240874221E-5</v>
      </c>
      <c r="V364" t="s">
        <v>238</v>
      </c>
      <c r="X364">
        <v>1.1415525114155251E-4</v>
      </c>
      <c r="Y364">
        <v>1.4916838624667481E-5</v>
      </c>
      <c r="Z364" t="s">
        <v>1732</v>
      </c>
      <c r="AA364" t="s">
        <v>25</v>
      </c>
      <c r="AC364" t="s">
        <v>22</v>
      </c>
      <c r="AD364" t="s">
        <v>1732</v>
      </c>
      <c r="AE364">
        <v>7.7696047610926374E-5</v>
      </c>
      <c r="AG364" t="s">
        <v>97</v>
      </c>
      <c r="AH364" t="s">
        <v>1732</v>
      </c>
      <c r="AI364">
        <v>0</v>
      </c>
    </row>
    <row r="365" spans="5:35" x14ac:dyDescent="0.45">
      <c r="E365" t="s">
        <v>1051</v>
      </c>
      <c r="G365" t="s">
        <v>364</v>
      </c>
      <c r="I365" t="s">
        <v>236</v>
      </c>
      <c r="J365" t="s">
        <v>1733</v>
      </c>
      <c r="K365">
        <v>0</v>
      </c>
      <c r="L365" t="s">
        <v>238</v>
      </c>
      <c r="N365" t="s">
        <v>346</v>
      </c>
      <c r="O365" t="s">
        <v>1733</v>
      </c>
      <c r="P365">
        <v>6.7654573473390601E-5</v>
      </c>
      <c r="Q365" t="s">
        <v>238</v>
      </c>
      <c r="S365" t="s">
        <v>347</v>
      </c>
      <c r="T365" t="s">
        <v>1733</v>
      </c>
      <c r="U365">
        <v>4.5876980871826442E-5</v>
      </c>
      <c r="V365" t="s">
        <v>238</v>
      </c>
      <c r="X365">
        <v>1.1415525114155251E-4</v>
      </c>
      <c r="Y365">
        <v>1.6574265138519424E-5</v>
      </c>
      <c r="Z365" t="s">
        <v>1733</v>
      </c>
      <c r="AA365" t="s">
        <v>25</v>
      </c>
      <c r="AC365" t="s">
        <v>22</v>
      </c>
      <c r="AD365" t="s">
        <v>1733</v>
      </c>
      <c r="AE365">
        <v>7.6391895247353972E-5</v>
      </c>
      <c r="AG365" t="s">
        <v>97</v>
      </c>
      <c r="AH365" t="s">
        <v>1733</v>
      </c>
      <c r="AI365">
        <v>0</v>
      </c>
    </row>
    <row r="366" spans="5:35" x14ac:dyDescent="0.45">
      <c r="E366" t="s">
        <v>1052</v>
      </c>
      <c r="G366" t="s">
        <v>364</v>
      </c>
      <c r="I366" t="s">
        <v>236</v>
      </c>
      <c r="J366" t="s">
        <v>1734</v>
      </c>
      <c r="K366">
        <v>0</v>
      </c>
      <c r="L366" t="s">
        <v>238</v>
      </c>
      <c r="N366" t="s">
        <v>346</v>
      </c>
      <c r="O366" t="s">
        <v>1734</v>
      </c>
      <c r="P366">
        <v>6.9073715899344398E-5</v>
      </c>
      <c r="Q366" t="s">
        <v>238</v>
      </c>
      <c r="S366" t="s">
        <v>347</v>
      </c>
      <c r="T366" t="s">
        <v>1734</v>
      </c>
      <c r="U366">
        <v>3.6405734496483892E-5</v>
      </c>
      <c r="V366" t="s">
        <v>238</v>
      </c>
      <c r="X366">
        <v>1.1415525114155251E-4</v>
      </c>
      <c r="Y366">
        <v>1.4585353321897093E-5</v>
      </c>
      <c r="Z366" t="s">
        <v>1734</v>
      </c>
      <c r="AA366" t="s">
        <v>25</v>
      </c>
      <c r="AC366" t="s">
        <v>22</v>
      </c>
      <c r="AD366" t="s">
        <v>1734</v>
      </c>
      <c r="AE366">
        <v>7.6391895247353972E-5</v>
      </c>
      <c r="AG366" t="s">
        <v>97</v>
      </c>
      <c r="AH366" t="s">
        <v>1734</v>
      </c>
      <c r="AI366">
        <v>0</v>
      </c>
    </row>
    <row r="367" spans="5:35" x14ac:dyDescent="0.45">
      <c r="E367" t="s">
        <v>1053</v>
      </c>
      <c r="G367" t="s">
        <v>364</v>
      </c>
      <c r="I367" t="s">
        <v>236</v>
      </c>
      <c r="J367" t="s">
        <v>1735</v>
      </c>
      <c r="K367">
        <v>0</v>
      </c>
      <c r="L367" t="s">
        <v>238</v>
      </c>
      <c r="N367" t="s">
        <v>346</v>
      </c>
      <c r="O367" t="s">
        <v>1735</v>
      </c>
      <c r="P367">
        <v>6.6292581998677165E-5</v>
      </c>
      <c r="Q367" t="s">
        <v>238</v>
      </c>
      <c r="S367" t="s">
        <v>347</v>
      </c>
      <c r="T367" t="s">
        <v>1735</v>
      </c>
      <c r="U367">
        <v>3.1406225626306853E-5</v>
      </c>
      <c r="V367" t="s">
        <v>238</v>
      </c>
      <c r="X367">
        <v>1.1415525114155251E-4</v>
      </c>
      <c r="Y367">
        <v>2.1215059377304864E-5</v>
      </c>
      <c r="Z367" t="s">
        <v>1735</v>
      </c>
      <c r="AA367" t="s">
        <v>25</v>
      </c>
      <c r="AC367" t="s">
        <v>22</v>
      </c>
      <c r="AD367" t="s">
        <v>1735</v>
      </c>
      <c r="AE367">
        <v>7.7309101305251041E-5</v>
      </c>
      <c r="AG367" t="s">
        <v>97</v>
      </c>
      <c r="AH367" t="s">
        <v>1735</v>
      </c>
      <c r="AI367">
        <v>0</v>
      </c>
    </row>
    <row r="368" spans="5:35" x14ac:dyDescent="0.45">
      <c r="E368" t="s">
        <v>1054</v>
      </c>
      <c r="G368" t="s">
        <v>364</v>
      </c>
      <c r="I368" t="s">
        <v>236</v>
      </c>
      <c r="J368" t="s">
        <v>1736</v>
      </c>
      <c r="K368">
        <v>0</v>
      </c>
      <c r="L368" t="s">
        <v>238</v>
      </c>
      <c r="N368" t="s">
        <v>346</v>
      </c>
      <c r="O368" t="s">
        <v>1736</v>
      </c>
      <c r="P368">
        <v>6.2535932375303426E-5</v>
      </c>
      <c r="Q368" t="s">
        <v>238</v>
      </c>
      <c r="S368" t="s">
        <v>347</v>
      </c>
      <c r="T368" t="s">
        <v>1736</v>
      </c>
      <c r="U368">
        <v>2.8882515845772065E-5</v>
      </c>
      <c r="V368" t="s">
        <v>238</v>
      </c>
      <c r="X368">
        <v>1.1415525114155251E-4</v>
      </c>
      <c r="Y368">
        <v>5.7678442682047593E-5</v>
      </c>
      <c r="Z368" t="s">
        <v>1736</v>
      </c>
      <c r="AA368" t="s">
        <v>25</v>
      </c>
      <c r="AC368" t="s">
        <v>22</v>
      </c>
      <c r="AD368" t="s">
        <v>1736</v>
      </c>
      <c r="AE368">
        <v>8.2476984187714793E-5</v>
      </c>
      <c r="AG368" t="s">
        <v>97</v>
      </c>
      <c r="AH368" t="s">
        <v>1736</v>
      </c>
      <c r="AI368">
        <v>0</v>
      </c>
    </row>
    <row r="369" spans="5:35" x14ac:dyDescent="0.45">
      <c r="E369" t="s">
        <v>1055</v>
      </c>
      <c r="G369" t="s">
        <v>364</v>
      </c>
      <c r="I369" t="s">
        <v>236</v>
      </c>
      <c r="J369" t="s">
        <v>1737</v>
      </c>
      <c r="K369">
        <v>0</v>
      </c>
      <c r="L369" t="s">
        <v>238</v>
      </c>
      <c r="N369" t="s">
        <v>346</v>
      </c>
      <c r="O369" t="s">
        <v>1737</v>
      </c>
      <c r="P369">
        <v>5.6672656047692817E-5</v>
      </c>
      <c r="Q369" t="s">
        <v>238</v>
      </c>
      <c r="S369" t="s">
        <v>347</v>
      </c>
      <c r="T369" t="s">
        <v>1737</v>
      </c>
      <c r="U369">
        <v>2.69591371214509E-5</v>
      </c>
      <c r="V369" t="s">
        <v>238</v>
      </c>
      <c r="X369">
        <v>1.1415525114155251E-4</v>
      </c>
      <c r="Y369">
        <v>1.6905750441289813E-4</v>
      </c>
      <c r="Z369" t="s">
        <v>1737</v>
      </c>
      <c r="AA369" t="s">
        <v>25</v>
      </c>
      <c r="AC369" t="s">
        <v>22</v>
      </c>
      <c r="AD369" t="s">
        <v>1737</v>
      </c>
      <c r="AE369">
        <v>9.0023870282849057E-5</v>
      </c>
      <c r="AG369" t="s">
        <v>97</v>
      </c>
      <c r="AH369" t="s">
        <v>1737</v>
      </c>
      <c r="AI369">
        <v>0</v>
      </c>
    </row>
    <row r="370" spans="5:35" x14ac:dyDescent="0.45">
      <c r="E370" t="s">
        <v>1056</v>
      </c>
      <c r="G370" t="s">
        <v>364</v>
      </c>
      <c r="I370" t="s">
        <v>236</v>
      </c>
      <c r="J370" t="s">
        <v>1738</v>
      </c>
      <c r="K370">
        <v>0</v>
      </c>
      <c r="L370" t="s">
        <v>238</v>
      </c>
      <c r="N370" t="s">
        <v>346</v>
      </c>
      <c r="O370" t="s">
        <v>1738</v>
      </c>
      <c r="P370">
        <v>5.2744035194607078E-5</v>
      </c>
      <c r="Q370" t="s">
        <v>238</v>
      </c>
      <c r="S370" t="s">
        <v>347</v>
      </c>
      <c r="T370" t="s">
        <v>1738</v>
      </c>
      <c r="U370">
        <v>2.2371053809449999E-5</v>
      </c>
      <c r="V370" t="s">
        <v>238</v>
      </c>
      <c r="X370">
        <v>1.1415525114155251E-4</v>
      </c>
      <c r="Y370">
        <v>1.9060404909297337E-4</v>
      </c>
      <c r="Z370" t="s">
        <v>1738</v>
      </c>
      <c r="AA370" t="s">
        <v>25</v>
      </c>
      <c r="AC370" t="s">
        <v>22</v>
      </c>
      <c r="AD370" t="s">
        <v>1738</v>
      </c>
      <c r="AE370">
        <v>9.9316314156918683E-5</v>
      </c>
      <c r="AG370" t="s">
        <v>97</v>
      </c>
      <c r="AH370" t="s">
        <v>1738</v>
      </c>
      <c r="AI370">
        <v>0</v>
      </c>
    </row>
    <row r="371" spans="5:35" x14ac:dyDescent="0.45">
      <c r="E371" t="s">
        <v>1057</v>
      </c>
      <c r="G371" t="s">
        <v>364</v>
      </c>
      <c r="I371" t="s">
        <v>236</v>
      </c>
      <c r="J371" t="s">
        <v>1739</v>
      </c>
      <c r="K371">
        <v>2.1273588534918524E-6</v>
      </c>
      <c r="L371" t="s">
        <v>238</v>
      </c>
      <c r="N371" t="s">
        <v>346</v>
      </c>
      <c r="O371" t="s">
        <v>1739</v>
      </c>
      <c r="P371">
        <v>5.1873602643943926E-5</v>
      </c>
      <c r="Q371" t="s">
        <v>238</v>
      </c>
      <c r="S371" t="s">
        <v>347</v>
      </c>
      <c r="T371" t="s">
        <v>1739</v>
      </c>
      <c r="U371">
        <v>1.5987718808857655E-5</v>
      </c>
      <c r="V371" t="s">
        <v>238</v>
      </c>
      <c r="X371">
        <v>1.1415525114155251E-4</v>
      </c>
      <c r="Y371">
        <v>1.4585353321897094E-4</v>
      </c>
      <c r="Z371" t="s">
        <v>1739</v>
      </c>
      <c r="AA371" t="s">
        <v>25</v>
      </c>
      <c r="AC371" t="s">
        <v>22</v>
      </c>
      <c r="AD371" t="s">
        <v>1739</v>
      </c>
      <c r="AE371">
        <v>1.1144923054153825E-4</v>
      </c>
      <c r="AG371" t="s">
        <v>97</v>
      </c>
      <c r="AH371" t="s">
        <v>1739</v>
      </c>
      <c r="AI371">
        <v>0</v>
      </c>
    </row>
    <row r="372" spans="5:35" x14ac:dyDescent="0.45">
      <c r="E372" t="s">
        <v>1058</v>
      </c>
      <c r="G372" t="s">
        <v>364</v>
      </c>
      <c r="I372" t="s">
        <v>236</v>
      </c>
      <c r="J372" t="s">
        <v>1740</v>
      </c>
      <c r="K372">
        <v>9.5103715994648106E-6</v>
      </c>
      <c r="L372" t="s">
        <v>238</v>
      </c>
      <c r="N372" t="s">
        <v>346</v>
      </c>
      <c r="O372" t="s">
        <v>1740</v>
      </c>
      <c r="P372">
        <v>4.6975454233377112E-5</v>
      </c>
      <c r="Q372" t="s">
        <v>238</v>
      </c>
      <c r="S372" t="s">
        <v>347</v>
      </c>
      <c r="T372" t="s">
        <v>1740</v>
      </c>
      <c r="U372">
        <v>1.1453323351901594E-5</v>
      </c>
      <c r="V372" t="s">
        <v>238</v>
      </c>
      <c r="X372">
        <v>1.1415525114155251E-4</v>
      </c>
      <c r="Y372">
        <v>1.4452759200788939E-4</v>
      </c>
      <c r="Z372" t="s">
        <v>1740</v>
      </c>
      <c r="AA372" t="s">
        <v>25</v>
      </c>
      <c r="AC372" t="s">
        <v>22</v>
      </c>
      <c r="AD372" t="s">
        <v>1740</v>
      </c>
      <c r="AE372">
        <v>1.1855184495237862E-4</v>
      </c>
      <c r="AG372" t="s">
        <v>97</v>
      </c>
      <c r="AH372" t="s">
        <v>1740</v>
      </c>
      <c r="AI372">
        <v>0</v>
      </c>
    </row>
    <row r="373" spans="5:35" x14ac:dyDescent="0.45">
      <c r="E373" t="s">
        <v>1059</v>
      </c>
      <c r="G373" t="s">
        <v>364</v>
      </c>
      <c r="I373" t="s">
        <v>236</v>
      </c>
      <c r="J373" t="s">
        <v>1741</v>
      </c>
      <c r="K373">
        <v>2.5169623087564918E-5</v>
      </c>
      <c r="L373" t="s">
        <v>238</v>
      </c>
      <c r="N373" t="s">
        <v>346</v>
      </c>
      <c r="O373" t="s">
        <v>1741</v>
      </c>
      <c r="P373">
        <v>3.0618835603642619E-5</v>
      </c>
      <c r="Q373" t="s">
        <v>238</v>
      </c>
      <c r="S373" t="s">
        <v>347</v>
      </c>
      <c r="T373" t="s">
        <v>1741</v>
      </c>
      <c r="U373">
        <v>9.0523406726739941E-6</v>
      </c>
      <c r="V373" t="s">
        <v>238</v>
      </c>
      <c r="X373">
        <v>1.1415525114155251E-4</v>
      </c>
      <c r="Y373">
        <v>1.408812536774151E-4</v>
      </c>
      <c r="Z373" t="s">
        <v>1741</v>
      </c>
      <c r="AA373" t="s">
        <v>25</v>
      </c>
      <c r="AC373" t="s">
        <v>22</v>
      </c>
      <c r="AD373" t="s">
        <v>1741</v>
      </c>
      <c r="AE373">
        <v>1.1629035876587619E-4</v>
      </c>
      <c r="AG373" t="s">
        <v>97</v>
      </c>
      <c r="AH373" t="s">
        <v>1741</v>
      </c>
      <c r="AI373">
        <v>0</v>
      </c>
    </row>
    <row r="374" spans="5:35" x14ac:dyDescent="0.45">
      <c r="E374" t="s">
        <v>1060</v>
      </c>
      <c r="G374" t="s">
        <v>364</v>
      </c>
      <c r="I374" t="s">
        <v>236</v>
      </c>
      <c r="J374" t="s">
        <v>1742</v>
      </c>
      <c r="K374">
        <v>4.0194526030276089E-5</v>
      </c>
      <c r="L374" t="s">
        <v>238</v>
      </c>
      <c r="N374" t="s">
        <v>346</v>
      </c>
      <c r="O374" t="s">
        <v>1742</v>
      </c>
      <c r="P374">
        <v>2.2978434279760545E-5</v>
      </c>
      <c r="Q374" t="s">
        <v>238</v>
      </c>
      <c r="S374" t="s">
        <v>347</v>
      </c>
      <c r="T374" t="s">
        <v>1742</v>
      </c>
      <c r="U374">
        <v>4.9968273226051499E-6</v>
      </c>
      <c r="V374" t="s">
        <v>238</v>
      </c>
      <c r="X374">
        <v>1.1415525114155251E-4</v>
      </c>
      <c r="Y374">
        <v>1.4054976837464471E-4</v>
      </c>
      <c r="Z374" t="s">
        <v>1742</v>
      </c>
      <c r="AA374" t="s">
        <v>25</v>
      </c>
      <c r="AC374" t="s">
        <v>22</v>
      </c>
      <c r="AD374" t="s">
        <v>1742</v>
      </c>
      <c r="AE374">
        <v>1.1612984770574418E-4</v>
      </c>
      <c r="AG374" t="s">
        <v>97</v>
      </c>
      <c r="AH374" t="s">
        <v>1742</v>
      </c>
      <c r="AI374">
        <v>0</v>
      </c>
    </row>
    <row r="375" spans="5:35" x14ac:dyDescent="0.45">
      <c r="E375" t="s">
        <v>1061</v>
      </c>
      <c r="G375" t="s">
        <v>364</v>
      </c>
      <c r="I375" t="s">
        <v>236</v>
      </c>
      <c r="J375" t="s">
        <v>1743</v>
      </c>
      <c r="K375">
        <v>4.8381080852339821E-5</v>
      </c>
      <c r="L375" t="s">
        <v>238</v>
      </c>
      <c r="N375" t="s">
        <v>346</v>
      </c>
      <c r="O375" t="s">
        <v>1743</v>
      </c>
      <c r="P375">
        <v>1.9443649315598576E-5</v>
      </c>
      <c r="Q375" t="s">
        <v>238</v>
      </c>
      <c r="S375" t="s">
        <v>347</v>
      </c>
      <c r="T375" t="s">
        <v>1743</v>
      </c>
      <c r="U375">
        <v>4.2371338231144342E-6</v>
      </c>
      <c r="V375" t="s">
        <v>238</v>
      </c>
      <c r="X375">
        <v>1.1415525114155251E-4</v>
      </c>
      <c r="Y375">
        <v>1.4253868019126702E-4</v>
      </c>
      <c r="Z375" t="s">
        <v>1743</v>
      </c>
      <c r="AA375" t="s">
        <v>25</v>
      </c>
      <c r="AC375" t="s">
        <v>22</v>
      </c>
      <c r="AD375" t="s">
        <v>1743</v>
      </c>
      <c r="AE375">
        <v>1.1647666624638654E-4</v>
      </c>
      <c r="AG375" t="s">
        <v>97</v>
      </c>
      <c r="AH375" t="s">
        <v>1743</v>
      </c>
      <c r="AI375">
        <v>0</v>
      </c>
    </row>
    <row r="376" spans="5:35" x14ac:dyDescent="0.45">
      <c r="E376" t="s">
        <v>1062</v>
      </c>
      <c r="G376" t="s">
        <v>364</v>
      </c>
      <c r="I376" t="s">
        <v>236</v>
      </c>
      <c r="J376" t="s">
        <v>1744</v>
      </c>
      <c r="K376">
        <v>5.1821577692314549E-5</v>
      </c>
      <c r="L376" t="s">
        <v>238</v>
      </c>
      <c r="N376" t="s">
        <v>346</v>
      </c>
      <c r="O376" t="s">
        <v>1744</v>
      </c>
      <c r="P376">
        <v>1.537994974780184E-5</v>
      </c>
      <c r="Q376" t="s">
        <v>238</v>
      </c>
      <c r="S376" t="s">
        <v>347</v>
      </c>
      <c r="T376" t="s">
        <v>1744</v>
      </c>
      <c r="U376">
        <v>6.0345082041262182E-6</v>
      </c>
      <c r="V376" t="s">
        <v>238</v>
      </c>
      <c r="X376">
        <v>1.1415525114155251E-4</v>
      </c>
      <c r="Y376">
        <v>1.4883690094390442E-4</v>
      </c>
      <c r="Z376" t="s">
        <v>1744</v>
      </c>
      <c r="AA376" t="s">
        <v>25</v>
      </c>
      <c r="AC376" t="s">
        <v>22</v>
      </c>
      <c r="AD376" t="s">
        <v>1744</v>
      </c>
      <c r="AE376">
        <v>1.1672029910551544E-4</v>
      </c>
      <c r="AG376" t="s">
        <v>97</v>
      </c>
      <c r="AH376" t="s">
        <v>1744</v>
      </c>
      <c r="AI376">
        <v>0</v>
      </c>
    </row>
    <row r="377" spans="5:35" x14ac:dyDescent="0.45">
      <c r="E377" t="s">
        <v>1063</v>
      </c>
      <c r="G377" t="s">
        <v>364</v>
      </c>
      <c r="I377" t="s">
        <v>236</v>
      </c>
      <c r="J377" t="s">
        <v>1745</v>
      </c>
      <c r="K377">
        <v>3.4210302826929053E-5</v>
      </c>
      <c r="L377" t="s">
        <v>238</v>
      </c>
      <c r="N377" t="s">
        <v>346</v>
      </c>
      <c r="O377" t="s">
        <v>1745</v>
      </c>
      <c r="P377">
        <v>1.7172834114214999E-5</v>
      </c>
      <c r="Q377" t="s">
        <v>238</v>
      </c>
      <c r="S377" t="s">
        <v>347</v>
      </c>
      <c r="T377" t="s">
        <v>1745</v>
      </c>
      <c r="U377">
        <v>8.8580431665196063E-6</v>
      </c>
      <c r="V377" t="s">
        <v>238</v>
      </c>
      <c r="X377">
        <v>1.1415525114155251E-4</v>
      </c>
      <c r="Y377">
        <v>1.5049432745775637E-4</v>
      </c>
      <c r="Z377" t="s">
        <v>1745</v>
      </c>
      <c r="AA377" t="s">
        <v>25</v>
      </c>
      <c r="AC377" t="s">
        <v>22</v>
      </c>
      <c r="AD377" t="s">
        <v>1745</v>
      </c>
      <c r="AE377">
        <v>1.1672029910551544E-4</v>
      </c>
      <c r="AG377" t="s">
        <v>97</v>
      </c>
      <c r="AH377" t="s">
        <v>1745</v>
      </c>
      <c r="AI377">
        <v>0</v>
      </c>
    </row>
    <row r="378" spans="5:35" x14ac:dyDescent="0.45">
      <c r="E378" t="s">
        <v>1064</v>
      </c>
      <c r="G378" t="s">
        <v>364</v>
      </c>
      <c r="I378" t="s">
        <v>236</v>
      </c>
      <c r="J378" t="s">
        <v>1746</v>
      </c>
      <c r="K378">
        <v>1.9133024896126581E-5</v>
      </c>
      <c r="L378" t="s">
        <v>238</v>
      </c>
      <c r="N378" t="s">
        <v>346</v>
      </c>
      <c r="O378" t="s">
        <v>1746</v>
      </c>
      <c r="P378">
        <v>2.5293825528934271E-5</v>
      </c>
      <c r="Q378" t="s">
        <v>238</v>
      </c>
      <c r="S378" t="s">
        <v>347</v>
      </c>
      <c r="T378" t="s">
        <v>1746</v>
      </c>
      <c r="U378">
        <v>1.3163670857608581E-5</v>
      </c>
      <c r="V378" t="s">
        <v>238</v>
      </c>
      <c r="X378">
        <v>1.1415525114155251E-4</v>
      </c>
      <c r="Y378">
        <v>1.7237235744060203E-4</v>
      </c>
      <c r="Z378" t="s">
        <v>1746</v>
      </c>
      <c r="AA378" t="s">
        <v>25</v>
      </c>
      <c r="AC378" t="s">
        <v>22</v>
      </c>
      <c r="AD378" t="s">
        <v>1746</v>
      </c>
      <c r="AE378">
        <v>1.1732508184994131E-4</v>
      </c>
      <c r="AG378" t="s">
        <v>97</v>
      </c>
      <c r="AH378" t="s">
        <v>1746</v>
      </c>
      <c r="AI378">
        <v>0</v>
      </c>
    </row>
    <row r="379" spans="5:35" x14ac:dyDescent="0.45">
      <c r="E379" t="s">
        <v>1065</v>
      </c>
      <c r="G379" t="s">
        <v>364</v>
      </c>
      <c r="I379" t="s">
        <v>236</v>
      </c>
      <c r="J379" t="s">
        <v>1747</v>
      </c>
      <c r="K379">
        <v>6.5091920734732989E-6</v>
      </c>
      <c r="L379" t="s">
        <v>238</v>
      </c>
      <c r="N379" t="s">
        <v>346</v>
      </c>
      <c r="O379" t="s">
        <v>1747</v>
      </c>
      <c r="P379">
        <v>3.1403632439903803E-5</v>
      </c>
      <c r="Q379" t="s">
        <v>238</v>
      </c>
      <c r="S379" t="s">
        <v>347</v>
      </c>
      <c r="T379" t="s">
        <v>1747</v>
      </c>
      <c r="U379">
        <v>2.0462335839741245E-5</v>
      </c>
      <c r="V379" t="s">
        <v>238</v>
      </c>
      <c r="X379">
        <v>1.1415525114155251E-4</v>
      </c>
      <c r="Y379">
        <v>2.2209515285616027E-4</v>
      </c>
      <c r="Z379" t="s">
        <v>1747</v>
      </c>
      <c r="AA379" t="s">
        <v>25</v>
      </c>
      <c r="AC379" t="s">
        <v>22</v>
      </c>
      <c r="AD379" t="s">
        <v>1747</v>
      </c>
      <c r="AE379">
        <v>1.2499808377803643E-4</v>
      </c>
      <c r="AG379" t="s">
        <v>97</v>
      </c>
      <c r="AH379" t="s">
        <v>1747</v>
      </c>
      <c r="AI379">
        <v>0</v>
      </c>
    </row>
    <row r="380" spans="5:35" x14ac:dyDescent="0.45">
      <c r="E380" t="s">
        <v>1066</v>
      </c>
      <c r="G380" t="s">
        <v>364</v>
      </c>
      <c r="I380" t="s">
        <v>236</v>
      </c>
      <c r="J380" t="s">
        <v>1748</v>
      </c>
      <c r="K380">
        <v>0</v>
      </c>
      <c r="L380" t="s">
        <v>238</v>
      </c>
      <c r="N380" t="s">
        <v>346</v>
      </c>
      <c r="O380" t="s">
        <v>1748</v>
      </c>
      <c r="P380">
        <v>3.1882308107665775E-5</v>
      </c>
      <c r="Q380" t="s">
        <v>238</v>
      </c>
      <c r="S380" t="s">
        <v>347</v>
      </c>
      <c r="T380" t="s">
        <v>1748</v>
      </c>
      <c r="U380">
        <v>2.7332816685653849E-5</v>
      </c>
      <c r="V380" t="s">
        <v>238</v>
      </c>
      <c r="X380">
        <v>1.1415525114155251E-4</v>
      </c>
      <c r="Y380">
        <v>2.2209515285616027E-4</v>
      </c>
      <c r="Z380" t="s">
        <v>1748</v>
      </c>
      <c r="AA380" t="s">
        <v>25</v>
      </c>
      <c r="AC380" t="s">
        <v>22</v>
      </c>
      <c r="AD380" t="s">
        <v>1748</v>
      </c>
      <c r="AE380">
        <v>1.2627070718336858E-4</v>
      </c>
      <c r="AG380" t="s">
        <v>97</v>
      </c>
      <c r="AH380" t="s">
        <v>1748</v>
      </c>
      <c r="AI380">
        <v>0</v>
      </c>
    </row>
    <row r="381" spans="5:35" x14ac:dyDescent="0.45">
      <c r="E381" t="s">
        <v>1067</v>
      </c>
      <c r="G381" t="s">
        <v>364</v>
      </c>
      <c r="I381" t="s">
        <v>236</v>
      </c>
      <c r="J381" t="s">
        <v>1749</v>
      </c>
      <c r="K381">
        <v>0</v>
      </c>
      <c r="L381" t="s">
        <v>238</v>
      </c>
      <c r="N381" t="s">
        <v>346</v>
      </c>
      <c r="O381" t="s">
        <v>1749</v>
      </c>
      <c r="P381">
        <v>3.0879816740406298E-5</v>
      </c>
      <c r="Q381" t="s">
        <v>238</v>
      </c>
      <c r="S381" t="s">
        <v>347</v>
      </c>
      <c r="T381" t="s">
        <v>1749</v>
      </c>
      <c r="U381">
        <v>3.666923732884753E-5</v>
      </c>
      <c r="V381" t="s">
        <v>238</v>
      </c>
      <c r="X381">
        <v>1.1415525114155251E-4</v>
      </c>
      <c r="Y381">
        <v>1.7237235744060203E-4</v>
      </c>
      <c r="Z381" t="s">
        <v>1749</v>
      </c>
      <c r="AA381" t="s">
        <v>25</v>
      </c>
      <c r="AC381" t="s">
        <v>22</v>
      </c>
      <c r="AD381" t="s">
        <v>1749</v>
      </c>
      <c r="AE381">
        <v>1.2865257666497005E-4</v>
      </c>
      <c r="AG381" t="s">
        <v>97</v>
      </c>
      <c r="AH381" t="s">
        <v>1749</v>
      </c>
      <c r="AI381">
        <v>0</v>
      </c>
    </row>
    <row r="382" spans="5:35" x14ac:dyDescent="0.45">
      <c r="E382" t="s">
        <v>1068</v>
      </c>
      <c r="G382" t="s">
        <v>364</v>
      </c>
      <c r="I382" t="s">
        <v>236</v>
      </c>
      <c r="J382" t="s">
        <v>1750</v>
      </c>
      <c r="K382">
        <v>0</v>
      </c>
      <c r="L382" t="s">
        <v>238</v>
      </c>
      <c r="N382" t="s">
        <v>346</v>
      </c>
      <c r="O382" t="s">
        <v>1750</v>
      </c>
      <c r="P382">
        <v>2.8872600709098242E-5</v>
      </c>
      <c r="Q382" t="s">
        <v>238</v>
      </c>
      <c r="S382" t="s">
        <v>347</v>
      </c>
      <c r="T382" t="s">
        <v>1750</v>
      </c>
      <c r="U382">
        <v>4.2348388238668301E-5</v>
      </c>
      <c r="V382" t="s">
        <v>238</v>
      </c>
      <c r="X382">
        <v>1.1415525114155251E-4</v>
      </c>
      <c r="Y382">
        <v>1.5579809230208258E-4</v>
      </c>
      <c r="Z382" t="s">
        <v>1750</v>
      </c>
      <c r="AA382" t="s">
        <v>25</v>
      </c>
      <c r="AC382" t="s">
        <v>22</v>
      </c>
      <c r="AD382" t="s">
        <v>1750</v>
      </c>
      <c r="AE382">
        <v>1.2603280686210156E-4</v>
      </c>
      <c r="AG382" t="s">
        <v>97</v>
      </c>
      <c r="AH382" t="s">
        <v>1750</v>
      </c>
      <c r="AI382">
        <v>0</v>
      </c>
    </row>
    <row r="383" spans="5:35" x14ac:dyDescent="0.45">
      <c r="E383" t="s">
        <v>1069</v>
      </c>
      <c r="G383" t="s">
        <v>364</v>
      </c>
      <c r="I383" t="s">
        <v>236</v>
      </c>
      <c r="J383" t="s">
        <v>1751</v>
      </c>
      <c r="K383">
        <v>0</v>
      </c>
      <c r="L383" t="s">
        <v>238</v>
      </c>
      <c r="N383" t="s">
        <v>346</v>
      </c>
      <c r="O383" t="s">
        <v>1751</v>
      </c>
      <c r="P383">
        <v>2.9212630083494569E-5</v>
      </c>
      <c r="Q383" t="s">
        <v>238</v>
      </c>
      <c r="S383" t="s">
        <v>347</v>
      </c>
      <c r="T383" t="s">
        <v>1751</v>
      </c>
      <c r="U383">
        <v>5.3038145536506392E-5</v>
      </c>
      <c r="V383" t="s">
        <v>238</v>
      </c>
      <c r="X383">
        <v>1.1415525114155251E-4</v>
      </c>
      <c r="Y383">
        <v>1.093901499142282E-4</v>
      </c>
      <c r="Z383" t="s">
        <v>1751</v>
      </c>
      <c r="AA383" t="s">
        <v>25</v>
      </c>
      <c r="AC383" t="s">
        <v>22</v>
      </c>
      <c r="AD383" t="s">
        <v>1751</v>
      </c>
      <c r="AE383">
        <v>1.2120314371348736E-4</v>
      </c>
      <c r="AG383" t="s">
        <v>97</v>
      </c>
      <c r="AH383" t="s">
        <v>1751</v>
      </c>
      <c r="AI383">
        <v>0</v>
      </c>
    </row>
    <row r="384" spans="5:35" x14ac:dyDescent="0.45">
      <c r="E384" t="s">
        <v>1070</v>
      </c>
      <c r="G384" t="s">
        <v>364</v>
      </c>
      <c r="I384" t="s">
        <v>236</v>
      </c>
      <c r="J384" t="s">
        <v>1752</v>
      </c>
      <c r="K384">
        <v>0</v>
      </c>
      <c r="L384" t="s">
        <v>238</v>
      </c>
      <c r="N384" t="s">
        <v>346</v>
      </c>
      <c r="O384" t="s">
        <v>1752</v>
      </c>
      <c r="P384">
        <v>3.3434699151829467E-5</v>
      </c>
      <c r="Q384" t="s">
        <v>238</v>
      </c>
      <c r="S384" t="s">
        <v>347</v>
      </c>
      <c r="T384" t="s">
        <v>1752</v>
      </c>
      <c r="U384">
        <v>5.6972375356081309E-5</v>
      </c>
      <c r="V384" t="s">
        <v>238</v>
      </c>
      <c r="X384">
        <v>1.1415525114155251E-4</v>
      </c>
      <c r="Y384">
        <v>7.9556472664893237E-5</v>
      </c>
      <c r="Z384" t="s">
        <v>1752</v>
      </c>
      <c r="AA384" t="s">
        <v>25</v>
      </c>
      <c r="AC384" t="s">
        <v>22</v>
      </c>
      <c r="AD384" t="s">
        <v>1752</v>
      </c>
      <c r="AE384">
        <v>1.134355549106716E-4</v>
      </c>
      <c r="AG384" t="s">
        <v>97</v>
      </c>
      <c r="AH384" t="s">
        <v>1752</v>
      </c>
      <c r="AI384">
        <v>0</v>
      </c>
    </row>
    <row r="385" spans="5:35" x14ac:dyDescent="0.45">
      <c r="E385" t="s">
        <v>1071</v>
      </c>
      <c r="G385" t="s">
        <v>364</v>
      </c>
      <c r="I385" t="s">
        <v>236</v>
      </c>
      <c r="J385" t="s">
        <v>1753</v>
      </c>
      <c r="K385">
        <v>0</v>
      </c>
      <c r="L385" t="s">
        <v>238</v>
      </c>
      <c r="N385" t="s">
        <v>346</v>
      </c>
      <c r="O385" t="s">
        <v>1753</v>
      </c>
      <c r="P385">
        <v>4.3376891375878118E-5</v>
      </c>
      <c r="Q385" t="s">
        <v>238</v>
      </c>
      <c r="S385" t="s">
        <v>347</v>
      </c>
      <c r="T385" t="s">
        <v>1753</v>
      </c>
      <c r="U385">
        <v>6.9519372810330509E-5</v>
      </c>
      <c r="V385" t="s">
        <v>238</v>
      </c>
      <c r="X385">
        <v>1.1415525114155251E-4</v>
      </c>
      <c r="Y385">
        <v>5.6352501470966035E-5</v>
      </c>
      <c r="Z385" t="s">
        <v>1753</v>
      </c>
      <c r="AA385" t="s">
        <v>25</v>
      </c>
      <c r="AC385" t="s">
        <v>22</v>
      </c>
      <c r="AD385" t="s">
        <v>1753</v>
      </c>
      <c r="AE385">
        <v>1.0606064495139304E-4</v>
      </c>
      <c r="AG385" t="s">
        <v>97</v>
      </c>
      <c r="AH385" t="s">
        <v>1753</v>
      </c>
      <c r="AI385">
        <v>0</v>
      </c>
    </row>
    <row r="386" spans="5:35" x14ac:dyDescent="0.45">
      <c r="E386" t="s">
        <v>1072</v>
      </c>
      <c r="G386" t="s">
        <v>364</v>
      </c>
      <c r="I386" t="s">
        <v>236</v>
      </c>
      <c r="J386" t="s">
        <v>1754</v>
      </c>
      <c r="K386">
        <v>0</v>
      </c>
      <c r="L386" t="s">
        <v>238</v>
      </c>
      <c r="N386" t="s">
        <v>346</v>
      </c>
      <c r="O386" t="s">
        <v>1754</v>
      </c>
      <c r="P386">
        <v>5.3620221217093023E-5</v>
      </c>
      <c r="Q386" t="s">
        <v>238</v>
      </c>
      <c r="S386" t="s">
        <v>347</v>
      </c>
      <c r="T386" t="s">
        <v>1754</v>
      </c>
      <c r="U386">
        <v>8.5606382922255353E-5</v>
      </c>
      <c r="V386" t="s">
        <v>238</v>
      </c>
      <c r="X386">
        <v>1.1415525114155251E-4</v>
      </c>
      <c r="Y386">
        <v>2.9833677249334962E-5</v>
      </c>
      <c r="Z386" t="s">
        <v>1754</v>
      </c>
      <c r="AA386" t="s">
        <v>25</v>
      </c>
      <c r="AC386" t="s">
        <v>22</v>
      </c>
      <c r="AD386" t="s">
        <v>1754</v>
      </c>
      <c r="AE386">
        <v>9.1723567758889561E-5</v>
      </c>
      <c r="AG386" t="s">
        <v>97</v>
      </c>
      <c r="AH386" t="s">
        <v>1754</v>
      </c>
      <c r="AI386">
        <v>0</v>
      </c>
    </row>
    <row r="387" spans="5:35" x14ac:dyDescent="0.45">
      <c r="E387" t="s">
        <v>1073</v>
      </c>
      <c r="G387" t="s">
        <v>364</v>
      </c>
      <c r="I387" t="s">
        <v>236</v>
      </c>
      <c r="J387" t="s">
        <v>1755</v>
      </c>
      <c r="K387">
        <v>0</v>
      </c>
      <c r="L387" t="s">
        <v>238</v>
      </c>
      <c r="N387" t="s">
        <v>346</v>
      </c>
      <c r="O387" t="s">
        <v>1755</v>
      </c>
      <c r="P387">
        <v>6.4364237782570349E-5</v>
      </c>
      <c r="Q387" t="s">
        <v>238</v>
      </c>
      <c r="S387" t="s">
        <v>347</v>
      </c>
      <c r="T387" t="s">
        <v>1755</v>
      </c>
      <c r="U387">
        <v>1.069072072654E-4</v>
      </c>
      <c r="V387" t="s">
        <v>238</v>
      </c>
      <c r="X387">
        <v>1.1415525114155251E-4</v>
      </c>
      <c r="Y387">
        <v>2.1546544680075254E-5</v>
      </c>
      <c r="Z387" t="s">
        <v>1755</v>
      </c>
      <c r="AA387" t="s">
        <v>25</v>
      </c>
      <c r="AC387" t="s">
        <v>22</v>
      </c>
      <c r="AD387" t="s">
        <v>1755</v>
      </c>
      <c r="AE387">
        <v>8.3239411723341747E-5</v>
      </c>
      <c r="AG387" t="s">
        <v>97</v>
      </c>
      <c r="AH387" t="s">
        <v>1755</v>
      </c>
      <c r="AI387">
        <v>0</v>
      </c>
    </row>
    <row r="388" spans="5:35" x14ac:dyDescent="0.45">
      <c r="E388" t="s">
        <v>1074</v>
      </c>
      <c r="G388" t="s">
        <v>364</v>
      </c>
      <c r="I388" t="s">
        <v>236</v>
      </c>
      <c r="J388" t="s">
        <v>1756</v>
      </c>
      <c r="K388">
        <v>0</v>
      </c>
      <c r="L388" t="s">
        <v>238</v>
      </c>
      <c r="N388" t="s">
        <v>346</v>
      </c>
      <c r="O388" t="s">
        <v>1756</v>
      </c>
      <c r="P388">
        <v>7.6433605766161304E-5</v>
      </c>
      <c r="Q388" t="s">
        <v>238</v>
      </c>
      <c r="S388" t="s">
        <v>347</v>
      </c>
      <c r="T388" t="s">
        <v>1756</v>
      </c>
      <c r="U388">
        <v>1.19802450952E-4</v>
      </c>
      <c r="V388" t="s">
        <v>238</v>
      </c>
      <c r="X388">
        <v>1.1415525114155251E-4</v>
      </c>
      <c r="Y388">
        <v>1.4916838624667481E-5</v>
      </c>
      <c r="Z388" t="s">
        <v>1756</v>
      </c>
      <c r="AA388" t="s">
        <v>25</v>
      </c>
      <c r="AC388" t="s">
        <v>22</v>
      </c>
      <c r="AD388" t="s">
        <v>1756</v>
      </c>
      <c r="AE388">
        <v>8.0020591713909217E-5</v>
      </c>
      <c r="AG388" t="s">
        <v>97</v>
      </c>
      <c r="AH388" t="s">
        <v>1756</v>
      </c>
      <c r="AI388">
        <v>0</v>
      </c>
    </row>
    <row r="389" spans="5:35" x14ac:dyDescent="0.45">
      <c r="E389" t="s">
        <v>1075</v>
      </c>
      <c r="G389" t="s">
        <v>364</v>
      </c>
      <c r="I389" t="s">
        <v>236</v>
      </c>
      <c r="J389" t="s">
        <v>1757</v>
      </c>
      <c r="K389">
        <v>0</v>
      </c>
      <c r="L389" t="s">
        <v>238</v>
      </c>
      <c r="N389" t="s">
        <v>346</v>
      </c>
      <c r="O389" t="s">
        <v>1757</v>
      </c>
      <c r="P389">
        <v>8.6292298487505362E-5</v>
      </c>
      <c r="Q389" t="s">
        <v>238</v>
      </c>
      <c r="S389" t="s">
        <v>347</v>
      </c>
      <c r="T389" t="s">
        <v>1757</v>
      </c>
      <c r="U389">
        <v>1.4095095251039999E-4</v>
      </c>
      <c r="V389" t="s">
        <v>238</v>
      </c>
      <c r="X389">
        <v>1.1415525114155251E-4</v>
      </c>
      <c r="Y389">
        <v>1.6574265138519424E-5</v>
      </c>
      <c r="Z389" t="s">
        <v>1757</v>
      </c>
      <c r="AA389" t="s">
        <v>25</v>
      </c>
      <c r="AC389" t="s">
        <v>22</v>
      </c>
      <c r="AD389" t="s">
        <v>1757</v>
      </c>
      <c r="AE389">
        <v>7.8684910392096637E-5</v>
      </c>
      <c r="AG389" t="s">
        <v>97</v>
      </c>
      <c r="AH389" t="s">
        <v>1757</v>
      </c>
      <c r="AI389">
        <v>0</v>
      </c>
    </row>
    <row r="390" spans="5:35" x14ac:dyDescent="0.45">
      <c r="E390" t="s">
        <v>1076</v>
      </c>
      <c r="G390" t="s">
        <v>364</v>
      </c>
      <c r="I390" t="s">
        <v>236</v>
      </c>
      <c r="J390" t="s">
        <v>1758</v>
      </c>
      <c r="K390">
        <v>0</v>
      </c>
      <c r="L390" t="s">
        <v>238</v>
      </c>
      <c r="N390" t="s">
        <v>346</v>
      </c>
      <c r="O390" t="s">
        <v>1758</v>
      </c>
      <c r="P390">
        <v>9.6949417478529363E-5</v>
      </c>
      <c r="Q390" t="s">
        <v>238</v>
      </c>
      <c r="S390" t="s">
        <v>347</v>
      </c>
      <c r="T390" t="s">
        <v>1758</v>
      </c>
      <c r="U390">
        <v>1.6034526614000001E-4</v>
      </c>
      <c r="V390" t="s">
        <v>238</v>
      </c>
      <c r="X390">
        <v>1.1415525114155251E-4</v>
      </c>
      <c r="Y390">
        <v>1.4585353321897093E-5</v>
      </c>
      <c r="Z390" t="s">
        <v>1758</v>
      </c>
      <c r="AA390" t="s">
        <v>25</v>
      </c>
      <c r="AC390" t="s">
        <v>22</v>
      </c>
      <c r="AD390" t="s">
        <v>1758</v>
      </c>
      <c r="AE390">
        <v>7.8392550961141962E-5</v>
      </c>
      <c r="AG390" t="s">
        <v>97</v>
      </c>
      <c r="AH390" t="s">
        <v>1758</v>
      </c>
      <c r="AI390">
        <v>0</v>
      </c>
    </row>
    <row r="391" spans="5:35" x14ac:dyDescent="0.45">
      <c r="E391" t="s">
        <v>1077</v>
      </c>
      <c r="G391" t="s">
        <v>364</v>
      </c>
      <c r="I391" t="s">
        <v>236</v>
      </c>
      <c r="J391" t="s">
        <v>1759</v>
      </c>
      <c r="K391">
        <v>0</v>
      </c>
      <c r="L391" t="s">
        <v>238</v>
      </c>
      <c r="N391" t="s">
        <v>346</v>
      </c>
      <c r="O391" t="s">
        <v>1759</v>
      </c>
      <c r="P391">
        <v>1.113401475467E-4</v>
      </c>
      <c r="Q391" t="s">
        <v>238</v>
      </c>
      <c r="S391" t="s">
        <v>347</v>
      </c>
      <c r="T391" t="s">
        <v>1759</v>
      </c>
      <c r="U391">
        <v>1.8217961477470001E-4</v>
      </c>
      <c r="V391" t="s">
        <v>238</v>
      </c>
      <c r="X391">
        <v>1.1415525114155251E-4</v>
      </c>
      <c r="Y391">
        <v>2.1215059377304864E-5</v>
      </c>
      <c r="Z391" t="s">
        <v>1759</v>
      </c>
      <c r="AA391" t="s">
        <v>25</v>
      </c>
      <c r="AC391" t="s">
        <v>22</v>
      </c>
      <c r="AD391" t="s">
        <v>1759</v>
      </c>
      <c r="AE391">
        <v>7.9602116449993692E-5</v>
      </c>
      <c r="AG391" t="s">
        <v>97</v>
      </c>
      <c r="AH391" t="s">
        <v>1759</v>
      </c>
      <c r="AI391">
        <v>0</v>
      </c>
    </row>
    <row r="392" spans="5:35" x14ac:dyDescent="0.45">
      <c r="E392" t="s">
        <v>1078</v>
      </c>
      <c r="G392" t="s">
        <v>364</v>
      </c>
      <c r="I392" t="s">
        <v>236</v>
      </c>
      <c r="J392" t="s">
        <v>1760</v>
      </c>
      <c r="K392">
        <v>0</v>
      </c>
      <c r="L392" t="s">
        <v>238</v>
      </c>
      <c r="N392" t="s">
        <v>346</v>
      </c>
      <c r="O392" t="s">
        <v>1760</v>
      </c>
      <c r="P392">
        <v>1.30523958459E-4</v>
      </c>
      <c r="Q392" t="s">
        <v>238</v>
      </c>
      <c r="S392" t="s">
        <v>347</v>
      </c>
      <c r="T392" t="s">
        <v>1760</v>
      </c>
      <c r="U392">
        <v>1.9537481146970001E-4</v>
      </c>
      <c r="V392" t="s">
        <v>238</v>
      </c>
      <c r="X392">
        <v>1.1415525114155251E-4</v>
      </c>
      <c r="Y392">
        <v>5.7678442682047593E-5</v>
      </c>
      <c r="Z392" t="s">
        <v>1760</v>
      </c>
      <c r="AA392" t="s">
        <v>25</v>
      </c>
      <c r="AC392" t="s">
        <v>22</v>
      </c>
      <c r="AD392" t="s">
        <v>1760</v>
      </c>
      <c r="AE392">
        <v>8.378686908914905E-5</v>
      </c>
      <c r="AG392" t="s">
        <v>97</v>
      </c>
      <c r="AH392" t="s">
        <v>1760</v>
      </c>
      <c r="AI392">
        <v>0</v>
      </c>
    </row>
    <row r="393" spans="5:35" x14ac:dyDescent="0.45">
      <c r="E393" t="s">
        <v>1079</v>
      </c>
      <c r="G393" t="s">
        <v>364</v>
      </c>
      <c r="I393" t="s">
        <v>236</v>
      </c>
      <c r="J393" t="s">
        <v>1761</v>
      </c>
      <c r="K393">
        <v>0</v>
      </c>
      <c r="L393" t="s">
        <v>238</v>
      </c>
      <c r="N393" t="s">
        <v>346</v>
      </c>
      <c r="O393" t="s">
        <v>1761</v>
      </c>
      <c r="P393">
        <v>1.4898272236130001E-4</v>
      </c>
      <c r="Q393" t="s">
        <v>238</v>
      </c>
      <c r="S393" t="s">
        <v>347</v>
      </c>
      <c r="T393" t="s">
        <v>1761</v>
      </c>
      <c r="U393">
        <v>2.0413387829819999E-4</v>
      </c>
      <c r="V393" t="s">
        <v>238</v>
      </c>
      <c r="X393">
        <v>1.1415525114155251E-4</v>
      </c>
      <c r="Y393">
        <v>1.6905750441289813E-4</v>
      </c>
      <c r="Z393" t="s">
        <v>1761</v>
      </c>
      <c r="AA393" t="s">
        <v>25</v>
      </c>
      <c r="AC393" t="s">
        <v>22</v>
      </c>
      <c r="AD393" t="s">
        <v>1761</v>
      </c>
      <c r="AE393">
        <v>9.1474202361898816E-5</v>
      </c>
      <c r="AG393" t="s">
        <v>97</v>
      </c>
      <c r="AH393" t="s">
        <v>1761</v>
      </c>
      <c r="AI393">
        <v>0</v>
      </c>
    </row>
    <row r="394" spans="5:35" x14ac:dyDescent="0.45">
      <c r="E394" t="s">
        <v>1080</v>
      </c>
      <c r="G394" t="s">
        <v>364</v>
      </c>
      <c r="I394" t="s">
        <v>236</v>
      </c>
      <c r="J394" t="s">
        <v>1762</v>
      </c>
      <c r="K394">
        <v>0</v>
      </c>
      <c r="L394" t="s">
        <v>238</v>
      </c>
      <c r="N394" t="s">
        <v>346</v>
      </c>
      <c r="O394" t="s">
        <v>1762</v>
      </c>
      <c r="P394">
        <v>1.747604098644E-4</v>
      </c>
      <c r="Q394" t="s">
        <v>238</v>
      </c>
      <c r="S394" t="s">
        <v>347</v>
      </c>
      <c r="T394" t="s">
        <v>1762</v>
      </c>
      <c r="U394">
        <v>2.1154659535870001E-4</v>
      </c>
      <c r="V394" t="s">
        <v>238</v>
      </c>
      <c r="X394">
        <v>1.1415525114155251E-4</v>
      </c>
      <c r="Y394">
        <v>1.9060404909297337E-4</v>
      </c>
      <c r="Z394" t="s">
        <v>1762</v>
      </c>
      <c r="AA394" t="s">
        <v>25</v>
      </c>
      <c r="AC394" t="s">
        <v>22</v>
      </c>
      <c r="AD394" t="s">
        <v>1762</v>
      </c>
      <c r="AE394">
        <v>9.9820777488762068E-5</v>
      </c>
      <c r="AG394" t="s">
        <v>97</v>
      </c>
      <c r="AH394" t="s">
        <v>1762</v>
      </c>
      <c r="AI394">
        <v>0</v>
      </c>
    </row>
    <row r="395" spans="5:35" x14ac:dyDescent="0.45">
      <c r="E395" t="s">
        <v>226</v>
      </c>
      <c r="G395" t="s">
        <v>146</v>
      </c>
      <c r="I395" t="s">
        <v>236</v>
      </c>
      <c r="J395" t="s">
        <v>1763</v>
      </c>
      <c r="K395">
        <v>1.5436326931282233E-5</v>
      </c>
      <c r="L395" t="s">
        <v>238</v>
      </c>
      <c r="N395" t="s">
        <v>346</v>
      </c>
      <c r="O395" t="s">
        <v>1763</v>
      </c>
      <c r="P395">
        <v>1.9701656034079999E-4</v>
      </c>
      <c r="Q395" t="s">
        <v>238</v>
      </c>
      <c r="S395" t="s">
        <v>347</v>
      </c>
      <c r="T395" t="s">
        <v>1763</v>
      </c>
      <c r="U395">
        <v>2.157188084991E-4</v>
      </c>
      <c r="V395" t="s">
        <v>238</v>
      </c>
      <c r="X395">
        <v>1.1415525114155251E-4</v>
      </c>
      <c r="Y395">
        <v>1.4585353321897094E-4</v>
      </c>
      <c r="Z395" t="s">
        <v>1763</v>
      </c>
      <c r="AA395" t="s">
        <v>25</v>
      </c>
      <c r="AC395" t="s">
        <v>22</v>
      </c>
      <c r="AD395" t="s">
        <v>1763</v>
      </c>
      <c r="AE395">
        <v>1.1429543558995009E-4</v>
      </c>
      <c r="AG395" t="s">
        <v>97</v>
      </c>
      <c r="AH395" t="s">
        <v>1763</v>
      </c>
      <c r="AI395">
        <v>0</v>
      </c>
    </row>
    <row r="396" spans="5:35" x14ac:dyDescent="0.45">
      <c r="E396" t="s">
        <v>227</v>
      </c>
      <c r="G396" t="s">
        <v>146</v>
      </c>
      <c r="I396" t="s">
        <v>236</v>
      </c>
      <c r="J396" t="s">
        <v>1764</v>
      </c>
      <c r="K396">
        <v>3.682397176552096E-5</v>
      </c>
      <c r="L396" t="s">
        <v>238</v>
      </c>
      <c r="N396" t="s">
        <v>346</v>
      </c>
      <c r="O396" t="s">
        <v>1764</v>
      </c>
      <c r="P396">
        <v>2.162337008947E-4</v>
      </c>
      <c r="Q396" t="s">
        <v>238</v>
      </c>
      <c r="S396" t="s">
        <v>347</v>
      </c>
      <c r="T396" t="s">
        <v>1764</v>
      </c>
      <c r="U396">
        <v>2.1841385324490001E-4</v>
      </c>
      <c r="V396" t="s">
        <v>238</v>
      </c>
      <c r="X396">
        <v>1.1415525114155251E-4</v>
      </c>
      <c r="Y396">
        <v>1.4452759200788939E-4</v>
      </c>
      <c r="Z396" t="s">
        <v>1764</v>
      </c>
      <c r="AA396" t="s">
        <v>25</v>
      </c>
      <c r="AC396" t="s">
        <v>22</v>
      </c>
      <c r="AD396" t="s">
        <v>1764</v>
      </c>
      <c r="AE396">
        <v>1.2232958740334215E-4</v>
      </c>
      <c r="AG396" t="s">
        <v>97</v>
      </c>
      <c r="AH396" t="s">
        <v>1764</v>
      </c>
      <c r="AI396">
        <v>0</v>
      </c>
    </row>
    <row r="397" spans="5:35" x14ac:dyDescent="0.45">
      <c r="E397" t="s">
        <v>228</v>
      </c>
      <c r="G397" t="s">
        <v>146</v>
      </c>
      <c r="I397" t="s">
        <v>236</v>
      </c>
      <c r="J397" t="s">
        <v>1765</v>
      </c>
      <c r="K397">
        <v>7.2647765399190585E-5</v>
      </c>
      <c r="L397" t="s">
        <v>238</v>
      </c>
      <c r="N397" t="s">
        <v>346</v>
      </c>
      <c r="O397" t="s">
        <v>1765</v>
      </c>
      <c r="P397">
        <v>1.8075082464540001E-4</v>
      </c>
      <c r="Q397" t="s">
        <v>238</v>
      </c>
      <c r="S397" t="s">
        <v>347</v>
      </c>
      <c r="T397" t="s">
        <v>1765</v>
      </c>
      <c r="U397">
        <v>2.097775521182E-4</v>
      </c>
      <c r="V397" t="s">
        <v>238</v>
      </c>
      <c r="X397">
        <v>1.1415525114155251E-4</v>
      </c>
      <c r="Y397">
        <v>1.408812536774151E-4</v>
      </c>
      <c r="Z397" t="s">
        <v>1765</v>
      </c>
      <c r="AA397" t="s">
        <v>25</v>
      </c>
      <c r="AC397" t="s">
        <v>22</v>
      </c>
      <c r="AD397" t="s">
        <v>1765</v>
      </c>
      <c r="AE397">
        <v>1.1985886358488194E-4</v>
      </c>
      <c r="AG397" t="s">
        <v>97</v>
      </c>
      <c r="AH397" t="s">
        <v>1765</v>
      </c>
      <c r="AI397">
        <v>0</v>
      </c>
    </row>
    <row r="398" spans="5:35" x14ac:dyDescent="0.45">
      <c r="E398" t="s">
        <v>229</v>
      </c>
      <c r="G398" t="s">
        <v>146</v>
      </c>
      <c r="I398" t="s">
        <v>236</v>
      </c>
      <c r="J398" t="s">
        <v>1766</v>
      </c>
      <c r="K398">
        <v>8.111987470764893E-5</v>
      </c>
      <c r="L398" t="s">
        <v>238</v>
      </c>
      <c r="N398" t="s">
        <v>346</v>
      </c>
      <c r="O398" t="s">
        <v>1766</v>
      </c>
      <c r="P398">
        <v>1.7124643568559999E-4</v>
      </c>
      <c r="Q398" t="s">
        <v>238</v>
      </c>
      <c r="S398" t="s">
        <v>347</v>
      </c>
      <c r="T398" t="s">
        <v>1766</v>
      </c>
      <c r="U398">
        <v>2.040564191427E-4</v>
      </c>
      <c r="V398" t="s">
        <v>238</v>
      </c>
      <c r="X398">
        <v>1.1415525114155251E-4</v>
      </c>
      <c r="Y398">
        <v>1.4054976837464471E-4</v>
      </c>
      <c r="Z398" t="s">
        <v>1766</v>
      </c>
      <c r="AA398" t="s">
        <v>25</v>
      </c>
      <c r="AC398" t="s">
        <v>22</v>
      </c>
      <c r="AD398" t="s">
        <v>1766</v>
      </c>
      <c r="AE398">
        <v>1.1879834408043848E-4</v>
      </c>
      <c r="AG398" t="s">
        <v>97</v>
      </c>
      <c r="AH398" t="s">
        <v>1766</v>
      </c>
      <c r="AI398">
        <v>0</v>
      </c>
    </row>
    <row r="399" spans="5:35" x14ac:dyDescent="0.45">
      <c r="E399" t="s">
        <v>230</v>
      </c>
      <c r="G399" t="s">
        <v>146</v>
      </c>
      <c r="I399" t="s">
        <v>236</v>
      </c>
      <c r="J399" t="s">
        <v>1767</v>
      </c>
      <c r="K399">
        <v>9.2018772983737361E-5</v>
      </c>
      <c r="L399" t="s">
        <v>238</v>
      </c>
      <c r="N399" t="s">
        <v>346</v>
      </c>
      <c r="O399" t="s">
        <v>1767</v>
      </c>
      <c r="P399">
        <v>1.769111839025E-4</v>
      </c>
      <c r="Q399" t="s">
        <v>238</v>
      </c>
      <c r="S399" t="s">
        <v>347</v>
      </c>
      <c r="T399" t="s">
        <v>1767</v>
      </c>
      <c r="U399">
        <v>1.940776611509E-4</v>
      </c>
      <c r="V399" t="s">
        <v>238</v>
      </c>
      <c r="X399">
        <v>1.1415525114155251E-4</v>
      </c>
      <c r="Y399">
        <v>1.4253868019126702E-4</v>
      </c>
      <c r="Z399" t="s">
        <v>1767</v>
      </c>
      <c r="AA399" t="s">
        <v>25</v>
      </c>
      <c r="AC399" t="s">
        <v>22</v>
      </c>
      <c r="AD399" t="s">
        <v>1767</v>
      </c>
      <c r="AE399">
        <v>1.1902191305705085E-4</v>
      </c>
      <c r="AG399" t="s">
        <v>97</v>
      </c>
      <c r="AH399" t="s">
        <v>1767</v>
      </c>
      <c r="AI399">
        <v>0</v>
      </c>
    </row>
    <row r="400" spans="5:35" x14ac:dyDescent="0.45">
      <c r="E400" t="s">
        <v>231</v>
      </c>
      <c r="G400" t="s">
        <v>146</v>
      </c>
      <c r="I400" t="s">
        <v>236</v>
      </c>
      <c r="J400" t="s">
        <v>1768</v>
      </c>
      <c r="K400">
        <v>1.0385169008519999E-4</v>
      </c>
      <c r="L400" t="s">
        <v>238</v>
      </c>
      <c r="N400" t="s">
        <v>346</v>
      </c>
      <c r="O400" t="s">
        <v>1768</v>
      </c>
      <c r="P400">
        <v>1.804588947393E-4</v>
      </c>
      <c r="Q400" t="s">
        <v>238</v>
      </c>
      <c r="S400" t="s">
        <v>347</v>
      </c>
      <c r="T400" t="s">
        <v>1768</v>
      </c>
      <c r="U400">
        <v>1.8430014327999999E-4</v>
      </c>
      <c r="V400" t="s">
        <v>238</v>
      </c>
      <c r="X400">
        <v>1.1415525114155251E-4</v>
      </c>
      <c r="Y400">
        <v>1.4883690094390442E-4</v>
      </c>
      <c r="Z400" t="s">
        <v>1768</v>
      </c>
      <c r="AA400" t="s">
        <v>25</v>
      </c>
      <c r="AC400" t="s">
        <v>22</v>
      </c>
      <c r="AD400" t="s">
        <v>1768</v>
      </c>
      <c r="AE400">
        <v>1.1926554591617979E-4</v>
      </c>
      <c r="AG400" t="s">
        <v>97</v>
      </c>
      <c r="AH400" t="s">
        <v>1768</v>
      </c>
      <c r="AI400">
        <v>0</v>
      </c>
    </row>
    <row r="401" spans="5:35" x14ac:dyDescent="0.45">
      <c r="E401" t="s">
        <v>232</v>
      </c>
      <c r="G401" t="s">
        <v>146</v>
      </c>
      <c r="I401" t="s">
        <v>236</v>
      </c>
      <c r="J401" t="s">
        <v>1769</v>
      </c>
      <c r="K401">
        <v>7.5482809842819127E-5</v>
      </c>
      <c r="L401" t="s">
        <v>238</v>
      </c>
      <c r="N401" t="s">
        <v>346</v>
      </c>
      <c r="O401" t="s">
        <v>1769</v>
      </c>
      <c r="P401">
        <v>1.7054954675760001E-4</v>
      </c>
      <c r="Q401" t="s">
        <v>238</v>
      </c>
      <c r="S401" t="s">
        <v>347</v>
      </c>
      <c r="T401" t="s">
        <v>1769</v>
      </c>
      <c r="U401">
        <v>1.773443399236E-4</v>
      </c>
      <c r="V401" t="s">
        <v>238</v>
      </c>
      <c r="X401">
        <v>1.1415525114155251E-4</v>
      </c>
      <c r="Y401">
        <v>1.5049432745775637E-4</v>
      </c>
      <c r="Z401" t="s">
        <v>1769</v>
      </c>
      <c r="AA401" t="s">
        <v>25</v>
      </c>
      <c r="AC401" t="s">
        <v>22</v>
      </c>
      <c r="AD401" t="s">
        <v>1769</v>
      </c>
      <c r="AE401">
        <v>1.1926554591617979E-4</v>
      </c>
      <c r="AG401" t="s">
        <v>97</v>
      </c>
      <c r="AH401" t="s">
        <v>1769</v>
      </c>
      <c r="AI401">
        <v>0</v>
      </c>
    </row>
    <row r="402" spans="5:35" x14ac:dyDescent="0.45">
      <c r="E402" t="s">
        <v>233</v>
      </c>
      <c r="G402" t="s">
        <v>146</v>
      </c>
      <c r="I402" t="s">
        <v>236</v>
      </c>
      <c r="J402" t="s">
        <v>1770</v>
      </c>
      <c r="K402">
        <v>4.9172718507796679E-5</v>
      </c>
      <c r="L402" t="s">
        <v>238</v>
      </c>
      <c r="N402" t="s">
        <v>346</v>
      </c>
      <c r="O402" t="s">
        <v>1770</v>
      </c>
      <c r="P402">
        <v>1.52329626566E-4</v>
      </c>
      <c r="Q402" t="s">
        <v>238</v>
      </c>
      <c r="S402" t="s">
        <v>347</v>
      </c>
      <c r="T402" t="s">
        <v>1770</v>
      </c>
      <c r="U402">
        <v>1.6956957656930001E-4</v>
      </c>
      <c r="V402" t="s">
        <v>238</v>
      </c>
      <c r="X402">
        <v>1.1415525114155251E-4</v>
      </c>
      <c r="Y402">
        <v>1.7237235744060203E-4</v>
      </c>
      <c r="Z402" t="s">
        <v>1770</v>
      </c>
      <c r="AA402" t="s">
        <v>25</v>
      </c>
      <c r="AC402" t="s">
        <v>22</v>
      </c>
      <c r="AD402" t="s">
        <v>1770</v>
      </c>
      <c r="AE402">
        <v>1.2089645293787802E-4</v>
      </c>
      <c r="AG402" t="s">
        <v>97</v>
      </c>
      <c r="AH402" t="s">
        <v>1770</v>
      </c>
      <c r="AI402">
        <v>0</v>
      </c>
    </row>
    <row r="403" spans="5:35" x14ac:dyDescent="0.45">
      <c r="I403" t="s">
        <v>236</v>
      </c>
      <c r="J403" t="s">
        <v>1771</v>
      </c>
      <c r="K403">
        <v>1.6237275097735147E-5</v>
      </c>
      <c r="L403" t="s">
        <v>238</v>
      </c>
      <c r="N403" t="s">
        <v>346</v>
      </c>
      <c r="O403" t="s">
        <v>1771</v>
      </c>
      <c r="P403">
        <v>1.4189091291429999E-4</v>
      </c>
      <c r="Q403" t="s">
        <v>238</v>
      </c>
      <c r="S403" t="s">
        <v>347</v>
      </c>
      <c r="T403" t="s">
        <v>1771</v>
      </c>
      <c r="U403">
        <v>1.6214212992629999E-4</v>
      </c>
      <c r="V403" t="s">
        <v>238</v>
      </c>
      <c r="X403">
        <v>1.1415525114155251E-4</v>
      </c>
      <c r="Y403">
        <v>2.2209515285616027E-4</v>
      </c>
      <c r="Z403" t="s">
        <v>1771</v>
      </c>
      <c r="AA403" t="s">
        <v>25</v>
      </c>
      <c r="AC403" t="s">
        <v>22</v>
      </c>
      <c r="AD403" t="s">
        <v>1771</v>
      </c>
      <c r="AE403">
        <v>1.289105408687536E-4</v>
      </c>
      <c r="AG403" t="s">
        <v>97</v>
      </c>
      <c r="AH403" t="s">
        <v>1771</v>
      </c>
      <c r="AI403">
        <v>0</v>
      </c>
    </row>
    <row r="404" spans="5:35" x14ac:dyDescent="0.45">
      <c r="I404" t="s">
        <v>236</v>
      </c>
      <c r="J404" t="s">
        <v>1772</v>
      </c>
      <c r="K404">
        <v>0</v>
      </c>
      <c r="L404" t="s">
        <v>238</v>
      </c>
      <c r="N404" t="s">
        <v>346</v>
      </c>
      <c r="O404" t="s">
        <v>1772</v>
      </c>
      <c r="P404">
        <v>1.29955333085E-4</v>
      </c>
      <c r="Q404" t="s">
        <v>238</v>
      </c>
      <c r="S404" t="s">
        <v>347</v>
      </c>
      <c r="T404" t="s">
        <v>1772</v>
      </c>
      <c r="U404">
        <v>1.499249920341E-4</v>
      </c>
      <c r="V404" t="s">
        <v>238</v>
      </c>
      <c r="X404">
        <v>1.1415525114155251E-4</v>
      </c>
      <c r="Y404">
        <v>2.2209515285616027E-4</v>
      </c>
      <c r="Z404" t="s">
        <v>1772</v>
      </c>
      <c r="AA404" t="s">
        <v>25</v>
      </c>
      <c r="AC404" t="s">
        <v>22</v>
      </c>
      <c r="AD404" t="s">
        <v>1772</v>
      </c>
      <c r="AE404">
        <v>1.3070195895058378E-4</v>
      </c>
      <c r="AG404" t="s">
        <v>97</v>
      </c>
      <c r="AH404" t="s">
        <v>1772</v>
      </c>
      <c r="AI404">
        <v>0</v>
      </c>
    </row>
    <row r="405" spans="5:35" x14ac:dyDescent="0.45">
      <c r="I405" t="s">
        <v>236</v>
      </c>
      <c r="J405" t="s">
        <v>1773</v>
      </c>
      <c r="K405">
        <v>0</v>
      </c>
      <c r="L405" t="s">
        <v>238</v>
      </c>
      <c r="N405" t="s">
        <v>346</v>
      </c>
      <c r="O405" t="s">
        <v>1773</v>
      </c>
      <c r="P405">
        <v>1.1878303532959999E-4</v>
      </c>
      <c r="Q405" t="s">
        <v>238</v>
      </c>
      <c r="S405" t="s">
        <v>347</v>
      </c>
      <c r="T405" t="s">
        <v>1773</v>
      </c>
      <c r="U405">
        <v>1.3944770668989999E-4</v>
      </c>
      <c r="V405" t="s">
        <v>238</v>
      </c>
      <c r="X405">
        <v>1.1415525114155251E-4</v>
      </c>
      <c r="Y405">
        <v>1.7237235744060203E-4</v>
      </c>
      <c r="Z405" t="s">
        <v>1773</v>
      </c>
      <c r="AA405" t="s">
        <v>25</v>
      </c>
      <c r="AC405" t="s">
        <v>22</v>
      </c>
      <c r="AD405" t="s">
        <v>1773</v>
      </c>
      <c r="AE405">
        <v>1.3238732508196965E-4</v>
      </c>
      <c r="AG405" t="s">
        <v>97</v>
      </c>
      <c r="AH405" t="s">
        <v>1773</v>
      </c>
      <c r="AI405">
        <v>0</v>
      </c>
    </row>
    <row r="406" spans="5:35" x14ac:dyDescent="0.45">
      <c r="I406" t="s">
        <v>236</v>
      </c>
      <c r="J406" t="s">
        <v>1774</v>
      </c>
      <c r="K406">
        <v>0</v>
      </c>
      <c r="L406" t="s">
        <v>238</v>
      </c>
      <c r="N406" t="s">
        <v>346</v>
      </c>
      <c r="O406" t="s">
        <v>1774</v>
      </c>
      <c r="P406">
        <v>1.068739071016E-4</v>
      </c>
      <c r="Q406" t="s">
        <v>238</v>
      </c>
      <c r="S406" t="s">
        <v>347</v>
      </c>
      <c r="T406" t="s">
        <v>1774</v>
      </c>
      <c r="U406">
        <v>1.2957895267209999E-4</v>
      </c>
      <c r="V406" t="s">
        <v>238</v>
      </c>
      <c r="X406">
        <v>1.1415525114155251E-4</v>
      </c>
      <c r="Y406">
        <v>1.5579809230208258E-4</v>
      </c>
      <c r="Z406" t="s">
        <v>1774</v>
      </c>
      <c r="AA406" t="s">
        <v>25</v>
      </c>
      <c r="AC406" t="s">
        <v>22</v>
      </c>
      <c r="AD406" t="s">
        <v>1774</v>
      </c>
      <c r="AE406">
        <v>1.2963284063934752E-4</v>
      </c>
      <c r="AG406" t="s">
        <v>97</v>
      </c>
      <c r="AH406" t="s">
        <v>1774</v>
      </c>
      <c r="AI406">
        <v>0</v>
      </c>
    </row>
    <row r="407" spans="5:35" x14ac:dyDescent="0.45">
      <c r="I407" t="s">
        <v>236</v>
      </c>
      <c r="J407" t="s">
        <v>1775</v>
      </c>
      <c r="K407">
        <v>0</v>
      </c>
      <c r="L407" t="s">
        <v>238</v>
      </c>
      <c r="N407" t="s">
        <v>346</v>
      </c>
      <c r="O407" t="s">
        <v>1775</v>
      </c>
      <c r="P407">
        <v>9.5911844883579545E-5</v>
      </c>
      <c r="Q407" t="s">
        <v>238</v>
      </c>
      <c r="S407" t="s">
        <v>347</v>
      </c>
      <c r="T407" t="s">
        <v>1775</v>
      </c>
      <c r="U407">
        <v>1.276941627251E-4</v>
      </c>
      <c r="V407" t="s">
        <v>238</v>
      </c>
      <c r="X407">
        <v>1.1415525114155251E-4</v>
      </c>
      <c r="Y407">
        <v>1.093901499142282E-4</v>
      </c>
      <c r="Z407" t="s">
        <v>1775</v>
      </c>
      <c r="AA407" t="s">
        <v>25</v>
      </c>
      <c r="AC407" t="s">
        <v>22</v>
      </c>
      <c r="AD407" t="s">
        <v>1775</v>
      </c>
      <c r="AE407">
        <v>1.2504681034986224E-4</v>
      </c>
      <c r="AG407" t="s">
        <v>97</v>
      </c>
      <c r="AH407" t="s">
        <v>1775</v>
      </c>
      <c r="AI407">
        <v>0</v>
      </c>
    </row>
    <row r="408" spans="5:35" x14ac:dyDescent="0.45">
      <c r="I408" t="s">
        <v>236</v>
      </c>
      <c r="J408" t="s">
        <v>1776</v>
      </c>
      <c r="K408">
        <v>0</v>
      </c>
      <c r="L408" t="s">
        <v>238</v>
      </c>
      <c r="N408" t="s">
        <v>346</v>
      </c>
      <c r="O408" t="s">
        <v>1776</v>
      </c>
      <c r="P408">
        <v>8.9328346788407963E-5</v>
      </c>
      <c r="Q408" t="s">
        <v>238</v>
      </c>
      <c r="S408" t="s">
        <v>347</v>
      </c>
      <c r="T408" t="s">
        <v>1776</v>
      </c>
      <c r="U408">
        <v>1.32134799515E-4</v>
      </c>
      <c r="V408" t="s">
        <v>238</v>
      </c>
      <c r="X408">
        <v>1.1415525114155251E-4</v>
      </c>
      <c r="Y408">
        <v>7.9556472664893237E-5</v>
      </c>
      <c r="Z408" t="s">
        <v>1776</v>
      </c>
      <c r="AA408" t="s">
        <v>25</v>
      </c>
      <c r="AC408" t="s">
        <v>22</v>
      </c>
      <c r="AD408" t="s">
        <v>1776</v>
      </c>
      <c r="AE408">
        <v>1.1654545670072882E-4</v>
      </c>
      <c r="AG408" t="s">
        <v>97</v>
      </c>
      <c r="AH408" t="s">
        <v>1776</v>
      </c>
      <c r="AI408">
        <v>0</v>
      </c>
    </row>
    <row r="409" spans="5:35" x14ac:dyDescent="0.45">
      <c r="I409" t="s">
        <v>236</v>
      </c>
      <c r="J409" t="s">
        <v>1777</v>
      </c>
      <c r="K409">
        <v>0</v>
      </c>
      <c r="L409" t="s">
        <v>238</v>
      </c>
      <c r="N409" t="s">
        <v>346</v>
      </c>
      <c r="O409" t="s">
        <v>1777</v>
      </c>
      <c r="P409">
        <v>8.8074190122574216E-5</v>
      </c>
      <c r="Q409" t="s">
        <v>238</v>
      </c>
      <c r="S409" t="s">
        <v>347</v>
      </c>
      <c r="T409" t="s">
        <v>1777</v>
      </c>
      <c r="U409">
        <v>1.40133117335E-4</v>
      </c>
      <c r="V409" t="s">
        <v>238</v>
      </c>
      <c r="X409">
        <v>1.1415525114155251E-4</v>
      </c>
      <c r="Y409">
        <v>5.6352501470966035E-5</v>
      </c>
      <c r="Z409" t="s">
        <v>1777</v>
      </c>
      <c r="AA409" t="s">
        <v>25</v>
      </c>
      <c r="AC409" t="s">
        <v>22</v>
      </c>
      <c r="AD409" t="s">
        <v>1777</v>
      </c>
      <c r="AE409">
        <v>1.0865461833388314E-4</v>
      </c>
      <c r="AG409" t="s">
        <v>97</v>
      </c>
      <c r="AH409" t="s">
        <v>1777</v>
      </c>
      <c r="AI409">
        <v>0</v>
      </c>
    </row>
    <row r="410" spans="5:35" x14ac:dyDescent="0.45">
      <c r="I410" t="s">
        <v>236</v>
      </c>
      <c r="J410" t="s">
        <v>1778</v>
      </c>
      <c r="K410">
        <v>0</v>
      </c>
      <c r="L410" t="s">
        <v>238</v>
      </c>
      <c r="N410" t="s">
        <v>346</v>
      </c>
      <c r="O410" t="s">
        <v>1778</v>
      </c>
      <c r="P410">
        <v>9.1189591385565719E-5</v>
      </c>
      <c r="Q410" t="s">
        <v>238</v>
      </c>
      <c r="S410" t="s">
        <v>347</v>
      </c>
      <c r="T410" t="s">
        <v>1778</v>
      </c>
      <c r="U410">
        <v>1.5548224943000001E-4</v>
      </c>
      <c r="V410" t="s">
        <v>238</v>
      </c>
      <c r="X410">
        <v>1.1415525114155251E-4</v>
      </c>
      <c r="Y410">
        <v>2.9833677249334962E-5</v>
      </c>
      <c r="Z410" t="s">
        <v>1778</v>
      </c>
      <c r="AA410" t="s">
        <v>25</v>
      </c>
      <c r="AC410" t="s">
        <v>22</v>
      </c>
      <c r="AD410" t="s">
        <v>1778</v>
      </c>
      <c r="AE410">
        <v>9.3262754174798081E-5</v>
      </c>
      <c r="AG410" t="s">
        <v>97</v>
      </c>
      <c r="AH410" t="s">
        <v>1778</v>
      </c>
      <c r="AI410">
        <v>0</v>
      </c>
    </row>
    <row r="411" spans="5:35" x14ac:dyDescent="0.45">
      <c r="I411" t="s">
        <v>236</v>
      </c>
      <c r="J411" t="s">
        <v>1779</v>
      </c>
      <c r="K411">
        <v>0</v>
      </c>
      <c r="L411" t="s">
        <v>238</v>
      </c>
      <c r="N411" t="s">
        <v>346</v>
      </c>
      <c r="O411" t="s">
        <v>1779</v>
      </c>
      <c r="P411">
        <v>9.3198648506546679E-5</v>
      </c>
      <c r="Q411" t="s">
        <v>238</v>
      </c>
      <c r="S411" t="s">
        <v>347</v>
      </c>
      <c r="T411" t="s">
        <v>1779</v>
      </c>
      <c r="U411">
        <v>1.74113937194E-4</v>
      </c>
      <c r="V411" t="s">
        <v>238</v>
      </c>
      <c r="X411">
        <v>1.1415525114155251E-4</v>
      </c>
      <c r="Y411">
        <v>2.1546544680075254E-5</v>
      </c>
      <c r="Z411" t="s">
        <v>1779</v>
      </c>
      <c r="AA411" t="s">
        <v>25</v>
      </c>
      <c r="AC411" t="s">
        <v>22</v>
      </c>
      <c r="AD411" t="s">
        <v>1779</v>
      </c>
      <c r="AE411">
        <v>8.8605067162039557E-5</v>
      </c>
      <c r="AG411" t="s">
        <v>97</v>
      </c>
      <c r="AH411" t="s">
        <v>1779</v>
      </c>
      <c r="AI411">
        <v>0</v>
      </c>
    </row>
    <row r="412" spans="5:35" x14ac:dyDescent="0.45">
      <c r="I412" t="s">
        <v>236</v>
      </c>
      <c r="J412" t="s">
        <v>1780</v>
      </c>
      <c r="K412">
        <v>0</v>
      </c>
      <c r="L412" t="s">
        <v>238</v>
      </c>
      <c r="N412" t="s">
        <v>346</v>
      </c>
      <c r="O412" t="s">
        <v>1780</v>
      </c>
      <c r="P412">
        <v>9.3452686742232199E-5</v>
      </c>
      <c r="Q412" t="s">
        <v>238</v>
      </c>
      <c r="S412" t="s">
        <v>347</v>
      </c>
      <c r="T412" t="s">
        <v>1780</v>
      </c>
      <c r="U412">
        <v>1.814441809285E-4</v>
      </c>
      <c r="V412" t="s">
        <v>238</v>
      </c>
      <c r="X412">
        <v>1.1415525114155251E-4</v>
      </c>
      <c r="Y412">
        <v>1.4916838624667481E-5</v>
      </c>
      <c r="Z412" t="s">
        <v>1780</v>
      </c>
      <c r="AA412" t="s">
        <v>25</v>
      </c>
      <c r="AC412" t="s">
        <v>22</v>
      </c>
      <c r="AD412" t="s">
        <v>1780</v>
      </c>
      <c r="AE412">
        <v>8.7401234211049655E-5</v>
      </c>
      <c r="AG412" t="s">
        <v>97</v>
      </c>
      <c r="AH412" t="s">
        <v>1780</v>
      </c>
      <c r="AI412">
        <v>0</v>
      </c>
    </row>
    <row r="413" spans="5:35" x14ac:dyDescent="0.45">
      <c r="I413" t="s">
        <v>236</v>
      </c>
      <c r="J413" t="s">
        <v>1781</v>
      </c>
      <c r="K413">
        <v>0</v>
      </c>
      <c r="L413" t="s">
        <v>238</v>
      </c>
      <c r="N413" t="s">
        <v>346</v>
      </c>
      <c r="O413" t="s">
        <v>1781</v>
      </c>
      <c r="P413">
        <v>9.3300205829527038E-5</v>
      </c>
      <c r="Q413" t="s">
        <v>238</v>
      </c>
      <c r="S413" t="s">
        <v>347</v>
      </c>
      <c r="T413" t="s">
        <v>1781</v>
      </c>
      <c r="U413">
        <v>1.837194391703E-4</v>
      </c>
      <c r="V413" t="s">
        <v>238</v>
      </c>
      <c r="X413">
        <v>1.1415525114155251E-4</v>
      </c>
      <c r="Y413">
        <v>1.6574265138519424E-5</v>
      </c>
      <c r="Z413" t="s">
        <v>1781</v>
      </c>
      <c r="AA413" t="s">
        <v>25</v>
      </c>
      <c r="AC413" t="s">
        <v>22</v>
      </c>
      <c r="AD413" t="s">
        <v>1781</v>
      </c>
      <c r="AE413">
        <v>8.9513674413143829E-5</v>
      </c>
      <c r="AG413" t="s">
        <v>97</v>
      </c>
      <c r="AH413" t="s">
        <v>1781</v>
      </c>
      <c r="AI413">
        <v>0</v>
      </c>
    </row>
    <row r="414" spans="5:35" x14ac:dyDescent="0.45">
      <c r="I414" t="s">
        <v>236</v>
      </c>
      <c r="J414" t="s">
        <v>1782</v>
      </c>
      <c r="K414">
        <v>0</v>
      </c>
      <c r="L414" t="s">
        <v>238</v>
      </c>
      <c r="N414" t="s">
        <v>346</v>
      </c>
      <c r="O414" t="s">
        <v>1782</v>
      </c>
      <c r="P414">
        <v>9.6414341165524395E-5</v>
      </c>
      <c r="Q414" t="s">
        <v>238</v>
      </c>
      <c r="S414" t="s">
        <v>347</v>
      </c>
      <c r="T414" t="s">
        <v>1782</v>
      </c>
      <c r="U414">
        <v>1.8294912991449999E-4</v>
      </c>
      <c r="V414" t="s">
        <v>238</v>
      </c>
      <c r="X414">
        <v>1.1415525114155251E-4</v>
      </c>
      <c r="Y414">
        <v>1.4585353321897093E-5</v>
      </c>
      <c r="Z414" t="s">
        <v>1782</v>
      </c>
      <c r="AA414" t="s">
        <v>25</v>
      </c>
      <c r="AC414" t="s">
        <v>22</v>
      </c>
      <c r="AD414" t="s">
        <v>1782</v>
      </c>
      <c r="AE414">
        <v>8.9513674413143829E-5</v>
      </c>
      <c r="AG414" t="s">
        <v>97</v>
      </c>
      <c r="AH414" t="s">
        <v>1782</v>
      </c>
      <c r="AI414">
        <v>0</v>
      </c>
    </row>
    <row r="415" spans="5:35" x14ac:dyDescent="0.45">
      <c r="I415" t="s">
        <v>236</v>
      </c>
      <c r="J415" t="s">
        <v>1783</v>
      </c>
      <c r="K415">
        <v>0</v>
      </c>
      <c r="L415" t="s">
        <v>238</v>
      </c>
      <c r="N415" t="s">
        <v>346</v>
      </c>
      <c r="O415" t="s">
        <v>1783</v>
      </c>
      <c r="P415">
        <v>9.5433487336207704E-5</v>
      </c>
      <c r="Q415" t="s">
        <v>238</v>
      </c>
      <c r="S415" t="s">
        <v>347</v>
      </c>
      <c r="T415" t="s">
        <v>1783</v>
      </c>
      <c r="U415">
        <v>1.831038518281E-4</v>
      </c>
      <c r="V415" t="s">
        <v>238</v>
      </c>
      <c r="X415">
        <v>1.1415525114155251E-4</v>
      </c>
      <c r="Y415">
        <v>2.1215059377304864E-5</v>
      </c>
      <c r="Z415" t="s">
        <v>1783</v>
      </c>
      <c r="AA415" t="s">
        <v>25</v>
      </c>
      <c r="AC415" t="s">
        <v>22</v>
      </c>
      <c r="AD415" t="s">
        <v>1783</v>
      </c>
      <c r="AE415">
        <v>9.6169150870759401E-5</v>
      </c>
      <c r="AG415" t="s">
        <v>97</v>
      </c>
      <c r="AH415" t="s">
        <v>1783</v>
      </c>
      <c r="AI415">
        <v>0</v>
      </c>
    </row>
    <row r="416" spans="5:35" x14ac:dyDescent="0.45">
      <c r="I416" t="s">
        <v>236</v>
      </c>
      <c r="J416" t="s">
        <v>1784</v>
      </c>
      <c r="K416">
        <v>0</v>
      </c>
      <c r="L416" t="s">
        <v>238</v>
      </c>
      <c r="N416" t="s">
        <v>346</v>
      </c>
      <c r="O416" t="s">
        <v>1784</v>
      </c>
      <c r="P416">
        <v>9.1176661608242878E-5</v>
      </c>
      <c r="Q416" t="s">
        <v>238</v>
      </c>
      <c r="S416" t="s">
        <v>347</v>
      </c>
      <c r="T416" t="s">
        <v>1784</v>
      </c>
      <c r="U416">
        <v>1.792953893101E-4</v>
      </c>
      <c r="V416" t="s">
        <v>238</v>
      </c>
      <c r="X416">
        <v>1.1415525114155251E-4</v>
      </c>
      <c r="Y416">
        <v>5.7678442682047593E-5</v>
      </c>
      <c r="Z416" t="s">
        <v>1784</v>
      </c>
      <c r="AA416" t="s">
        <v>25</v>
      </c>
      <c r="AC416" t="s">
        <v>22</v>
      </c>
      <c r="AD416" t="s">
        <v>1784</v>
      </c>
      <c r="AE416">
        <v>1.243990335714724E-4</v>
      </c>
      <c r="AG416" t="s">
        <v>97</v>
      </c>
      <c r="AH416" t="s">
        <v>1784</v>
      </c>
      <c r="AI416">
        <v>0</v>
      </c>
    </row>
    <row r="417" spans="9:35" x14ac:dyDescent="0.45">
      <c r="I417" t="s">
        <v>236</v>
      </c>
      <c r="J417" t="s">
        <v>1785</v>
      </c>
      <c r="K417">
        <v>0</v>
      </c>
      <c r="L417" t="s">
        <v>238</v>
      </c>
      <c r="N417" t="s">
        <v>346</v>
      </c>
      <c r="O417" t="s">
        <v>1785</v>
      </c>
      <c r="P417">
        <v>8.6770141529286077E-5</v>
      </c>
      <c r="Q417" t="s">
        <v>238</v>
      </c>
      <c r="S417" t="s">
        <v>347</v>
      </c>
      <c r="T417" t="s">
        <v>1785</v>
      </c>
      <c r="U417">
        <v>1.7044025074560001E-4</v>
      </c>
      <c r="V417" t="s">
        <v>238</v>
      </c>
      <c r="X417">
        <v>1.1415525114155251E-4</v>
      </c>
      <c r="Y417">
        <v>1.6905750441289813E-4</v>
      </c>
      <c r="Z417" t="s">
        <v>1785</v>
      </c>
      <c r="AA417" t="s">
        <v>25</v>
      </c>
      <c r="AC417" t="s">
        <v>22</v>
      </c>
      <c r="AD417" t="s">
        <v>1785</v>
      </c>
      <c r="AE417">
        <v>1.4578999860299048E-4</v>
      </c>
      <c r="AG417" t="s">
        <v>97</v>
      </c>
      <c r="AH417" t="s">
        <v>1785</v>
      </c>
      <c r="AI417">
        <v>0</v>
      </c>
    </row>
    <row r="418" spans="9:35" x14ac:dyDescent="0.45">
      <c r="I418" t="s">
        <v>236</v>
      </c>
      <c r="J418" t="s">
        <v>1786</v>
      </c>
      <c r="K418">
        <v>0</v>
      </c>
      <c r="L418" t="s">
        <v>238</v>
      </c>
      <c r="N418" t="s">
        <v>346</v>
      </c>
      <c r="O418" t="s">
        <v>1786</v>
      </c>
      <c r="P418">
        <v>8.738483401820098E-5</v>
      </c>
      <c r="Q418" t="s">
        <v>238</v>
      </c>
      <c r="S418" t="s">
        <v>347</v>
      </c>
      <c r="T418" t="s">
        <v>1786</v>
      </c>
      <c r="U418">
        <v>1.613620660894E-4</v>
      </c>
      <c r="V418" t="s">
        <v>238</v>
      </c>
      <c r="X418">
        <v>1.1415525114155251E-4</v>
      </c>
      <c r="Y418">
        <v>1.9060404909297337E-4</v>
      </c>
      <c r="Z418" t="s">
        <v>1786</v>
      </c>
      <c r="AA418" t="s">
        <v>25</v>
      </c>
      <c r="AC418" t="s">
        <v>22</v>
      </c>
      <c r="AD418" t="s">
        <v>1786</v>
      </c>
      <c r="AE418">
        <v>1.4972538584515503E-4</v>
      </c>
      <c r="AG418" t="s">
        <v>97</v>
      </c>
      <c r="AH418" t="s">
        <v>1786</v>
      </c>
      <c r="AI418">
        <v>0</v>
      </c>
    </row>
    <row r="419" spans="9:35" x14ac:dyDescent="0.45">
      <c r="I419" t="s">
        <v>236</v>
      </c>
      <c r="J419" t="s">
        <v>1787</v>
      </c>
      <c r="K419">
        <v>1.1057073574600001E-4</v>
      </c>
      <c r="L419" t="s">
        <v>238</v>
      </c>
      <c r="N419" t="s">
        <v>346</v>
      </c>
      <c r="O419" t="s">
        <v>1787</v>
      </c>
      <c r="P419">
        <v>9.0802914514515658E-5</v>
      </c>
      <c r="Q419" t="s">
        <v>238</v>
      </c>
      <c r="S419" t="s">
        <v>347</v>
      </c>
      <c r="T419" t="s">
        <v>1787</v>
      </c>
      <c r="U419">
        <v>1.5156298341990001E-4</v>
      </c>
      <c r="V419" t="s">
        <v>238</v>
      </c>
      <c r="X419">
        <v>1.1415525114155251E-4</v>
      </c>
      <c r="Y419">
        <v>1.4585353321897094E-4</v>
      </c>
      <c r="Z419" t="s">
        <v>1787</v>
      </c>
      <c r="AA419" t="s">
        <v>25</v>
      </c>
      <c r="AC419" t="s">
        <v>22</v>
      </c>
      <c r="AD419" t="s">
        <v>1787</v>
      </c>
      <c r="AE419">
        <v>1.5382415041638255E-4</v>
      </c>
      <c r="AG419" t="s">
        <v>97</v>
      </c>
      <c r="AH419" t="s">
        <v>1787</v>
      </c>
      <c r="AI419">
        <v>0</v>
      </c>
    </row>
    <row r="420" spans="9:35" x14ac:dyDescent="0.45">
      <c r="I420" t="s">
        <v>236</v>
      </c>
      <c r="J420" t="s">
        <v>1788</v>
      </c>
      <c r="K420">
        <v>2.379186052218E-4</v>
      </c>
      <c r="L420" t="s">
        <v>238</v>
      </c>
      <c r="N420" t="s">
        <v>346</v>
      </c>
      <c r="O420" t="s">
        <v>1788</v>
      </c>
      <c r="P420">
        <v>9.0053517946262187E-5</v>
      </c>
      <c r="Q420" t="s">
        <v>238</v>
      </c>
      <c r="S420" t="s">
        <v>347</v>
      </c>
      <c r="T420" t="s">
        <v>1788</v>
      </c>
      <c r="U420">
        <v>1.4223884126330001E-4</v>
      </c>
      <c r="V420" t="s">
        <v>238</v>
      </c>
      <c r="X420">
        <v>1.1415525114155251E-4</v>
      </c>
      <c r="Y420">
        <v>1.4452759200788939E-4</v>
      </c>
      <c r="Z420" t="s">
        <v>1788</v>
      </c>
      <c r="AA420" t="s">
        <v>25</v>
      </c>
      <c r="AC420" t="s">
        <v>22</v>
      </c>
      <c r="AD420" t="s">
        <v>1788</v>
      </c>
      <c r="AE420">
        <v>1.5692545339964699E-4</v>
      </c>
      <c r="AG420" t="s">
        <v>97</v>
      </c>
      <c r="AH420" t="s">
        <v>1788</v>
      </c>
      <c r="AI420">
        <v>0</v>
      </c>
    </row>
    <row r="421" spans="9:35" x14ac:dyDescent="0.45">
      <c r="I421" t="s">
        <v>236</v>
      </c>
      <c r="J421" t="s">
        <v>1789</v>
      </c>
      <c r="K421">
        <v>2.9185790728719998E-4</v>
      </c>
      <c r="L421" t="s">
        <v>238</v>
      </c>
      <c r="N421" t="s">
        <v>346</v>
      </c>
      <c r="O421" t="s">
        <v>1789</v>
      </c>
      <c r="P421">
        <v>8.993564053470786E-5</v>
      </c>
      <c r="Q421" t="s">
        <v>238</v>
      </c>
      <c r="S421" t="s">
        <v>347</v>
      </c>
      <c r="T421" t="s">
        <v>1789</v>
      </c>
      <c r="U421">
        <v>1.481269348529E-4</v>
      </c>
      <c r="V421" t="s">
        <v>238</v>
      </c>
      <c r="X421">
        <v>1.1415525114155251E-4</v>
      </c>
      <c r="Y421">
        <v>1.408812536774151E-4</v>
      </c>
      <c r="Z421" t="s">
        <v>1789</v>
      </c>
      <c r="AA421" t="s">
        <v>25</v>
      </c>
      <c r="AC421" t="s">
        <v>22</v>
      </c>
      <c r="AD421" t="s">
        <v>1789</v>
      </c>
      <c r="AE421">
        <v>1.5437447405112077E-4</v>
      </c>
      <c r="AG421" t="s">
        <v>97</v>
      </c>
      <c r="AH421" t="s">
        <v>1789</v>
      </c>
      <c r="AI421">
        <v>0</v>
      </c>
    </row>
    <row r="422" spans="9:35" x14ac:dyDescent="0.45">
      <c r="I422" t="s">
        <v>236</v>
      </c>
      <c r="J422" t="s">
        <v>1790</v>
      </c>
      <c r="K422">
        <v>2.8197302729940002E-4</v>
      </c>
      <c r="L422" t="s">
        <v>238</v>
      </c>
      <c r="N422" t="s">
        <v>346</v>
      </c>
      <c r="O422" t="s">
        <v>1790</v>
      </c>
      <c r="P422">
        <v>8.3068887807935388E-5</v>
      </c>
      <c r="Q422" t="s">
        <v>238</v>
      </c>
      <c r="S422" t="s">
        <v>347</v>
      </c>
      <c r="T422" t="s">
        <v>1790</v>
      </c>
      <c r="U422">
        <v>1.30057020667E-4</v>
      </c>
      <c r="V422" t="s">
        <v>238</v>
      </c>
      <c r="X422">
        <v>1.1415525114155251E-4</v>
      </c>
      <c r="Y422">
        <v>1.4054976837464471E-4</v>
      </c>
      <c r="Z422" t="s">
        <v>1790</v>
      </c>
      <c r="AA422" t="s">
        <v>25</v>
      </c>
      <c r="AC422" t="s">
        <v>22</v>
      </c>
      <c r="AD422" t="s">
        <v>1790</v>
      </c>
      <c r="AE422">
        <v>1.5138208928723162E-4</v>
      </c>
      <c r="AG422" t="s">
        <v>97</v>
      </c>
      <c r="AH422" t="s">
        <v>1790</v>
      </c>
      <c r="AI422">
        <v>0</v>
      </c>
    </row>
    <row r="423" spans="9:35" x14ac:dyDescent="0.45">
      <c r="I423" t="s">
        <v>236</v>
      </c>
      <c r="J423" t="s">
        <v>1791</v>
      </c>
      <c r="K423">
        <v>2.235081912374E-4</v>
      </c>
      <c r="L423" t="s">
        <v>238</v>
      </c>
      <c r="N423" t="s">
        <v>346</v>
      </c>
      <c r="O423" t="s">
        <v>1791</v>
      </c>
      <c r="P423">
        <v>9.4258803589276425E-5</v>
      </c>
      <c r="Q423" t="s">
        <v>238</v>
      </c>
      <c r="S423" t="s">
        <v>347</v>
      </c>
      <c r="T423" t="s">
        <v>1791</v>
      </c>
      <c r="U423">
        <v>1.176734248323E-4</v>
      </c>
      <c r="V423" t="s">
        <v>238</v>
      </c>
      <c r="X423">
        <v>1.1415525114155251E-4</v>
      </c>
      <c r="Y423">
        <v>1.4253868019126702E-4</v>
      </c>
      <c r="Z423" t="s">
        <v>1791</v>
      </c>
      <c r="AA423" t="s">
        <v>25</v>
      </c>
      <c r="AC423" t="s">
        <v>22</v>
      </c>
      <c r="AD423" t="s">
        <v>1791</v>
      </c>
      <c r="AE423">
        <v>1.5078877161852947E-4</v>
      </c>
      <c r="AG423" t="s">
        <v>97</v>
      </c>
      <c r="AH423" t="s">
        <v>1791</v>
      </c>
      <c r="AI423">
        <v>0</v>
      </c>
    </row>
    <row r="424" spans="9:35" x14ac:dyDescent="0.45">
      <c r="I424" t="s">
        <v>236</v>
      </c>
      <c r="J424" t="s">
        <v>1792</v>
      </c>
      <c r="K424">
        <v>2.4262575725079999E-4</v>
      </c>
      <c r="L424" t="s">
        <v>238</v>
      </c>
      <c r="N424" t="s">
        <v>346</v>
      </c>
      <c r="O424" t="s">
        <v>1792</v>
      </c>
      <c r="P424">
        <v>1.058369019128E-4</v>
      </c>
      <c r="Q424" t="s">
        <v>238</v>
      </c>
      <c r="S424" t="s">
        <v>347</v>
      </c>
      <c r="T424" t="s">
        <v>1792</v>
      </c>
      <c r="U424">
        <v>1.043302750053E-4</v>
      </c>
      <c r="V424" t="s">
        <v>238</v>
      </c>
      <c r="X424">
        <v>1.1415525114155251E-4</v>
      </c>
      <c r="Y424">
        <v>1.4883690094390442E-4</v>
      </c>
      <c r="Z424" t="s">
        <v>1792</v>
      </c>
      <c r="AA424" t="s">
        <v>25</v>
      </c>
      <c r="AC424" t="s">
        <v>22</v>
      </c>
      <c r="AD424" t="s">
        <v>1792</v>
      </c>
      <c r="AE424">
        <v>1.5041329038857786E-4</v>
      </c>
      <c r="AG424" t="s">
        <v>97</v>
      </c>
      <c r="AH424" t="s">
        <v>1792</v>
      </c>
      <c r="AI424">
        <v>0</v>
      </c>
    </row>
    <row r="425" spans="9:35" x14ac:dyDescent="0.45">
      <c r="I425" t="s">
        <v>236</v>
      </c>
      <c r="J425" t="s">
        <v>1793</v>
      </c>
      <c r="K425">
        <v>2.2521288248769999E-4</v>
      </c>
      <c r="L425" t="s">
        <v>238</v>
      </c>
      <c r="N425" t="s">
        <v>346</v>
      </c>
      <c r="O425" t="s">
        <v>1793</v>
      </c>
      <c r="P425">
        <v>1.193876152349E-4</v>
      </c>
      <c r="Q425" t="s">
        <v>238</v>
      </c>
      <c r="S425" t="s">
        <v>347</v>
      </c>
      <c r="T425" t="s">
        <v>1793</v>
      </c>
      <c r="U425">
        <v>9.01040618550981E-5</v>
      </c>
      <c r="V425" t="s">
        <v>238</v>
      </c>
      <c r="X425">
        <v>1.1415525114155251E-4</v>
      </c>
      <c r="Y425">
        <v>1.5049432745775637E-4</v>
      </c>
      <c r="Z425" t="s">
        <v>1793</v>
      </c>
      <c r="AA425" t="s">
        <v>25</v>
      </c>
      <c r="AC425" t="s">
        <v>22</v>
      </c>
      <c r="AD425" t="s">
        <v>1793</v>
      </c>
      <c r="AE425">
        <v>1.5078877161852947E-4</v>
      </c>
      <c r="AG425" t="s">
        <v>97</v>
      </c>
      <c r="AH425" t="s">
        <v>1793</v>
      </c>
      <c r="AI425">
        <v>0</v>
      </c>
    </row>
    <row r="426" spans="9:35" x14ac:dyDescent="0.45">
      <c r="I426" t="s">
        <v>236</v>
      </c>
      <c r="J426" t="s">
        <v>1794</v>
      </c>
      <c r="K426">
        <v>1.4320717404049999E-4</v>
      </c>
      <c r="L426" t="s">
        <v>238</v>
      </c>
      <c r="N426" t="s">
        <v>346</v>
      </c>
      <c r="O426" t="s">
        <v>1794</v>
      </c>
      <c r="P426">
        <v>1.2698982503460001E-4</v>
      </c>
      <c r="Q426" t="s">
        <v>238</v>
      </c>
      <c r="S426" t="s">
        <v>347</v>
      </c>
      <c r="T426" t="s">
        <v>1794</v>
      </c>
      <c r="U426">
        <v>7.7938060873794407E-5</v>
      </c>
      <c r="V426" t="s">
        <v>238</v>
      </c>
      <c r="X426">
        <v>1.1415525114155251E-4</v>
      </c>
      <c r="Y426">
        <v>1.7237235744060203E-4</v>
      </c>
      <c r="Z426" t="s">
        <v>1794</v>
      </c>
      <c r="AA426" t="s">
        <v>25</v>
      </c>
      <c r="AC426" t="s">
        <v>22</v>
      </c>
      <c r="AD426" t="s">
        <v>1794</v>
      </c>
      <c r="AE426">
        <v>1.5222190608399363E-4</v>
      </c>
      <c r="AG426" t="s">
        <v>97</v>
      </c>
      <c r="AH426" t="s">
        <v>1794</v>
      </c>
      <c r="AI426">
        <v>0</v>
      </c>
    </row>
    <row r="427" spans="9:35" x14ac:dyDescent="0.45">
      <c r="I427" t="s">
        <v>236</v>
      </c>
      <c r="J427" t="s">
        <v>1795</v>
      </c>
      <c r="K427">
        <v>5.2377220131615488E-5</v>
      </c>
      <c r="L427" t="s">
        <v>238</v>
      </c>
      <c r="N427" t="s">
        <v>346</v>
      </c>
      <c r="O427" t="s">
        <v>1795</v>
      </c>
      <c r="P427">
        <v>1.3016171224469999E-4</v>
      </c>
      <c r="Q427" t="s">
        <v>238</v>
      </c>
      <c r="S427" t="s">
        <v>347</v>
      </c>
      <c r="T427" t="s">
        <v>1795</v>
      </c>
      <c r="U427">
        <v>7.2262380338682675E-5</v>
      </c>
      <c r="V427" t="s">
        <v>238</v>
      </c>
      <c r="X427">
        <v>1.1415525114155251E-4</v>
      </c>
      <c r="Y427">
        <v>2.2209515285616027E-4</v>
      </c>
      <c r="Z427" t="s">
        <v>1795</v>
      </c>
      <c r="AA427" t="s">
        <v>25</v>
      </c>
      <c r="AC427" t="s">
        <v>22</v>
      </c>
      <c r="AD427" t="s">
        <v>1795</v>
      </c>
      <c r="AE427">
        <v>1.5570728910400245E-4</v>
      </c>
      <c r="AG427" t="s">
        <v>97</v>
      </c>
      <c r="AH427" t="s">
        <v>1795</v>
      </c>
      <c r="AI427">
        <v>0</v>
      </c>
    </row>
    <row r="428" spans="9:35" x14ac:dyDescent="0.45">
      <c r="I428" t="s">
        <v>236</v>
      </c>
      <c r="J428" t="s">
        <v>1796</v>
      </c>
      <c r="K428">
        <v>0</v>
      </c>
      <c r="L428" t="s">
        <v>238</v>
      </c>
      <c r="N428" t="s">
        <v>346</v>
      </c>
      <c r="O428" t="s">
        <v>1796</v>
      </c>
      <c r="P428">
        <v>1.2403777006119999E-4</v>
      </c>
      <c r="Q428" t="s">
        <v>238</v>
      </c>
      <c r="S428" t="s">
        <v>347</v>
      </c>
      <c r="T428" t="s">
        <v>1796</v>
      </c>
      <c r="U428">
        <v>6.7750466437872328E-5</v>
      </c>
      <c r="V428" t="s">
        <v>238</v>
      </c>
      <c r="X428">
        <v>1.1415525114155251E-4</v>
      </c>
      <c r="Y428">
        <v>2.2209515285616027E-4</v>
      </c>
      <c r="Z428" t="s">
        <v>1796</v>
      </c>
      <c r="AA428" t="s">
        <v>25</v>
      </c>
      <c r="AC428" t="s">
        <v>22</v>
      </c>
      <c r="AD428" t="s">
        <v>1796</v>
      </c>
      <c r="AE428">
        <v>1.5641239126101082E-4</v>
      </c>
      <c r="AG428" t="s">
        <v>97</v>
      </c>
      <c r="AH428" t="s">
        <v>1796</v>
      </c>
      <c r="AI428">
        <v>0</v>
      </c>
    </row>
    <row r="429" spans="9:35" x14ac:dyDescent="0.45">
      <c r="I429" t="s">
        <v>236</v>
      </c>
      <c r="J429" t="s">
        <v>1797</v>
      </c>
      <c r="K429">
        <v>0</v>
      </c>
      <c r="L429" t="s">
        <v>238</v>
      </c>
      <c r="N429" t="s">
        <v>346</v>
      </c>
      <c r="O429" t="s">
        <v>1797</v>
      </c>
      <c r="P429">
        <v>1.146655128169E-4</v>
      </c>
      <c r="Q429" t="s">
        <v>238</v>
      </c>
      <c r="S429" t="s">
        <v>347</v>
      </c>
      <c r="T429" t="s">
        <v>1797</v>
      </c>
      <c r="U429">
        <v>6.2673715666953272E-5</v>
      </c>
      <c r="V429" t="s">
        <v>238</v>
      </c>
      <c r="X429">
        <v>1.1415525114155251E-4</v>
      </c>
      <c r="Y429">
        <v>1.7237235744060203E-4</v>
      </c>
      <c r="Z429" t="s">
        <v>1797</v>
      </c>
      <c r="AA429" t="s">
        <v>25</v>
      </c>
      <c r="AC429" t="s">
        <v>22</v>
      </c>
      <c r="AD429" t="s">
        <v>1797</v>
      </c>
      <c r="AE429">
        <v>1.5752450360621099E-4</v>
      </c>
      <c r="AG429" t="s">
        <v>97</v>
      </c>
      <c r="AH429" t="s">
        <v>1797</v>
      </c>
      <c r="AI429">
        <v>0</v>
      </c>
    </row>
    <row r="430" spans="9:35" x14ac:dyDescent="0.45">
      <c r="I430" t="s">
        <v>236</v>
      </c>
      <c r="J430" t="s">
        <v>1798</v>
      </c>
      <c r="K430">
        <v>0</v>
      </c>
      <c r="L430" t="s">
        <v>238</v>
      </c>
      <c r="N430" t="s">
        <v>346</v>
      </c>
      <c r="O430" t="s">
        <v>1798</v>
      </c>
      <c r="P430">
        <v>1.0310844289249999E-4</v>
      </c>
      <c r="Q430" t="s">
        <v>238</v>
      </c>
      <c r="S430" t="s">
        <v>347</v>
      </c>
      <c r="T430" t="s">
        <v>1798</v>
      </c>
      <c r="U430">
        <v>5.5077327796354643E-5</v>
      </c>
      <c r="V430" t="s">
        <v>238</v>
      </c>
      <c r="X430">
        <v>1.1415525114155251E-4</v>
      </c>
      <c r="Y430">
        <v>1.5579809230208258E-4</v>
      </c>
      <c r="Z430" t="s">
        <v>1798</v>
      </c>
      <c r="AA430" t="s">
        <v>25</v>
      </c>
      <c r="AC430" t="s">
        <v>22</v>
      </c>
      <c r="AD430" t="s">
        <v>1798</v>
      </c>
      <c r="AE430">
        <v>1.5096074775438514E-4</v>
      </c>
      <c r="AG430" t="s">
        <v>97</v>
      </c>
      <c r="AH430" t="s">
        <v>1798</v>
      </c>
      <c r="AI430">
        <v>0</v>
      </c>
    </row>
    <row r="431" spans="9:35" x14ac:dyDescent="0.45">
      <c r="I431" t="s">
        <v>236</v>
      </c>
      <c r="J431" t="s">
        <v>1799</v>
      </c>
      <c r="K431">
        <v>0</v>
      </c>
      <c r="L431" t="s">
        <v>238</v>
      </c>
      <c r="N431" t="s">
        <v>346</v>
      </c>
      <c r="O431" t="s">
        <v>1799</v>
      </c>
      <c r="P431">
        <v>9.3098462707034006E-5</v>
      </c>
      <c r="Q431" t="s">
        <v>238</v>
      </c>
      <c r="S431" t="s">
        <v>347</v>
      </c>
      <c r="T431" t="s">
        <v>1799</v>
      </c>
      <c r="U431">
        <v>5.1401829191673553E-5</v>
      </c>
      <c r="V431" t="s">
        <v>238</v>
      </c>
      <c r="X431">
        <v>1.1415525114155251E-4</v>
      </c>
      <c r="Y431">
        <v>1.093901499142282E-4</v>
      </c>
      <c r="Z431" t="s">
        <v>1799</v>
      </c>
      <c r="AA431" t="s">
        <v>25</v>
      </c>
      <c r="AC431" t="s">
        <v>22</v>
      </c>
      <c r="AD431" t="s">
        <v>1799</v>
      </c>
      <c r="AE431">
        <v>1.417026991074867E-4</v>
      </c>
      <c r="AG431" t="s">
        <v>97</v>
      </c>
      <c r="AH431" t="s">
        <v>1799</v>
      </c>
      <c r="AI431">
        <v>0</v>
      </c>
    </row>
    <row r="432" spans="9:35" x14ac:dyDescent="0.45">
      <c r="I432" t="s">
        <v>236</v>
      </c>
      <c r="J432" t="s">
        <v>1800</v>
      </c>
      <c r="K432">
        <v>0</v>
      </c>
      <c r="L432" t="s">
        <v>238</v>
      </c>
      <c r="N432" t="s">
        <v>346</v>
      </c>
      <c r="O432" t="s">
        <v>1800</v>
      </c>
      <c r="P432">
        <v>8.5311858626268091E-5</v>
      </c>
      <c r="Q432" t="s">
        <v>238</v>
      </c>
      <c r="S432" t="s">
        <v>347</v>
      </c>
      <c r="T432" t="s">
        <v>1800</v>
      </c>
      <c r="U432">
        <v>4.9519846031971691E-5</v>
      </c>
      <c r="V432" t="s">
        <v>238</v>
      </c>
      <c r="X432">
        <v>1.1415525114155251E-4</v>
      </c>
      <c r="Y432">
        <v>7.9556472664893237E-5</v>
      </c>
      <c r="Z432" t="s">
        <v>1800</v>
      </c>
      <c r="AA432" t="s">
        <v>25</v>
      </c>
      <c r="AC432" t="s">
        <v>22</v>
      </c>
      <c r="AD432" t="s">
        <v>1800</v>
      </c>
      <c r="AE432">
        <v>1.3061883715158686E-4</v>
      </c>
      <c r="AG432" t="s">
        <v>97</v>
      </c>
      <c r="AH432" t="s">
        <v>1800</v>
      </c>
      <c r="AI432">
        <v>0</v>
      </c>
    </row>
    <row r="433" spans="9:35" x14ac:dyDescent="0.45">
      <c r="I433" t="s">
        <v>236</v>
      </c>
      <c r="J433" t="s">
        <v>1801</v>
      </c>
      <c r="K433">
        <v>0</v>
      </c>
      <c r="L433" t="s">
        <v>238</v>
      </c>
      <c r="N433" t="s">
        <v>346</v>
      </c>
      <c r="O433" t="s">
        <v>1801</v>
      </c>
      <c r="P433">
        <v>8.891786113763119E-5</v>
      </c>
      <c r="Q433" t="s">
        <v>238</v>
      </c>
      <c r="S433" t="s">
        <v>347</v>
      </c>
      <c r="T433" t="s">
        <v>1801</v>
      </c>
      <c r="U433">
        <v>4.5746748298555314E-5</v>
      </c>
      <c r="V433" t="s">
        <v>238</v>
      </c>
      <c r="X433">
        <v>1.1415525114155251E-4</v>
      </c>
      <c r="Y433">
        <v>5.6352501470966035E-5</v>
      </c>
      <c r="Z433" t="s">
        <v>1801</v>
      </c>
      <c r="AA433" t="s">
        <v>25</v>
      </c>
      <c r="AC433" t="s">
        <v>22</v>
      </c>
      <c r="AD433" t="s">
        <v>1801</v>
      </c>
      <c r="AE433">
        <v>1.195808354985819E-4</v>
      </c>
      <c r="AG433" t="s">
        <v>97</v>
      </c>
      <c r="AH433" t="s">
        <v>1801</v>
      </c>
      <c r="AI433">
        <v>0</v>
      </c>
    </row>
    <row r="434" spans="9:35" x14ac:dyDescent="0.45">
      <c r="I434" t="s">
        <v>236</v>
      </c>
      <c r="J434" t="s">
        <v>1802</v>
      </c>
      <c r="K434">
        <v>0</v>
      </c>
      <c r="L434" t="s">
        <v>238</v>
      </c>
      <c r="N434" t="s">
        <v>346</v>
      </c>
      <c r="O434" t="s">
        <v>1802</v>
      </c>
      <c r="P434">
        <v>8.0672656427338378E-5</v>
      </c>
      <c r="Q434" t="s">
        <v>238</v>
      </c>
      <c r="S434" t="s">
        <v>347</v>
      </c>
      <c r="T434" t="s">
        <v>1802</v>
      </c>
      <c r="U434">
        <v>4.3952013897158959E-5</v>
      </c>
      <c r="V434" t="s">
        <v>238</v>
      </c>
      <c r="X434">
        <v>1.1415525114155251E-4</v>
      </c>
      <c r="Y434">
        <v>2.9833677249334962E-5</v>
      </c>
      <c r="Z434" t="s">
        <v>1802</v>
      </c>
      <c r="AA434" t="s">
        <v>25</v>
      </c>
      <c r="AC434" t="s">
        <v>22</v>
      </c>
      <c r="AD434" t="s">
        <v>1802</v>
      </c>
      <c r="AE434">
        <v>9.6358324620200676E-5</v>
      </c>
      <c r="AG434" t="s">
        <v>97</v>
      </c>
      <c r="AH434" t="s">
        <v>1802</v>
      </c>
      <c r="AI434">
        <v>0</v>
      </c>
    </row>
    <row r="435" spans="9:35" x14ac:dyDescent="0.45">
      <c r="I435" t="s">
        <v>236</v>
      </c>
      <c r="J435" t="s">
        <v>735</v>
      </c>
      <c r="K435">
        <v>0</v>
      </c>
      <c r="L435" t="s">
        <v>238</v>
      </c>
      <c r="N435" t="s">
        <v>346</v>
      </c>
      <c r="O435" t="s">
        <v>735</v>
      </c>
      <c r="P435">
        <v>3.2736869650750684E-2</v>
      </c>
      <c r="Q435" t="s">
        <v>238</v>
      </c>
      <c r="S435" t="s">
        <v>347</v>
      </c>
      <c r="T435" t="s">
        <v>735</v>
      </c>
      <c r="U435">
        <v>3.0780194376606354E-2</v>
      </c>
      <c r="V435" t="s">
        <v>238</v>
      </c>
      <c r="X435">
        <v>2.1232876712328767E-2</v>
      </c>
      <c r="Y435">
        <v>4.5420116185598634E-3</v>
      </c>
      <c r="Z435" t="s">
        <v>735</v>
      </c>
      <c r="AA435" t="s">
        <v>25</v>
      </c>
      <c r="AC435" t="s">
        <v>22</v>
      </c>
      <c r="AD435" t="s">
        <v>735</v>
      </c>
      <c r="AE435">
        <v>1.6670392473391051E-2</v>
      </c>
      <c r="AG435" t="s">
        <v>97</v>
      </c>
      <c r="AH435" t="s">
        <v>735</v>
      </c>
      <c r="AI435">
        <v>0.238545611948626</v>
      </c>
    </row>
    <row r="436" spans="9:35" x14ac:dyDescent="0.45">
      <c r="I436" t="s">
        <v>236</v>
      </c>
      <c r="J436" t="s">
        <v>736</v>
      </c>
      <c r="K436">
        <v>0</v>
      </c>
      <c r="L436" t="s">
        <v>238</v>
      </c>
      <c r="N436" t="s">
        <v>346</v>
      </c>
      <c r="O436" t="s">
        <v>736</v>
      </c>
      <c r="P436">
        <v>5.6504380713402287E-3</v>
      </c>
      <c r="Q436" t="s">
        <v>238</v>
      </c>
      <c r="S436" t="s">
        <v>347</v>
      </c>
      <c r="T436" t="s">
        <v>736</v>
      </c>
      <c r="U436">
        <v>5.1882266419378802E-3</v>
      </c>
      <c r="V436" t="s">
        <v>238</v>
      </c>
      <c r="X436">
        <v>3.5388127853881279E-3</v>
      </c>
      <c r="Y436">
        <v>5.240782636799844E-3</v>
      </c>
      <c r="Z436" t="s">
        <v>736</v>
      </c>
      <c r="AA436" t="s">
        <v>25</v>
      </c>
      <c r="AC436" t="s">
        <v>22</v>
      </c>
      <c r="AD436" t="s">
        <v>736</v>
      </c>
      <c r="AE436">
        <v>4.0687610115993757E-3</v>
      </c>
      <c r="AG436" t="s">
        <v>97</v>
      </c>
      <c r="AH436" t="s">
        <v>736</v>
      </c>
      <c r="AI436">
        <v>8.8374494449703134E-2</v>
      </c>
    </row>
    <row r="437" spans="9:35" x14ac:dyDescent="0.45">
      <c r="I437" t="s">
        <v>236</v>
      </c>
      <c r="J437" t="s">
        <v>737</v>
      </c>
      <c r="K437">
        <v>0</v>
      </c>
      <c r="L437" t="s">
        <v>238</v>
      </c>
      <c r="N437" t="s">
        <v>346</v>
      </c>
      <c r="O437" t="s">
        <v>737</v>
      </c>
      <c r="P437">
        <v>5.7246561551984381E-3</v>
      </c>
      <c r="Q437" t="s">
        <v>238</v>
      </c>
      <c r="S437" t="s">
        <v>347</v>
      </c>
      <c r="T437" t="s">
        <v>737</v>
      </c>
      <c r="U437">
        <v>5.2072656259497599E-3</v>
      </c>
      <c r="V437" t="s">
        <v>238</v>
      </c>
      <c r="X437">
        <v>3.5388127853881279E-3</v>
      </c>
      <c r="Y437">
        <v>5.9087255218821738E-3</v>
      </c>
      <c r="Z437" t="s">
        <v>737</v>
      </c>
      <c r="AA437" t="s">
        <v>25</v>
      </c>
      <c r="AC437" t="s">
        <v>22</v>
      </c>
      <c r="AD437" t="s">
        <v>737</v>
      </c>
      <c r="AE437">
        <v>4.2038454000450963E-3</v>
      </c>
      <c r="AG437" t="s">
        <v>97</v>
      </c>
      <c r="AH437" t="s">
        <v>737</v>
      </c>
      <c r="AI437">
        <v>6.5091704487547197E-2</v>
      </c>
    </row>
    <row r="438" spans="9:35" x14ac:dyDescent="0.45">
      <c r="I438" t="s">
        <v>236</v>
      </c>
      <c r="J438" t="s">
        <v>738</v>
      </c>
      <c r="K438">
        <v>1.0272097371431923E-3</v>
      </c>
      <c r="L438" t="s">
        <v>238</v>
      </c>
      <c r="N438" t="s">
        <v>346</v>
      </c>
      <c r="O438" t="s">
        <v>738</v>
      </c>
      <c r="P438">
        <v>5.7849962600277742E-3</v>
      </c>
      <c r="Q438" t="s">
        <v>238</v>
      </c>
      <c r="S438" t="s">
        <v>347</v>
      </c>
      <c r="T438" t="s">
        <v>738</v>
      </c>
      <c r="U438">
        <v>5.2610554246647918E-3</v>
      </c>
      <c r="V438" t="s">
        <v>238</v>
      </c>
      <c r="X438">
        <v>3.5388127853881279E-3</v>
      </c>
      <c r="Y438">
        <v>4.521459529788099E-3</v>
      </c>
      <c r="Z438" t="s">
        <v>738</v>
      </c>
      <c r="AA438" t="s">
        <v>25</v>
      </c>
      <c r="AC438" t="s">
        <v>22</v>
      </c>
      <c r="AD438" t="s">
        <v>738</v>
      </c>
      <c r="AE438">
        <v>4.3968656823916716E-3</v>
      </c>
      <c r="AG438" t="s">
        <v>97</v>
      </c>
      <c r="AH438" t="s">
        <v>738</v>
      </c>
      <c r="AI438">
        <v>6.750385296878858E-2</v>
      </c>
    </row>
    <row r="439" spans="9:35" x14ac:dyDescent="0.45">
      <c r="I439" t="s">
        <v>236</v>
      </c>
      <c r="J439" t="s">
        <v>739</v>
      </c>
      <c r="K439">
        <v>3.1282659105564783E-2</v>
      </c>
      <c r="L439" t="s">
        <v>238</v>
      </c>
      <c r="N439" t="s">
        <v>346</v>
      </c>
      <c r="O439" t="s">
        <v>739</v>
      </c>
      <c r="P439">
        <v>3.8357949136617581E-2</v>
      </c>
      <c r="Q439" t="s">
        <v>238</v>
      </c>
      <c r="S439" t="s">
        <v>347</v>
      </c>
      <c r="T439" t="s">
        <v>739</v>
      </c>
      <c r="U439">
        <v>3.5915033947914815E-2</v>
      </c>
      <c r="V439" t="s">
        <v>238</v>
      </c>
      <c r="X439">
        <v>2.4771689497716895E-2</v>
      </c>
      <c r="Y439">
        <v>3.2246227282897846E-2</v>
      </c>
      <c r="Z439" t="s">
        <v>739</v>
      </c>
      <c r="AA439" t="s">
        <v>25</v>
      </c>
      <c r="AC439" t="s">
        <v>22</v>
      </c>
      <c r="AD439" t="s">
        <v>739</v>
      </c>
      <c r="AE439">
        <v>3.0675490343048433E-2</v>
      </c>
      <c r="AG439" t="s">
        <v>97</v>
      </c>
      <c r="AH439" t="s">
        <v>739</v>
      </c>
      <c r="AI439">
        <v>8.5594267559709225E-2</v>
      </c>
    </row>
    <row r="440" spans="9:35" x14ac:dyDescent="0.45">
      <c r="I440" t="s">
        <v>236</v>
      </c>
      <c r="J440" t="s">
        <v>740</v>
      </c>
      <c r="K440">
        <v>1.0104074563618622E-3</v>
      </c>
      <c r="L440" t="s">
        <v>238</v>
      </c>
      <c r="N440" t="s">
        <v>346</v>
      </c>
      <c r="O440" t="s">
        <v>740</v>
      </c>
      <c r="P440">
        <v>5.4775786312612857E-3</v>
      </c>
      <c r="Q440" t="s">
        <v>238</v>
      </c>
      <c r="S440" t="s">
        <v>347</v>
      </c>
      <c r="T440" t="s">
        <v>740</v>
      </c>
      <c r="U440">
        <v>5.123830979424461E-3</v>
      </c>
      <c r="V440" t="s">
        <v>238</v>
      </c>
      <c r="X440">
        <v>3.5388127853881279E-3</v>
      </c>
      <c r="Y440">
        <v>6.8849497385409693E-3</v>
      </c>
      <c r="Z440" t="s">
        <v>740</v>
      </c>
      <c r="AA440" t="s">
        <v>25</v>
      </c>
      <c r="AC440" t="s">
        <v>22</v>
      </c>
      <c r="AD440" t="s">
        <v>740</v>
      </c>
      <c r="AE440">
        <v>4.467192456880929E-3</v>
      </c>
      <c r="AG440" t="s">
        <v>97</v>
      </c>
      <c r="AH440" t="s">
        <v>740</v>
      </c>
      <c r="AI440">
        <v>7.3382032846391221E-2</v>
      </c>
    </row>
    <row r="441" spans="9:35" x14ac:dyDescent="0.45">
      <c r="I441" t="s">
        <v>236</v>
      </c>
      <c r="J441" t="s">
        <v>741</v>
      </c>
      <c r="K441">
        <v>0</v>
      </c>
      <c r="L441" t="s">
        <v>238</v>
      </c>
      <c r="N441" t="s">
        <v>346</v>
      </c>
      <c r="O441" t="s">
        <v>741</v>
      </c>
      <c r="P441">
        <v>5.5579987889586074E-3</v>
      </c>
      <c r="Q441" t="s">
        <v>238</v>
      </c>
      <c r="S441" t="s">
        <v>347</v>
      </c>
      <c r="T441" t="s">
        <v>741</v>
      </c>
      <c r="U441">
        <v>5.0881884999339905E-3</v>
      </c>
      <c r="V441" t="s">
        <v>238</v>
      </c>
      <c r="X441">
        <v>3.5388127853881279E-3</v>
      </c>
      <c r="Y441">
        <v>6.8849497385409693E-3</v>
      </c>
      <c r="Z441" t="s">
        <v>741</v>
      </c>
      <c r="AA441" t="s">
        <v>25</v>
      </c>
      <c r="AC441" t="s">
        <v>22</v>
      </c>
      <c r="AD441" t="s">
        <v>741</v>
      </c>
      <c r="AE441">
        <v>4.4859837159920953E-3</v>
      </c>
      <c r="AG441" t="s">
        <v>97</v>
      </c>
      <c r="AH441" t="s">
        <v>741</v>
      </c>
      <c r="AI441">
        <v>7.2204719550229779E-2</v>
      </c>
    </row>
    <row r="442" spans="9:35" x14ac:dyDescent="0.45">
      <c r="I442" t="s">
        <v>236</v>
      </c>
      <c r="J442" t="s">
        <v>742</v>
      </c>
      <c r="K442">
        <v>0</v>
      </c>
      <c r="L442" t="s">
        <v>238</v>
      </c>
      <c r="N442" t="s">
        <v>346</v>
      </c>
      <c r="O442" t="s">
        <v>742</v>
      </c>
      <c r="P442">
        <v>3.3173230194001944E-2</v>
      </c>
      <c r="Q442" t="s">
        <v>238</v>
      </c>
      <c r="S442" t="s">
        <v>347</v>
      </c>
      <c r="T442" t="s">
        <v>742</v>
      </c>
      <c r="U442">
        <v>3.0508743271377835E-2</v>
      </c>
      <c r="V442" t="s">
        <v>238</v>
      </c>
      <c r="X442">
        <v>2.1232876712328767E-2</v>
      </c>
      <c r="Y442">
        <v>1.8702400782305319E-2</v>
      </c>
      <c r="Z442" t="s">
        <v>742</v>
      </c>
      <c r="AA442" t="s">
        <v>25</v>
      </c>
      <c r="AC442" t="s">
        <v>22</v>
      </c>
      <c r="AD442" t="s">
        <v>742</v>
      </c>
      <c r="AE442">
        <v>2.313533083755422E-2</v>
      </c>
      <c r="AG442" t="s">
        <v>97</v>
      </c>
      <c r="AH442" t="s">
        <v>742</v>
      </c>
      <c r="AI442">
        <v>0.173387686403907</v>
      </c>
    </row>
    <row r="443" spans="9:35" x14ac:dyDescent="0.45">
      <c r="AC443" t="s">
        <v>19</v>
      </c>
      <c r="AD443" t="s">
        <v>237</v>
      </c>
      <c r="AE443">
        <v>3.9707320225947071E-2</v>
      </c>
    </row>
    <row r="444" spans="9:35" x14ac:dyDescent="0.45">
      <c r="AC444" t="s">
        <v>19</v>
      </c>
      <c r="AD444" t="s">
        <v>239</v>
      </c>
      <c r="AE444">
        <v>6.7596278770507834E-3</v>
      </c>
    </row>
    <row r="445" spans="9:35" x14ac:dyDescent="0.45">
      <c r="AC445" t="s">
        <v>19</v>
      </c>
      <c r="AD445" t="s">
        <v>240</v>
      </c>
      <c r="AE445">
        <v>6.7836594249260918E-3</v>
      </c>
    </row>
    <row r="446" spans="9:35" x14ac:dyDescent="0.45">
      <c r="AC446" t="s">
        <v>19</v>
      </c>
      <c r="AD446" t="s">
        <v>241</v>
      </c>
      <c r="AE446">
        <v>6.8029382163175564E-3</v>
      </c>
    </row>
    <row r="447" spans="9:35" x14ac:dyDescent="0.45">
      <c r="AC447" t="s">
        <v>19</v>
      </c>
      <c r="AD447" t="s">
        <v>242</v>
      </c>
      <c r="AE447">
        <v>4.7650057395023968E-2</v>
      </c>
    </row>
    <row r="448" spans="9:35" x14ac:dyDescent="0.45">
      <c r="AC448" t="s">
        <v>19</v>
      </c>
      <c r="AD448" t="s">
        <v>243</v>
      </c>
      <c r="AE448">
        <v>6.8199361796253506E-3</v>
      </c>
    </row>
    <row r="449" spans="29:31" x14ac:dyDescent="0.45">
      <c r="AC449" t="s">
        <v>19</v>
      </c>
      <c r="AD449" t="s">
        <v>244</v>
      </c>
      <c r="AE449">
        <v>6.8223878568565753E-3</v>
      </c>
    </row>
    <row r="450" spans="29:31" x14ac:dyDescent="0.45">
      <c r="AC450" t="s">
        <v>19</v>
      </c>
      <c r="AD450" t="s">
        <v>245</v>
      </c>
      <c r="AE450">
        <v>4.0494564167635499E-2</v>
      </c>
    </row>
    <row r="451" spans="29:31" x14ac:dyDescent="0.45">
      <c r="AC451" t="s">
        <v>19</v>
      </c>
      <c r="AD451" t="s">
        <v>247</v>
      </c>
      <c r="AE451">
        <v>6.0730281274080568E-2</v>
      </c>
    </row>
    <row r="452" spans="29:31" x14ac:dyDescent="0.45">
      <c r="AC452" t="s">
        <v>19</v>
      </c>
      <c r="AD452" t="s">
        <v>248</v>
      </c>
      <c r="AE452">
        <v>1.0299035540077488E-2</v>
      </c>
    </row>
    <row r="453" spans="29:31" x14ac:dyDescent="0.45">
      <c r="AC453" t="s">
        <v>19</v>
      </c>
      <c r="AD453" t="s">
        <v>249</v>
      </c>
      <c r="AE453">
        <v>1.0349455003986421E-2</v>
      </c>
    </row>
    <row r="454" spans="29:31" x14ac:dyDescent="0.45">
      <c r="AC454" t="s">
        <v>19</v>
      </c>
      <c r="AD454" t="s">
        <v>250</v>
      </c>
      <c r="AE454">
        <v>1.0374943028790362E-2</v>
      </c>
    </row>
    <row r="455" spans="29:31" x14ac:dyDescent="0.45">
      <c r="AC455" t="s">
        <v>19</v>
      </c>
      <c r="AD455" t="s">
        <v>251</v>
      </c>
      <c r="AE455">
        <v>7.2540901030863705E-2</v>
      </c>
    </row>
    <row r="456" spans="29:31" x14ac:dyDescent="0.45">
      <c r="AC456" t="s">
        <v>19</v>
      </c>
      <c r="AD456" t="s">
        <v>252</v>
      </c>
      <c r="AE456">
        <v>1.0362308067325941E-2</v>
      </c>
    </row>
    <row r="457" spans="29:31" x14ac:dyDescent="0.45">
      <c r="AC457" t="s">
        <v>19</v>
      </c>
      <c r="AD457" t="s">
        <v>253</v>
      </c>
      <c r="AE457">
        <v>1.0366925333846106E-2</v>
      </c>
    </row>
    <row r="458" spans="29:31" x14ac:dyDescent="0.45">
      <c r="AC458" t="s">
        <v>19</v>
      </c>
      <c r="AD458" t="s">
        <v>254</v>
      </c>
      <c r="AE458">
        <v>6.1629557736137576E-2</v>
      </c>
    </row>
    <row r="459" spans="29:31" x14ac:dyDescent="0.45">
      <c r="AC459" t="s">
        <v>19</v>
      </c>
      <c r="AD459" t="s">
        <v>1419</v>
      </c>
      <c r="AE459">
        <v>1.1225016365117119E-4</v>
      </c>
    </row>
    <row r="460" spans="29:31" x14ac:dyDescent="0.45">
      <c r="AC460" t="s">
        <v>19</v>
      </c>
      <c r="AD460" t="s">
        <v>1420</v>
      </c>
      <c r="AE460">
        <v>1.121779987713482E-4</v>
      </c>
    </row>
    <row r="461" spans="29:31" x14ac:dyDescent="0.45">
      <c r="AC461" t="s">
        <v>19</v>
      </c>
      <c r="AD461" t="s">
        <v>1421</v>
      </c>
      <c r="AE461">
        <v>1.1216690884549567E-4</v>
      </c>
    </row>
    <row r="462" spans="29:31" x14ac:dyDescent="0.45">
      <c r="AC462" t="s">
        <v>19</v>
      </c>
      <c r="AD462" t="s">
        <v>1422</v>
      </c>
      <c r="AE462">
        <v>1.1216690884549567E-4</v>
      </c>
    </row>
    <row r="463" spans="29:31" x14ac:dyDescent="0.45">
      <c r="AC463" t="s">
        <v>19</v>
      </c>
      <c r="AD463" t="s">
        <v>1423</v>
      </c>
      <c r="AE463">
        <v>1.1220017862305327E-4</v>
      </c>
    </row>
    <row r="464" spans="29:31" x14ac:dyDescent="0.45">
      <c r="AC464" t="s">
        <v>19</v>
      </c>
      <c r="AD464" t="s">
        <v>1424</v>
      </c>
      <c r="AE464">
        <v>1.1228487994079651E-4</v>
      </c>
    </row>
    <row r="465" spans="29:31" x14ac:dyDescent="0.45">
      <c r="AC465" t="s">
        <v>19</v>
      </c>
      <c r="AD465" t="s">
        <v>1425</v>
      </c>
      <c r="AE465">
        <v>1.1300427860914327E-4</v>
      </c>
    </row>
    <row r="466" spans="29:31" x14ac:dyDescent="0.45">
      <c r="AC466" t="s">
        <v>19</v>
      </c>
      <c r="AD466" t="s">
        <v>1426</v>
      </c>
      <c r="AE466">
        <v>1.1391333108192466E-4</v>
      </c>
    </row>
    <row r="467" spans="29:31" x14ac:dyDescent="0.45">
      <c r="AC467" t="s">
        <v>19</v>
      </c>
      <c r="AD467" t="s">
        <v>1427</v>
      </c>
      <c r="AE467">
        <v>1.1439051934070962E-4</v>
      </c>
    </row>
    <row r="468" spans="29:31" x14ac:dyDescent="0.45">
      <c r="AC468" t="s">
        <v>19</v>
      </c>
      <c r="AD468" t="s">
        <v>1428</v>
      </c>
      <c r="AE468">
        <v>1.1443230746711047E-4</v>
      </c>
    </row>
    <row r="469" spans="29:31" x14ac:dyDescent="0.45">
      <c r="AC469" t="s">
        <v>19</v>
      </c>
      <c r="AD469" t="s">
        <v>1429</v>
      </c>
      <c r="AE469">
        <v>1.1437332191946005E-4</v>
      </c>
    </row>
    <row r="470" spans="29:31" x14ac:dyDescent="0.45">
      <c r="AC470" t="s">
        <v>19</v>
      </c>
      <c r="AD470" t="s">
        <v>1430</v>
      </c>
      <c r="AE470">
        <v>1.143138542011204E-4</v>
      </c>
    </row>
    <row r="471" spans="29:31" x14ac:dyDescent="0.45">
      <c r="AC471" t="s">
        <v>19</v>
      </c>
      <c r="AD471" t="s">
        <v>1431</v>
      </c>
      <c r="AE471">
        <v>1.1419540093513031E-4</v>
      </c>
    </row>
    <row r="472" spans="29:31" x14ac:dyDescent="0.45">
      <c r="AC472" t="s">
        <v>19</v>
      </c>
      <c r="AD472" t="s">
        <v>1432</v>
      </c>
      <c r="AE472">
        <v>1.1416679214090204E-4</v>
      </c>
    </row>
    <row r="473" spans="29:31" x14ac:dyDescent="0.45">
      <c r="AC473" t="s">
        <v>19</v>
      </c>
      <c r="AD473" t="s">
        <v>1433</v>
      </c>
      <c r="AE473">
        <v>1.1411005672313475E-4</v>
      </c>
    </row>
    <row r="474" spans="29:31" x14ac:dyDescent="0.45">
      <c r="AC474" t="s">
        <v>19</v>
      </c>
      <c r="AD474" t="s">
        <v>1434</v>
      </c>
      <c r="AE474">
        <v>1.1415345208516641E-4</v>
      </c>
    </row>
    <row r="475" spans="29:31" x14ac:dyDescent="0.45">
      <c r="AC475" t="s">
        <v>19</v>
      </c>
      <c r="AD475" t="s">
        <v>1435</v>
      </c>
      <c r="AE475">
        <v>1.1446541652110497E-4</v>
      </c>
    </row>
    <row r="476" spans="29:31" x14ac:dyDescent="0.45">
      <c r="AC476" t="s">
        <v>19</v>
      </c>
      <c r="AD476" t="s">
        <v>1436</v>
      </c>
      <c r="AE476">
        <v>1.1450125787567186E-4</v>
      </c>
    </row>
    <row r="477" spans="29:31" x14ac:dyDescent="0.45">
      <c r="AC477" t="s">
        <v>19</v>
      </c>
      <c r="AD477" t="s">
        <v>1437</v>
      </c>
      <c r="AE477">
        <v>1.1468142898988472E-4</v>
      </c>
    </row>
    <row r="478" spans="29:31" x14ac:dyDescent="0.45">
      <c r="AC478" t="s">
        <v>19</v>
      </c>
      <c r="AD478" t="s">
        <v>1438</v>
      </c>
      <c r="AE478">
        <v>1.1447313125213283E-4</v>
      </c>
    </row>
    <row r="479" spans="29:31" x14ac:dyDescent="0.45">
      <c r="AC479" t="s">
        <v>19</v>
      </c>
      <c r="AD479" t="s">
        <v>1439</v>
      </c>
      <c r="AE479">
        <v>1.1433105162236997E-4</v>
      </c>
    </row>
    <row r="480" spans="29:31" x14ac:dyDescent="0.45">
      <c r="AC480" t="s">
        <v>19</v>
      </c>
      <c r="AD480" t="s">
        <v>1440</v>
      </c>
      <c r="AE480">
        <v>1.1407598332776178E-4</v>
      </c>
    </row>
    <row r="481" spans="29:31" x14ac:dyDescent="0.45">
      <c r="AC481" t="s">
        <v>19</v>
      </c>
      <c r="AD481" t="s">
        <v>1441</v>
      </c>
      <c r="AE481">
        <v>1.1383120134119068E-4</v>
      </c>
    </row>
    <row r="482" spans="29:31" x14ac:dyDescent="0.45">
      <c r="AC482" t="s">
        <v>19</v>
      </c>
      <c r="AD482" t="s">
        <v>1442</v>
      </c>
      <c r="AE482">
        <v>1.1189994700721954E-4</v>
      </c>
    </row>
    <row r="483" spans="29:31" x14ac:dyDescent="0.45">
      <c r="AC483" t="s">
        <v>19</v>
      </c>
      <c r="AD483" t="s">
        <v>1443</v>
      </c>
      <c r="AE483">
        <v>1.1158589316496091E-4</v>
      </c>
    </row>
    <row r="484" spans="29:31" x14ac:dyDescent="0.45">
      <c r="AC484" t="s">
        <v>19</v>
      </c>
      <c r="AD484" t="s">
        <v>1444</v>
      </c>
      <c r="AE484">
        <v>1.1144252774669341E-4</v>
      </c>
    </row>
    <row r="485" spans="29:31" x14ac:dyDescent="0.45">
      <c r="AC485" t="s">
        <v>19</v>
      </c>
      <c r="AD485" t="s">
        <v>1445</v>
      </c>
      <c r="AE485">
        <v>1.1141584763522211E-4</v>
      </c>
    </row>
    <row r="486" spans="29:31" x14ac:dyDescent="0.45">
      <c r="AC486" t="s">
        <v>19</v>
      </c>
      <c r="AD486" t="s">
        <v>1446</v>
      </c>
      <c r="AE486">
        <v>1.1162494899078938E-4</v>
      </c>
    </row>
    <row r="487" spans="29:31" x14ac:dyDescent="0.45">
      <c r="AC487" t="s">
        <v>19</v>
      </c>
      <c r="AD487" t="s">
        <v>1447</v>
      </c>
      <c r="AE487">
        <v>1.1180608444638072E-4</v>
      </c>
    </row>
    <row r="488" spans="29:31" x14ac:dyDescent="0.45">
      <c r="AC488" t="s">
        <v>19</v>
      </c>
      <c r="AD488" t="s">
        <v>1448</v>
      </c>
      <c r="AE488">
        <v>1.1208493982832479E-4</v>
      </c>
    </row>
    <row r="489" spans="29:31" x14ac:dyDescent="0.45">
      <c r="AC489" t="s">
        <v>19</v>
      </c>
      <c r="AD489" t="s">
        <v>1449</v>
      </c>
      <c r="AE489">
        <v>1.1282442894205659E-4</v>
      </c>
    </row>
    <row r="490" spans="29:31" x14ac:dyDescent="0.45">
      <c r="AC490" t="s">
        <v>19</v>
      </c>
      <c r="AD490" t="s">
        <v>1450</v>
      </c>
      <c r="AE490">
        <v>1.1375308968953372E-4</v>
      </c>
    </row>
    <row r="491" spans="29:31" x14ac:dyDescent="0.45">
      <c r="AC491" t="s">
        <v>19</v>
      </c>
      <c r="AD491" t="s">
        <v>1451</v>
      </c>
      <c r="AE491">
        <v>1.1407260813293709E-4</v>
      </c>
    </row>
    <row r="492" spans="29:31" x14ac:dyDescent="0.45">
      <c r="AC492" t="s">
        <v>19</v>
      </c>
      <c r="AD492" t="s">
        <v>1452</v>
      </c>
      <c r="AE492">
        <v>1.1436480357061679E-4</v>
      </c>
    </row>
    <row r="493" spans="29:31" x14ac:dyDescent="0.45">
      <c r="AC493" t="s">
        <v>19</v>
      </c>
      <c r="AD493" t="s">
        <v>1453</v>
      </c>
      <c r="AE493">
        <v>1.1434214154822248E-4</v>
      </c>
    </row>
    <row r="494" spans="29:31" x14ac:dyDescent="0.45">
      <c r="AC494" t="s">
        <v>19</v>
      </c>
      <c r="AD494" t="s">
        <v>1454</v>
      </c>
      <c r="AE494">
        <v>1.1431385420112037E-4</v>
      </c>
    </row>
    <row r="495" spans="29:31" x14ac:dyDescent="0.45">
      <c r="AC495" t="s">
        <v>19</v>
      </c>
      <c r="AD495" t="s">
        <v>1455</v>
      </c>
      <c r="AE495">
        <v>1.1426692292070097E-4</v>
      </c>
    </row>
    <row r="496" spans="29:31" x14ac:dyDescent="0.45">
      <c r="AC496" t="s">
        <v>19</v>
      </c>
      <c r="AD496" t="s">
        <v>1456</v>
      </c>
      <c r="AE496">
        <v>1.1422867071268789E-4</v>
      </c>
    </row>
    <row r="497" spans="29:31" x14ac:dyDescent="0.45">
      <c r="AC497" t="s">
        <v>19</v>
      </c>
      <c r="AD497" t="s">
        <v>1457</v>
      </c>
      <c r="AE497">
        <v>1.1416679214090204E-4</v>
      </c>
    </row>
    <row r="498" spans="29:31" x14ac:dyDescent="0.45">
      <c r="AC498" t="s">
        <v>19</v>
      </c>
      <c r="AD498" t="s">
        <v>1458</v>
      </c>
      <c r="AE498">
        <v>1.1423172446038643E-4</v>
      </c>
    </row>
    <row r="499" spans="29:31" x14ac:dyDescent="0.45">
      <c r="AC499" t="s">
        <v>19</v>
      </c>
      <c r="AD499" t="s">
        <v>1459</v>
      </c>
      <c r="AE499">
        <v>1.1454818915609126E-4</v>
      </c>
    </row>
    <row r="500" spans="29:31" x14ac:dyDescent="0.45">
      <c r="AC500" t="s">
        <v>19</v>
      </c>
      <c r="AD500" t="s">
        <v>1460</v>
      </c>
      <c r="AE500">
        <v>1.1463594422153302E-4</v>
      </c>
    </row>
    <row r="501" spans="29:31" x14ac:dyDescent="0.45">
      <c r="AC501" t="s">
        <v>19</v>
      </c>
      <c r="AD501" t="s">
        <v>1461</v>
      </c>
      <c r="AE501">
        <v>1.1468142898988469E-4</v>
      </c>
    </row>
    <row r="502" spans="29:31" x14ac:dyDescent="0.45">
      <c r="AC502" t="s">
        <v>19</v>
      </c>
      <c r="AD502" t="s">
        <v>1462</v>
      </c>
      <c r="AE502">
        <v>1.1447313125213283E-4</v>
      </c>
    </row>
    <row r="503" spans="29:31" x14ac:dyDescent="0.45">
      <c r="AC503" t="s">
        <v>19</v>
      </c>
      <c r="AD503" t="s">
        <v>1463</v>
      </c>
      <c r="AE503">
        <v>1.1430983611204338E-4</v>
      </c>
    </row>
    <row r="504" spans="29:31" x14ac:dyDescent="0.45">
      <c r="AC504" t="s">
        <v>19</v>
      </c>
      <c r="AD504" t="s">
        <v>1464</v>
      </c>
      <c r="AE504">
        <v>1.1407598332776175E-4</v>
      </c>
    </row>
    <row r="505" spans="29:31" x14ac:dyDescent="0.45">
      <c r="AC505" t="s">
        <v>19</v>
      </c>
      <c r="AD505" t="s">
        <v>1465</v>
      </c>
      <c r="AE505">
        <v>1.1381191451362105E-4</v>
      </c>
    </row>
    <row r="506" spans="29:31" x14ac:dyDescent="0.45">
      <c r="AC506" t="s">
        <v>19</v>
      </c>
      <c r="AD506" t="s">
        <v>1466</v>
      </c>
      <c r="AE506">
        <v>1.1196745090371321E-4</v>
      </c>
    </row>
    <row r="507" spans="29:31" x14ac:dyDescent="0.45">
      <c r="AC507" t="s">
        <v>19</v>
      </c>
      <c r="AD507" t="s">
        <v>328</v>
      </c>
      <c r="AE507">
        <v>7.7568147763327197E-2</v>
      </c>
    </row>
    <row r="508" spans="29:31" x14ac:dyDescent="0.45">
      <c r="AC508" t="s">
        <v>19</v>
      </c>
      <c r="AD508" t="s">
        <v>329</v>
      </c>
      <c r="AE508">
        <v>1.3108951811862044E-2</v>
      </c>
    </row>
    <row r="509" spans="29:31" x14ac:dyDescent="0.45">
      <c r="AC509" t="s">
        <v>19</v>
      </c>
      <c r="AD509" t="s">
        <v>330</v>
      </c>
      <c r="AE509">
        <v>1.3177265915837195E-2</v>
      </c>
    </row>
    <row r="510" spans="29:31" x14ac:dyDescent="0.45">
      <c r="AC510" t="s">
        <v>19</v>
      </c>
      <c r="AD510" t="s">
        <v>331</v>
      </c>
      <c r="AE510">
        <v>1.3222676590626301E-2</v>
      </c>
    </row>
    <row r="511" spans="29:31" x14ac:dyDescent="0.45">
      <c r="AC511" t="s">
        <v>19</v>
      </c>
      <c r="AD511" t="s">
        <v>332</v>
      </c>
      <c r="AE511">
        <v>9.2605287303576825E-2</v>
      </c>
    </row>
    <row r="512" spans="29:31" x14ac:dyDescent="0.45">
      <c r="AC512" t="s">
        <v>19</v>
      </c>
      <c r="AD512" t="s">
        <v>333</v>
      </c>
      <c r="AE512">
        <v>1.3221193272862634E-2</v>
      </c>
    </row>
    <row r="513" spans="29:31" x14ac:dyDescent="0.45">
      <c r="AC513" t="s">
        <v>19</v>
      </c>
      <c r="AD513" t="s">
        <v>334</v>
      </c>
      <c r="AE513">
        <v>1.3219942200647617E-2</v>
      </c>
    </row>
    <row r="514" spans="29:31" x14ac:dyDescent="0.45">
      <c r="AC514" t="s">
        <v>19</v>
      </c>
      <c r="AD514" t="s">
        <v>335</v>
      </c>
      <c r="AE514">
        <v>7.8704469461799292E-2</v>
      </c>
    </row>
    <row r="515" spans="29:31" x14ac:dyDescent="0.45">
      <c r="AC515" t="s">
        <v>19</v>
      </c>
      <c r="AD515" t="s">
        <v>1467</v>
      </c>
      <c r="AE515">
        <v>1.1232829922341974E-4</v>
      </c>
    </row>
    <row r="516" spans="29:31" x14ac:dyDescent="0.45">
      <c r="AC516" t="s">
        <v>19</v>
      </c>
      <c r="AD516" t="s">
        <v>1468</v>
      </c>
      <c r="AE516">
        <v>1.1222591831373766E-4</v>
      </c>
    </row>
    <row r="517" spans="29:31" x14ac:dyDescent="0.45">
      <c r="AC517" t="s">
        <v>19</v>
      </c>
      <c r="AD517" t="s">
        <v>1469</v>
      </c>
      <c r="AE517">
        <v>1.1222591831373766E-4</v>
      </c>
    </row>
    <row r="518" spans="29:31" x14ac:dyDescent="0.45">
      <c r="AC518" t="s">
        <v>19</v>
      </c>
      <c r="AD518" t="s">
        <v>1470</v>
      </c>
      <c r="AE518">
        <v>1.1226834933439083E-4</v>
      </c>
    </row>
    <row r="519" spans="29:31" x14ac:dyDescent="0.45">
      <c r="AC519" t="s">
        <v>19</v>
      </c>
      <c r="AD519" t="s">
        <v>1471</v>
      </c>
      <c r="AE519">
        <v>1.1279487972704142E-4</v>
      </c>
    </row>
    <row r="520" spans="29:31" x14ac:dyDescent="0.45">
      <c r="AC520" t="s">
        <v>19</v>
      </c>
      <c r="AD520" t="s">
        <v>1472</v>
      </c>
      <c r="AE520">
        <v>1.1390805112493459E-4</v>
      </c>
    </row>
    <row r="521" spans="29:31" x14ac:dyDescent="0.45">
      <c r="AC521" t="s">
        <v>19</v>
      </c>
      <c r="AD521" t="s">
        <v>1473</v>
      </c>
      <c r="AE521">
        <v>1.1480087051784485E-4</v>
      </c>
    </row>
    <row r="522" spans="29:31" x14ac:dyDescent="0.45">
      <c r="AC522" t="s">
        <v>19</v>
      </c>
      <c r="AD522" t="s">
        <v>1474</v>
      </c>
      <c r="AE522">
        <v>1.1547815961266461E-4</v>
      </c>
    </row>
    <row r="523" spans="29:31" x14ac:dyDescent="0.45">
      <c r="AC523" t="s">
        <v>19</v>
      </c>
      <c r="AD523" t="s">
        <v>1475</v>
      </c>
      <c r="AE523">
        <v>1.1567376018893318E-4</v>
      </c>
    </row>
    <row r="524" spans="29:31" x14ac:dyDescent="0.45">
      <c r="AC524" t="s">
        <v>19</v>
      </c>
      <c r="AD524" t="s">
        <v>1476</v>
      </c>
      <c r="AE524">
        <v>1.1570236898316145E-4</v>
      </c>
    </row>
    <row r="525" spans="29:31" x14ac:dyDescent="0.45">
      <c r="AC525" t="s">
        <v>19</v>
      </c>
      <c r="AD525" t="s">
        <v>1477</v>
      </c>
      <c r="AE525">
        <v>1.1564081185850176E-4</v>
      </c>
    </row>
    <row r="526" spans="29:31" x14ac:dyDescent="0.45">
      <c r="AC526" t="s">
        <v>19</v>
      </c>
      <c r="AD526" t="s">
        <v>1478</v>
      </c>
      <c r="AE526">
        <v>1.1564241909413253E-4</v>
      </c>
    </row>
    <row r="527" spans="29:31" x14ac:dyDescent="0.45">
      <c r="AC527" t="s">
        <v>19</v>
      </c>
      <c r="AD527" t="s">
        <v>1479</v>
      </c>
      <c r="AE527">
        <v>1.1561316740565196E-4</v>
      </c>
    </row>
    <row r="528" spans="29:31" x14ac:dyDescent="0.45">
      <c r="AC528" t="s">
        <v>19</v>
      </c>
      <c r="AD528" t="s">
        <v>1480</v>
      </c>
      <c r="AE528">
        <v>1.1553585937181041E-4</v>
      </c>
    </row>
    <row r="529" spans="29:31" x14ac:dyDescent="0.45">
      <c r="AC529" t="s">
        <v>19</v>
      </c>
      <c r="AD529" t="s">
        <v>1481</v>
      </c>
      <c r="AE529">
        <v>1.1546835547531674E-4</v>
      </c>
    </row>
    <row r="530" spans="29:31" x14ac:dyDescent="0.45">
      <c r="AC530" t="s">
        <v>19</v>
      </c>
      <c r="AD530" t="s">
        <v>1482</v>
      </c>
      <c r="AE530">
        <v>1.1556527178385406E-4</v>
      </c>
    </row>
    <row r="531" spans="29:31" x14ac:dyDescent="0.45">
      <c r="AC531" t="s">
        <v>19</v>
      </c>
      <c r="AD531" t="s">
        <v>1483</v>
      </c>
      <c r="AE531">
        <v>1.1553907384307199E-4</v>
      </c>
    </row>
    <row r="532" spans="29:31" x14ac:dyDescent="0.45">
      <c r="AC532" t="s">
        <v>19</v>
      </c>
      <c r="AD532" t="s">
        <v>1484</v>
      </c>
      <c r="AE532">
        <v>1.1554839580973065E-4</v>
      </c>
    </row>
    <row r="533" spans="29:31" x14ac:dyDescent="0.45">
      <c r="AC533" t="s">
        <v>19</v>
      </c>
      <c r="AD533" t="s">
        <v>1485</v>
      </c>
      <c r="AE533">
        <v>1.1552991259997643E-4</v>
      </c>
    </row>
    <row r="534" spans="29:31" x14ac:dyDescent="0.45">
      <c r="AC534" t="s">
        <v>19</v>
      </c>
      <c r="AD534" t="s">
        <v>1486</v>
      </c>
      <c r="AE534">
        <v>1.1535183089208361E-4</v>
      </c>
    </row>
    <row r="535" spans="29:31" x14ac:dyDescent="0.45">
      <c r="AC535" t="s">
        <v>19</v>
      </c>
      <c r="AD535" t="s">
        <v>1487</v>
      </c>
      <c r="AE535">
        <v>1.1466296970072206E-4</v>
      </c>
    </row>
    <row r="536" spans="29:31" x14ac:dyDescent="0.45">
      <c r="AC536" t="s">
        <v>19</v>
      </c>
      <c r="AD536" t="s">
        <v>1488</v>
      </c>
      <c r="AE536">
        <v>1.1413740364944997E-4</v>
      </c>
    </row>
    <row r="537" spans="29:31" x14ac:dyDescent="0.45">
      <c r="AC537" t="s">
        <v>19</v>
      </c>
      <c r="AD537" t="s">
        <v>1489</v>
      </c>
      <c r="AE537">
        <v>1.1343825615005129E-4</v>
      </c>
    </row>
    <row r="538" spans="29:31" x14ac:dyDescent="0.45">
      <c r="AC538" t="s">
        <v>19</v>
      </c>
      <c r="AD538" t="s">
        <v>1490</v>
      </c>
      <c r="AE538">
        <v>1.1274955568225283E-4</v>
      </c>
    </row>
    <row r="539" spans="29:31" x14ac:dyDescent="0.45">
      <c r="AC539" t="s">
        <v>19</v>
      </c>
      <c r="AD539" t="s">
        <v>1491</v>
      </c>
      <c r="AE539">
        <v>1.1232122738664418E-4</v>
      </c>
    </row>
    <row r="540" spans="29:31" x14ac:dyDescent="0.45">
      <c r="AC540" t="s">
        <v>19</v>
      </c>
      <c r="AD540" t="s">
        <v>1492</v>
      </c>
      <c r="AE540">
        <v>1.1224986612463659E-4</v>
      </c>
    </row>
    <row r="541" spans="29:31" x14ac:dyDescent="0.45">
      <c r="AC541" t="s">
        <v>19</v>
      </c>
      <c r="AD541" t="s">
        <v>1493</v>
      </c>
      <c r="AE541">
        <v>1.1224986612463659E-4</v>
      </c>
    </row>
    <row r="542" spans="29:31" x14ac:dyDescent="0.45">
      <c r="AC542" t="s">
        <v>19</v>
      </c>
      <c r="AD542" t="s">
        <v>1494</v>
      </c>
      <c r="AE542">
        <v>1.1229165425103743E-4</v>
      </c>
    </row>
    <row r="543" spans="29:31" x14ac:dyDescent="0.45">
      <c r="AC543" t="s">
        <v>19</v>
      </c>
      <c r="AD543" t="s">
        <v>1495</v>
      </c>
      <c r="AE543">
        <v>1.1281834536725109E-4</v>
      </c>
    </row>
    <row r="544" spans="29:31" x14ac:dyDescent="0.45">
      <c r="AC544" t="s">
        <v>19</v>
      </c>
      <c r="AD544" t="s">
        <v>1496</v>
      </c>
      <c r="AE544">
        <v>1.1392621288756262E-4</v>
      </c>
    </row>
    <row r="545" spans="29:31" x14ac:dyDescent="0.45">
      <c r="AC545" t="s">
        <v>19</v>
      </c>
      <c r="AD545" t="s">
        <v>1497</v>
      </c>
      <c r="AE545">
        <v>1.1479347723394314E-4</v>
      </c>
    </row>
    <row r="546" spans="29:31" x14ac:dyDescent="0.45">
      <c r="AC546" t="s">
        <v>19</v>
      </c>
      <c r="AD546" t="s">
        <v>1498</v>
      </c>
      <c r="AE546">
        <v>1.1545147950119328E-4</v>
      </c>
    </row>
    <row r="547" spans="29:31" x14ac:dyDescent="0.45">
      <c r="AC547" t="s">
        <v>19</v>
      </c>
      <c r="AD547" t="s">
        <v>1499</v>
      </c>
      <c r="AE547">
        <v>1.1569545786994898E-4</v>
      </c>
    </row>
    <row r="548" spans="29:31" x14ac:dyDescent="0.45">
      <c r="AC548" t="s">
        <v>19</v>
      </c>
      <c r="AD548" t="s">
        <v>1500</v>
      </c>
      <c r="AE548">
        <v>1.156498123780342E-4</v>
      </c>
    </row>
    <row r="549" spans="29:31" x14ac:dyDescent="0.45">
      <c r="AC549" t="s">
        <v>19</v>
      </c>
      <c r="AD549" t="s">
        <v>1501</v>
      </c>
      <c r="AE549">
        <v>1.1563165061540615E-4</v>
      </c>
    </row>
    <row r="550" spans="29:31" x14ac:dyDescent="0.45">
      <c r="AC550" t="s">
        <v>19</v>
      </c>
      <c r="AD550" t="s">
        <v>1502</v>
      </c>
      <c r="AE550">
        <v>1.1559211261888843E-4</v>
      </c>
    </row>
    <row r="551" spans="29:31" x14ac:dyDescent="0.45">
      <c r="AC551" t="s">
        <v>19</v>
      </c>
      <c r="AD551" t="s">
        <v>1503</v>
      </c>
      <c r="AE551">
        <v>1.1561316740565193E-4</v>
      </c>
    </row>
    <row r="552" spans="29:31" x14ac:dyDescent="0.45">
      <c r="AC552" t="s">
        <v>19</v>
      </c>
      <c r="AD552" t="s">
        <v>1504</v>
      </c>
      <c r="AE552">
        <v>1.1557330796200804E-4</v>
      </c>
    </row>
    <row r="553" spans="29:31" x14ac:dyDescent="0.45">
      <c r="AC553" t="s">
        <v>19</v>
      </c>
      <c r="AD553" t="s">
        <v>1505</v>
      </c>
      <c r="AE553">
        <v>1.154968035459819E-4</v>
      </c>
    </row>
    <row r="554" spans="29:31" x14ac:dyDescent="0.45">
      <c r="AC554" t="s">
        <v>19</v>
      </c>
      <c r="AD554" t="s">
        <v>1506</v>
      </c>
      <c r="AE554">
        <v>1.1556527178385403E-4</v>
      </c>
    </row>
    <row r="555" spans="29:31" x14ac:dyDescent="0.45">
      <c r="AC555" t="s">
        <v>19</v>
      </c>
      <c r="AD555" t="s">
        <v>1507</v>
      </c>
      <c r="AE555">
        <v>1.1553907384307199E-4</v>
      </c>
    </row>
    <row r="556" spans="29:31" x14ac:dyDescent="0.45">
      <c r="AC556" t="s">
        <v>19</v>
      </c>
      <c r="AD556" t="s">
        <v>1508</v>
      </c>
      <c r="AE556">
        <v>1.1554839580973063E-4</v>
      </c>
    </row>
    <row r="557" spans="29:31" x14ac:dyDescent="0.45">
      <c r="AC557" t="s">
        <v>19</v>
      </c>
      <c r="AD557" t="s">
        <v>1509</v>
      </c>
      <c r="AE557">
        <v>1.1549294618046797E-4</v>
      </c>
    </row>
    <row r="558" spans="29:31" x14ac:dyDescent="0.45">
      <c r="AC558" t="s">
        <v>19</v>
      </c>
      <c r="AD558" t="s">
        <v>1510</v>
      </c>
      <c r="AE558">
        <v>1.1535183089208358E-4</v>
      </c>
    </row>
    <row r="559" spans="29:31" x14ac:dyDescent="0.45">
      <c r="AC559" t="s">
        <v>19</v>
      </c>
      <c r="AD559" t="s">
        <v>1511</v>
      </c>
      <c r="AE559">
        <v>1.1466296970072204E-4</v>
      </c>
    </row>
    <row r="560" spans="29:31" x14ac:dyDescent="0.45">
      <c r="AC560" t="s">
        <v>19</v>
      </c>
      <c r="AD560" t="s">
        <v>1512</v>
      </c>
      <c r="AE560">
        <v>1.1413901088508075E-4</v>
      </c>
    </row>
    <row r="561" spans="29:31" x14ac:dyDescent="0.45">
      <c r="AC561" t="s">
        <v>19</v>
      </c>
      <c r="AD561" t="s">
        <v>1513</v>
      </c>
      <c r="AE561">
        <v>1.1343825615005126E-4</v>
      </c>
    </row>
    <row r="562" spans="29:31" x14ac:dyDescent="0.45">
      <c r="AC562" t="s">
        <v>19</v>
      </c>
      <c r="AD562" t="s">
        <v>1514</v>
      </c>
      <c r="AE562">
        <v>1.127495556822528E-4</v>
      </c>
    </row>
    <row r="563" spans="29:31" x14ac:dyDescent="0.45">
      <c r="AC563" t="s">
        <v>19</v>
      </c>
      <c r="AD563" t="s">
        <v>1515</v>
      </c>
      <c r="AE563">
        <v>1.1232122738664419E-4</v>
      </c>
    </row>
    <row r="564" spans="29:31" x14ac:dyDescent="0.45">
      <c r="AC564" t="s">
        <v>19</v>
      </c>
      <c r="AD564" t="s">
        <v>1516</v>
      </c>
      <c r="AE564">
        <v>1.122498661246366E-4</v>
      </c>
    </row>
    <row r="565" spans="29:31" x14ac:dyDescent="0.45">
      <c r="AC565" t="s">
        <v>19</v>
      </c>
      <c r="AD565" t="s">
        <v>1517</v>
      </c>
      <c r="AE565">
        <v>1.122498661246366E-4</v>
      </c>
    </row>
    <row r="566" spans="29:31" x14ac:dyDescent="0.45">
      <c r="AC566" t="s">
        <v>19</v>
      </c>
      <c r="AD566" t="s">
        <v>1518</v>
      </c>
      <c r="AE566">
        <v>1.1229165425103745E-4</v>
      </c>
    </row>
    <row r="567" spans="29:31" x14ac:dyDescent="0.45">
      <c r="AC567" t="s">
        <v>19</v>
      </c>
      <c r="AD567" t="s">
        <v>1519</v>
      </c>
      <c r="AE567">
        <v>1.1281416655461103E-4</v>
      </c>
    </row>
    <row r="568" spans="29:31" x14ac:dyDescent="0.45">
      <c r="AC568" t="s">
        <v>19</v>
      </c>
      <c r="AD568" t="s">
        <v>1520</v>
      </c>
      <c r="AE568">
        <v>1.1393746353697824E-4</v>
      </c>
    </row>
    <row r="569" spans="29:31" x14ac:dyDescent="0.45">
      <c r="AC569" t="s">
        <v>19</v>
      </c>
      <c r="AD569" t="s">
        <v>1521</v>
      </c>
      <c r="AE569">
        <v>1.1480906741956192E-4</v>
      </c>
    </row>
    <row r="570" spans="29:31" x14ac:dyDescent="0.45">
      <c r="AC570" t="s">
        <v>19</v>
      </c>
      <c r="AD570" t="s">
        <v>1522</v>
      </c>
      <c r="AE570">
        <v>1.1541419163455869E-4</v>
      </c>
    </row>
    <row r="571" spans="29:31" x14ac:dyDescent="0.45">
      <c r="AC571" t="s">
        <v>19</v>
      </c>
      <c r="AD571" t="s">
        <v>1523</v>
      </c>
      <c r="AE571">
        <v>1.1564643718320954E-4</v>
      </c>
    </row>
    <row r="572" spans="29:31" x14ac:dyDescent="0.45">
      <c r="AC572" t="s">
        <v>19</v>
      </c>
      <c r="AD572" t="s">
        <v>1524</v>
      </c>
      <c r="AE572">
        <v>1.1564065113493865E-4</v>
      </c>
    </row>
    <row r="573" spans="29:31" x14ac:dyDescent="0.45">
      <c r="AC573" t="s">
        <v>19</v>
      </c>
      <c r="AD573" t="s">
        <v>1525</v>
      </c>
      <c r="AE573">
        <v>1.1557668315683273E-4</v>
      </c>
    </row>
    <row r="574" spans="29:31" x14ac:dyDescent="0.45">
      <c r="AC574" t="s">
        <v>19</v>
      </c>
      <c r="AD574" t="s">
        <v>1526</v>
      </c>
      <c r="AE574">
        <v>1.1556687901948486E-4</v>
      </c>
    </row>
    <row r="575" spans="29:31" x14ac:dyDescent="0.45">
      <c r="AC575" t="s">
        <v>19</v>
      </c>
      <c r="AD575" t="s">
        <v>1527</v>
      </c>
      <c r="AE575">
        <v>1.1556687901948486E-4</v>
      </c>
    </row>
    <row r="576" spans="29:31" x14ac:dyDescent="0.45">
      <c r="AC576" t="s">
        <v>19</v>
      </c>
      <c r="AD576" t="s">
        <v>1528</v>
      </c>
      <c r="AE576">
        <v>1.154977678873604E-4</v>
      </c>
    </row>
    <row r="577" spans="29:31" x14ac:dyDescent="0.45">
      <c r="AC577" t="s">
        <v>19</v>
      </c>
      <c r="AD577" t="s">
        <v>1529</v>
      </c>
      <c r="AE577">
        <v>1.1542351360121735E-4</v>
      </c>
    </row>
    <row r="578" spans="29:31" x14ac:dyDescent="0.45">
      <c r="AC578" t="s">
        <v>19</v>
      </c>
      <c r="AD578" t="s">
        <v>1530</v>
      </c>
      <c r="AE578">
        <v>1.1543010326730363E-4</v>
      </c>
    </row>
    <row r="579" spans="29:31" x14ac:dyDescent="0.45">
      <c r="AC579" t="s">
        <v>19</v>
      </c>
      <c r="AD579" t="s">
        <v>1531</v>
      </c>
      <c r="AE579">
        <v>1.1540390532652156E-4</v>
      </c>
    </row>
    <row r="580" spans="29:31" x14ac:dyDescent="0.45">
      <c r="AC580" t="s">
        <v>19</v>
      </c>
      <c r="AD580" t="s">
        <v>1532</v>
      </c>
      <c r="AE580">
        <v>1.1541740610582031E-4</v>
      </c>
    </row>
    <row r="581" spans="29:31" x14ac:dyDescent="0.45">
      <c r="AC581" t="s">
        <v>19</v>
      </c>
      <c r="AD581" t="s">
        <v>1533</v>
      </c>
      <c r="AE581">
        <v>1.1539908361962918E-4</v>
      </c>
    </row>
    <row r="582" spans="29:31" x14ac:dyDescent="0.45">
      <c r="AC582" t="s">
        <v>19</v>
      </c>
      <c r="AD582" t="s">
        <v>1534</v>
      </c>
      <c r="AE582">
        <v>1.1537031410183783E-4</v>
      </c>
    </row>
    <row r="583" spans="29:31" x14ac:dyDescent="0.45">
      <c r="AC583" t="s">
        <v>19</v>
      </c>
      <c r="AD583" t="s">
        <v>1535</v>
      </c>
      <c r="AE583">
        <v>1.1487416046260938E-4</v>
      </c>
    </row>
    <row r="584" spans="29:31" x14ac:dyDescent="0.45">
      <c r="AC584" t="s">
        <v>19</v>
      </c>
      <c r="AD584" t="s">
        <v>1536</v>
      </c>
      <c r="AE584">
        <v>1.1432995047801998E-4</v>
      </c>
    </row>
    <row r="585" spans="29:31" x14ac:dyDescent="0.45">
      <c r="AC585" t="s">
        <v>19</v>
      </c>
      <c r="AD585" t="s">
        <v>1537</v>
      </c>
      <c r="AE585">
        <v>1.1343825615005126E-4</v>
      </c>
    </row>
    <row r="586" spans="29:31" x14ac:dyDescent="0.45">
      <c r="AC586" t="s">
        <v>19</v>
      </c>
      <c r="AD586" t="s">
        <v>1538</v>
      </c>
      <c r="AE586">
        <v>1.127495556822528E-4</v>
      </c>
    </row>
    <row r="587" spans="29:31" x14ac:dyDescent="0.45">
      <c r="AC587" t="s">
        <v>19</v>
      </c>
      <c r="AD587" t="s">
        <v>1539</v>
      </c>
      <c r="AE587">
        <v>1.1232122738664418E-4</v>
      </c>
    </row>
    <row r="588" spans="29:31" x14ac:dyDescent="0.45">
      <c r="AC588" t="s">
        <v>19</v>
      </c>
      <c r="AD588" t="s">
        <v>1540</v>
      </c>
      <c r="AE588">
        <v>1.1224986612463659E-4</v>
      </c>
    </row>
    <row r="589" spans="29:31" x14ac:dyDescent="0.45">
      <c r="AC589" t="s">
        <v>19</v>
      </c>
      <c r="AD589" t="s">
        <v>1541</v>
      </c>
      <c r="AE589">
        <v>1.1224986612463659E-4</v>
      </c>
    </row>
    <row r="590" spans="29:31" x14ac:dyDescent="0.45">
      <c r="AC590" t="s">
        <v>19</v>
      </c>
      <c r="AD590" t="s">
        <v>1542</v>
      </c>
      <c r="AE590">
        <v>1.1229165425103743E-4</v>
      </c>
    </row>
    <row r="591" spans="29:31" x14ac:dyDescent="0.45">
      <c r="AC591" t="s">
        <v>19</v>
      </c>
      <c r="AD591" t="s">
        <v>1543</v>
      </c>
      <c r="AE591">
        <v>1.1281416655461103E-4</v>
      </c>
    </row>
    <row r="592" spans="29:31" x14ac:dyDescent="0.45">
      <c r="AC592" t="s">
        <v>19</v>
      </c>
      <c r="AD592" t="s">
        <v>1544</v>
      </c>
      <c r="AE592">
        <v>1.1393746353697824E-4</v>
      </c>
    </row>
    <row r="593" spans="29:31" x14ac:dyDescent="0.45">
      <c r="AC593" t="s">
        <v>19</v>
      </c>
      <c r="AD593" t="s">
        <v>1545</v>
      </c>
      <c r="AE593">
        <v>1.1483076510057772E-4</v>
      </c>
    </row>
    <row r="594" spans="29:31" x14ac:dyDescent="0.45">
      <c r="AC594" t="s">
        <v>19</v>
      </c>
      <c r="AD594" t="s">
        <v>1546</v>
      </c>
      <c r="AE594">
        <v>1.1536517094781925E-4</v>
      </c>
    </row>
    <row r="595" spans="29:31" x14ac:dyDescent="0.45">
      <c r="AC595" t="s">
        <v>19</v>
      </c>
      <c r="AD595" t="s">
        <v>1547</v>
      </c>
      <c r="AE595">
        <v>1.156167033240397E-4</v>
      </c>
    </row>
    <row r="596" spans="29:31" x14ac:dyDescent="0.45">
      <c r="AC596" t="s">
        <v>19</v>
      </c>
      <c r="AD596" t="s">
        <v>1548</v>
      </c>
      <c r="AE596">
        <v>1.155633431010971E-4</v>
      </c>
    </row>
    <row r="597" spans="29:31" x14ac:dyDescent="0.45">
      <c r="AC597" t="s">
        <v>19</v>
      </c>
      <c r="AD597" t="s">
        <v>1549</v>
      </c>
      <c r="AE597">
        <v>1.1555177100455532E-4</v>
      </c>
    </row>
    <row r="598" spans="29:31" x14ac:dyDescent="0.45">
      <c r="AC598" t="s">
        <v>19</v>
      </c>
      <c r="AD598" t="s">
        <v>1550</v>
      </c>
      <c r="AE598">
        <v>1.1556414671891248E-4</v>
      </c>
    </row>
    <row r="599" spans="29:31" x14ac:dyDescent="0.45">
      <c r="AC599" t="s">
        <v>19</v>
      </c>
      <c r="AD599" t="s">
        <v>1551</v>
      </c>
      <c r="AE599">
        <v>1.1556414671891248E-4</v>
      </c>
    </row>
    <row r="600" spans="29:31" x14ac:dyDescent="0.45">
      <c r="AC600" t="s">
        <v>19</v>
      </c>
      <c r="AD600" t="s">
        <v>1552</v>
      </c>
      <c r="AE600">
        <v>1.1549471413966186E-4</v>
      </c>
    </row>
    <row r="601" spans="29:31" x14ac:dyDescent="0.45">
      <c r="AC601" t="s">
        <v>19</v>
      </c>
      <c r="AD601" t="s">
        <v>1553</v>
      </c>
      <c r="AE601">
        <v>1.1541997768282958E-4</v>
      </c>
    </row>
    <row r="602" spans="29:31" x14ac:dyDescent="0.45">
      <c r="AC602" t="s">
        <v>19</v>
      </c>
      <c r="AD602" t="s">
        <v>1554</v>
      </c>
      <c r="AE602">
        <v>1.1542656734891587E-4</v>
      </c>
    </row>
    <row r="603" spans="29:31" x14ac:dyDescent="0.45">
      <c r="AC603" t="s">
        <v>19</v>
      </c>
      <c r="AD603" t="s">
        <v>1555</v>
      </c>
      <c r="AE603">
        <v>1.1540390532652156E-4</v>
      </c>
    </row>
    <row r="604" spans="29:31" x14ac:dyDescent="0.45">
      <c r="AC604" t="s">
        <v>19</v>
      </c>
      <c r="AD604" t="s">
        <v>1556</v>
      </c>
      <c r="AE604">
        <v>1.1540390532652156E-4</v>
      </c>
    </row>
    <row r="605" spans="29:31" x14ac:dyDescent="0.45">
      <c r="AC605" t="s">
        <v>19</v>
      </c>
      <c r="AD605" t="s">
        <v>1557</v>
      </c>
      <c r="AE605">
        <v>1.1539056527078593E-4</v>
      </c>
    </row>
    <row r="606" spans="29:31" x14ac:dyDescent="0.45">
      <c r="AC606" t="s">
        <v>19</v>
      </c>
      <c r="AD606" t="s">
        <v>1558</v>
      </c>
      <c r="AE606">
        <v>1.1531984690303065E-4</v>
      </c>
    </row>
    <row r="607" spans="29:31" x14ac:dyDescent="0.45">
      <c r="AC607" t="s">
        <v>19</v>
      </c>
      <c r="AD607" t="s">
        <v>1559</v>
      </c>
      <c r="AE607">
        <v>1.1485664159423365E-4</v>
      </c>
    </row>
    <row r="608" spans="29:31" x14ac:dyDescent="0.45">
      <c r="AC608" t="s">
        <v>19</v>
      </c>
      <c r="AD608" t="s">
        <v>1560</v>
      </c>
      <c r="AE608">
        <v>1.1439649003313514E-4</v>
      </c>
    </row>
    <row r="609" spans="29:31" x14ac:dyDescent="0.45">
      <c r="AC609" t="s">
        <v>19</v>
      </c>
      <c r="AD609" t="s">
        <v>1561</v>
      </c>
      <c r="AE609">
        <v>1.1312307724285108E-4</v>
      </c>
    </row>
    <row r="610" spans="29:31" x14ac:dyDescent="0.45">
      <c r="AC610" t="s">
        <v>19</v>
      </c>
      <c r="AD610" t="s">
        <v>1562</v>
      </c>
      <c r="AE610">
        <v>1.1244385946527435E-4</v>
      </c>
    </row>
    <row r="611" spans="29:31" x14ac:dyDescent="0.45">
      <c r="AC611" t="s">
        <v>19</v>
      </c>
      <c r="AD611" t="s">
        <v>1563</v>
      </c>
      <c r="AE611">
        <v>1.1195027740305519E-4</v>
      </c>
    </row>
    <row r="612" spans="29:31" x14ac:dyDescent="0.45">
      <c r="AC612" t="s">
        <v>19</v>
      </c>
      <c r="AD612" t="s">
        <v>1564</v>
      </c>
      <c r="AE612">
        <v>1.1173490782852779E-4</v>
      </c>
    </row>
    <row r="613" spans="29:31" x14ac:dyDescent="0.45">
      <c r="AC613" t="s">
        <v>19</v>
      </c>
      <c r="AD613" t="s">
        <v>1565</v>
      </c>
      <c r="AE613">
        <v>1.1173490782852779E-4</v>
      </c>
    </row>
    <row r="614" spans="29:31" x14ac:dyDescent="0.45">
      <c r="AC614" t="s">
        <v>19</v>
      </c>
      <c r="AD614" t="s">
        <v>1566</v>
      </c>
      <c r="AE614">
        <v>1.1174953367276809E-4</v>
      </c>
    </row>
    <row r="615" spans="29:31" x14ac:dyDescent="0.45">
      <c r="AC615" t="s">
        <v>19</v>
      </c>
      <c r="AD615" t="s">
        <v>1567</v>
      </c>
      <c r="AE615">
        <v>1.1178119621469488E-4</v>
      </c>
    </row>
    <row r="616" spans="29:31" x14ac:dyDescent="0.45">
      <c r="AC616" t="s">
        <v>19</v>
      </c>
      <c r="AD616" t="s">
        <v>1568</v>
      </c>
      <c r="AE616">
        <v>1.1190189961056807E-4</v>
      </c>
    </row>
    <row r="617" spans="29:31" x14ac:dyDescent="0.45">
      <c r="AC617" t="s">
        <v>19</v>
      </c>
      <c r="AD617" t="s">
        <v>1569</v>
      </c>
      <c r="AE617">
        <v>1.1228361807288344E-4</v>
      </c>
    </row>
    <row r="618" spans="29:31" x14ac:dyDescent="0.45">
      <c r="AC618" t="s">
        <v>19</v>
      </c>
      <c r="AD618" t="s">
        <v>1570</v>
      </c>
      <c r="AE618">
        <v>1.1289935004304351E-4</v>
      </c>
    </row>
    <row r="619" spans="29:31" x14ac:dyDescent="0.45">
      <c r="AC619" t="s">
        <v>19</v>
      </c>
      <c r="AD619" t="s">
        <v>1571</v>
      </c>
      <c r="AE619">
        <v>1.1356554921201076E-4</v>
      </c>
    </row>
    <row r="620" spans="29:31" x14ac:dyDescent="0.45">
      <c r="AC620" t="s">
        <v>19</v>
      </c>
      <c r="AD620" t="s">
        <v>1572</v>
      </c>
      <c r="AE620">
        <v>1.1365057197688016E-4</v>
      </c>
    </row>
    <row r="621" spans="29:31" x14ac:dyDescent="0.45">
      <c r="AC621" t="s">
        <v>19</v>
      </c>
      <c r="AD621" t="s">
        <v>1573</v>
      </c>
      <c r="AE621">
        <v>1.1364173218091074E-4</v>
      </c>
    </row>
    <row r="622" spans="29:31" x14ac:dyDescent="0.45">
      <c r="AC622" t="s">
        <v>19</v>
      </c>
      <c r="AD622" t="s">
        <v>1574</v>
      </c>
      <c r="AE622">
        <v>1.1365426861883102E-4</v>
      </c>
    </row>
    <row r="623" spans="29:31" x14ac:dyDescent="0.45">
      <c r="AC623" t="s">
        <v>19</v>
      </c>
      <c r="AD623" t="s">
        <v>1575</v>
      </c>
      <c r="AE623">
        <v>1.1365362572457868E-4</v>
      </c>
    </row>
    <row r="624" spans="29:31" x14ac:dyDescent="0.45">
      <c r="AC624" t="s">
        <v>19</v>
      </c>
      <c r="AD624" t="s">
        <v>1576</v>
      </c>
      <c r="AE624">
        <v>1.136089445740424E-4</v>
      </c>
    </row>
    <row r="625" spans="29:31" x14ac:dyDescent="0.45">
      <c r="AC625" t="s">
        <v>19</v>
      </c>
      <c r="AD625" t="s">
        <v>1577</v>
      </c>
      <c r="AE625">
        <v>1.1357069236602931E-4</v>
      </c>
    </row>
    <row r="626" spans="29:31" x14ac:dyDescent="0.45">
      <c r="AC626" t="s">
        <v>19</v>
      </c>
      <c r="AD626" t="s">
        <v>1578</v>
      </c>
      <c r="AE626">
        <v>1.1357069236602931E-4</v>
      </c>
    </row>
    <row r="627" spans="29:31" x14ac:dyDescent="0.45">
      <c r="AC627" t="s">
        <v>19</v>
      </c>
      <c r="AD627" t="s">
        <v>1579</v>
      </c>
      <c r="AE627">
        <v>1.1362565982460272E-4</v>
      </c>
    </row>
    <row r="628" spans="29:31" x14ac:dyDescent="0.45">
      <c r="AC628" t="s">
        <v>19</v>
      </c>
      <c r="AD628" t="s">
        <v>1580</v>
      </c>
      <c r="AE628">
        <v>1.1362565982460272E-4</v>
      </c>
    </row>
    <row r="629" spans="29:31" x14ac:dyDescent="0.45">
      <c r="AC629" t="s">
        <v>19</v>
      </c>
      <c r="AD629" t="s">
        <v>1581</v>
      </c>
      <c r="AE629">
        <v>1.1365716164296645E-4</v>
      </c>
    </row>
    <row r="630" spans="29:31" x14ac:dyDescent="0.45">
      <c r="AC630" t="s">
        <v>19</v>
      </c>
      <c r="AD630" t="s">
        <v>1582</v>
      </c>
      <c r="AE630">
        <v>1.1368062728317616E-4</v>
      </c>
    </row>
    <row r="631" spans="29:31" x14ac:dyDescent="0.45">
      <c r="AC631" t="s">
        <v>19</v>
      </c>
      <c r="AD631" t="s">
        <v>1583</v>
      </c>
      <c r="AE631">
        <v>1.1364446448148313E-4</v>
      </c>
    </row>
    <row r="632" spans="29:31" x14ac:dyDescent="0.45">
      <c r="AC632" t="s">
        <v>19</v>
      </c>
      <c r="AD632" t="s">
        <v>1584</v>
      </c>
      <c r="AE632">
        <v>1.1333057136278757E-4</v>
      </c>
    </row>
    <row r="633" spans="29:31" x14ac:dyDescent="0.45">
      <c r="AC633" t="s">
        <v>19</v>
      </c>
      <c r="AD633" t="s">
        <v>1585</v>
      </c>
      <c r="AE633">
        <v>1.1312307724285108E-4</v>
      </c>
    </row>
    <row r="634" spans="29:31" x14ac:dyDescent="0.45">
      <c r="AC634" t="s">
        <v>19</v>
      </c>
      <c r="AD634" t="s">
        <v>1586</v>
      </c>
      <c r="AE634">
        <v>1.1244385946527435E-4</v>
      </c>
    </row>
    <row r="635" spans="29:31" x14ac:dyDescent="0.45">
      <c r="AC635" t="s">
        <v>19</v>
      </c>
      <c r="AD635" t="s">
        <v>1587</v>
      </c>
      <c r="AE635">
        <v>1.1195027740305519E-4</v>
      </c>
    </row>
    <row r="636" spans="29:31" x14ac:dyDescent="0.45">
      <c r="AC636" t="s">
        <v>19</v>
      </c>
      <c r="AD636" t="s">
        <v>1588</v>
      </c>
      <c r="AE636">
        <v>1.1173490782852779E-4</v>
      </c>
    </row>
    <row r="637" spans="29:31" x14ac:dyDescent="0.45">
      <c r="AC637" t="s">
        <v>19</v>
      </c>
      <c r="AD637" t="s">
        <v>1589</v>
      </c>
      <c r="AE637">
        <v>1.1173490782852779E-4</v>
      </c>
    </row>
    <row r="638" spans="29:31" x14ac:dyDescent="0.45">
      <c r="AC638" t="s">
        <v>19</v>
      </c>
      <c r="AD638" t="s">
        <v>1590</v>
      </c>
      <c r="AE638">
        <v>1.1174953367276809E-4</v>
      </c>
    </row>
    <row r="639" spans="29:31" x14ac:dyDescent="0.45">
      <c r="AC639" t="s">
        <v>19</v>
      </c>
      <c r="AD639" t="s">
        <v>1591</v>
      </c>
      <c r="AE639">
        <v>1.1178119621469488E-4</v>
      </c>
    </row>
    <row r="640" spans="29:31" x14ac:dyDescent="0.45">
      <c r="AC640" t="s">
        <v>19</v>
      </c>
      <c r="AD640" t="s">
        <v>1592</v>
      </c>
      <c r="AE640">
        <v>1.1190189961056807E-4</v>
      </c>
    </row>
    <row r="641" spans="29:31" x14ac:dyDescent="0.45">
      <c r="AC641" t="s">
        <v>19</v>
      </c>
      <c r="AD641" t="s">
        <v>1593</v>
      </c>
      <c r="AE641">
        <v>1.1228361807288344E-4</v>
      </c>
    </row>
    <row r="642" spans="29:31" x14ac:dyDescent="0.45">
      <c r="AC642" t="s">
        <v>19</v>
      </c>
      <c r="AD642" t="s">
        <v>1594</v>
      </c>
      <c r="AE642">
        <v>1.1289935004304351E-4</v>
      </c>
    </row>
    <row r="643" spans="29:31" x14ac:dyDescent="0.45">
      <c r="AC643" t="s">
        <v>19</v>
      </c>
      <c r="AD643" t="s">
        <v>1595</v>
      </c>
      <c r="AE643">
        <v>1.1355944171661371E-4</v>
      </c>
    </row>
    <row r="644" spans="29:31" x14ac:dyDescent="0.45">
      <c r="AC644" t="s">
        <v>19</v>
      </c>
      <c r="AD644" t="s">
        <v>1596</v>
      </c>
      <c r="AE644">
        <v>1.1369541385097953E-4</v>
      </c>
    </row>
    <row r="645" spans="29:31" x14ac:dyDescent="0.45">
      <c r="AC645" t="s">
        <v>19</v>
      </c>
      <c r="AD645" t="s">
        <v>1597</v>
      </c>
      <c r="AE645">
        <v>1.1369316372109641E-4</v>
      </c>
    </row>
    <row r="646" spans="29:31" x14ac:dyDescent="0.45">
      <c r="AC646" t="s">
        <v>19</v>
      </c>
      <c r="AD646" t="s">
        <v>1598</v>
      </c>
      <c r="AE646">
        <v>1.1369171720902868E-4</v>
      </c>
    </row>
    <row r="647" spans="29:31" x14ac:dyDescent="0.45">
      <c r="AC647" t="s">
        <v>19</v>
      </c>
      <c r="AD647" t="s">
        <v>1599</v>
      </c>
      <c r="AE647">
        <v>1.1365860815503417E-4</v>
      </c>
    </row>
    <row r="648" spans="29:31" x14ac:dyDescent="0.45">
      <c r="AC648" t="s">
        <v>19</v>
      </c>
      <c r="AD648" t="s">
        <v>1600</v>
      </c>
      <c r="AE648">
        <v>1.1362244535334114E-4</v>
      </c>
    </row>
    <row r="649" spans="29:31" x14ac:dyDescent="0.45">
      <c r="AC649" t="s">
        <v>19</v>
      </c>
      <c r="AD649" t="s">
        <v>1601</v>
      </c>
      <c r="AE649">
        <v>1.1357069236602931E-4</v>
      </c>
    </row>
    <row r="650" spans="29:31" x14ac:dyDescent="0.45">
      <c r="AC650" t="s">
        <v>19</v>
      </c>
      <c r="AD650" t="s">
        <v>1602</v>
      </c>
      <c r="AE650">
        <v>1.1358419314532805E-4</v>
      </c>
    </row>
    <row r="651" spans="29:31" x14ac:dyDescent="0.45">
      <c r="AC651" t="s">
        <v>19</v>
      </c>
      <c r="AD651" t="s">
        <v>1603</v>
      </c>
      <c r="AE651">
        <v>1.1367982366536075E-4</v>
      </c>
    </row>
    <row r="652" spans="29:31" x14ac:dyDescent="0.45">
      <c r="AC652" t="s">
        <v>19</v>
      </c>
      <c r="AD652" t="s">
        <v>1604</v>
      </c>
      <c r="AE652">
        <v>1.1370955752453059E-4</v>
      </c>
    </row>
    <row r="653" spans="29:31" x14ac:dyDescent="0.45">
      <c r="AC653" t="s">
        <v>19</v>
      </c>
      <c r="AD653" t="s">
        <v>1605</v>
      </c>
      <c r="AE653">
        <v>1.1364992908262783E-4</v>
      </c>
    </row>
    <row r="654" spans="29:31" x14ac:dyDescent="0.45">
      <c r="AC654" t="s">
        <v>19</v>
      </c>
      <c r="AD654" t="s">
        <v>1606</v>
      </c>
      <c r="AE654">
        <v>1.1367162676364366E-4</v>
      </c>
    </row>
    <row r="655" spans="29:31" x14ac:dyDescent="0.45">
      <c r="AC655" t="s">
        <v>19</v>
      </c>
      <c r="AD655" t="s">
        <v>1607</v>
      </c>
      <c r="AE655">
        <v>1.1361971305276878E-4</v>
      </c>
    </row>
    <row r="656" spans="29:31" x14ac:dyDescent="0.45">
      <c r="AC656" t="s">
        <v>19</v>
      </c>
      <c r="AD656" t="s">
        <v>1608</v>
      </c>
      <c r="AE656">
        <v>1.1333105353347682E-4</v>
      </c>
    </row>
    <row r="657" spans="29:31" x14ac:dyDescent="0.45">
      <c r="AC657" t="s">
        <v>19</v>
      </c>
      <c r="AD657" t="s">
        <v>1609</v>
      </c>
      <c r="AE657">
        <v>1.1343825615005126E-4</v>
      </c>
    </row>
    <row r="658" spans="29:31" x14ac:dyDescent="0.45">
      <c r="AC658" t="s">
        <v>19</v>
      </c>
      <c r="AD658" t="s">
        <v>1610</v>
      </c>
      <c r="AE658">
        <v>1.1274955568225282E-4</v>
      </c>
    </row>
    <row r="659" spans="29:31" x14ac:dyDescent="0.45">
      <c r="AC659" t="s">
        <v>19</v>
      </c>
      <c r="AD659" t="s">
        <v>1611</v>
      </c>
      <c r="AE659">
        <v>1.1232122738664419E-4</v>
      </c>
    </row>
    <row r="660" spans="29:31" x14ac:dyDescent="0.45">
      <c r="AC660" t="s">
        <v>19</v>
      </c>
      <c r="AD660" t="s">
        <v>1612</v>
      </c>
      <c r="AE660">
        <v>1.122498661246366E-4</v>
      </c>
    </row>
    <row r="661" spans="29:31" x14ac:dyDescent="0.45">
      <c r="AC661" t="s">
        <v>19</v>
      </c>
      <c r="AD661" t="s">
        <v>1613</v>
      </c>
      <c r="AE661">
        <v>1.122498661246366E-4</v>
      </c>
    </row>
    <row r="662" spans="29:31" x14ac:dyDescent="0.45">
      <c r="AC662" t="s">
        <v>19</v>
      </c>
      <c r="AD662" t="s">
        <v>1614</v>
      </c>
      <c r="AE662">
        <v>1.1229165425103745E-4</v>
      </c>
    </row>
    <row r="663" spans="29:31" x14ac:dyDescent="0.45">
      <c r="AC663" t="s">
        <v>19</v>
      </c>
      <c r="AD663" t="s">
        <v>1615</v>
      </c>
      <c r="AE663">
        <v>1.1283586423562686E-4</v>
      </c>
    </row>
    <row r="664" spans="29:31" x14ac:dyDescent="0.45">
      <c r="AC664" t="s">
        <v>19</v>
      </c>
      <c r="AD664" t="s">
        <v>1616</v>
      </c>
      <c r="AE664">
        <v>1.1395916121799407E-4</v>
      </c>
    </row>
    <row r="665" spans="29:31" x14ac:dyDescent="0.45">
      <c r="AC665" t="s">
        <v>19</v>
      </c>
      <c r="AD665" t="s">
        <v>1617</v>
      </c>
      <c r="AE665">
        <v>1.1483076510057775E-4</v>
      </c>
    </row>
    <row r="666" spans="29:31" x14ac:dyDescent="0.45">
      <c r="AC666" t="s">
        <v>19</v>
      </c>
      <c r="AD666" t="s">
        <v>1618</v>
      </c>
      <c r="AE666">
        <v>1.153981192782507E-4</v>
      </c>
    </row>
    <row r="667" spans="29:31" x14ac:dyDescent="0.45">
      <c r="AC667" t="s">
        <v>19</v>
      </c>
      <c r="AD667" t="s">
        <v>1619</v>
      </c>
      <c r="AE667">
        <v>1.156419369234433E-4</v>
      </c>
    </row>
    <row r="668" spans="29:31" x14ac:dyDescent="0.45">
      <c r="AC668" t="s">
        <v>19</v>
      </c>
      <c r="AD668" t="s">
        <v>1620</v>
      </c>
      <c r="AE668">
        <v>1.1564065113493865E-4</v>
      </c>
    </row>
    <row r="669" spans="29:31" x14ac:dyDescent="0.45">
      <c r="AC669" t="s">
        <v>19</v>
      </c>
      <c r="AD669" t="s">
        <v>1621</v>
      </c>
      <c r="AE669">
        <v>1.1563165061540617E-4</v>
      </c>
    </row>
    <row r="670" spans="29:31" x14ac:dyDescent="0.45">
      <c r="AC670" t="s">
        <v>19</v>
      </c>
      <c r="AD670" t="s">
        <v>1622</v>
      </c>
      <c r="AE670">
        <v>1.156281146970184E-4</v>
      </c>
    </row>
    <row r="671" spans="29:31" x14ac:dyDescent="0.45">
      <c r="AC671" t="s">
        <v>19</v>
      </c>
      <c r="AD671" t="s">
        <v>1623</v>
      </c>
      <c r="AE671">
        <v>1.1561316740565196E-4</v>
      </c>
    </row>
    <row r="672" spans="29:31" x14ac:dyDescent="0.45">
      <c r="AC672" t="s">
        <v>19</v>
      </c>
      <c r="AD672" t="s">
        <v>1624</v>
      </c>
      <c r="AE672">
        <v>1.1557330796200807E-4</v>
      </c>
    </row>
    <row r="673" spans="29:31" x14ac:dyDescent="0.45">
      <c r="AC673" t="s">
        <v>19</v>
      </c>
      <c r="AD673" t="s">
        <v>1625</v>
      </c>
      <c r="AE673">
        <v>1.1548571362012939E-4</v>
      </c>
    </row>
    <row r="674" spans="29:31" x14ac:dyDescent="0.45">
      <c r="AC674" t="s">
        <v>19</v>
      </c>
      <c r="AD674" t="s">
        <v>1626</v>
      </c>
      <c r="AE674">
        <v>1.1550226814712663E-4</v>
      </c>
    </row>
    <row r="675" spans="29:31" x14ac:dyDescent="0.45">
      <c r="AC675" t="s">
        <v>19</v>
      </c>
      <c r="AD675" t="s">
        <v>1627</v>
      </c>
      <c r="AE675">
        <v>1.1553907384307199E-4</v>
      </c>
    </row>
    <row r="676" spans="29:31" x14ac:dyDescent="0.45">
      <c r="AC676" t="s">
        <v>19</v>
      </c>
      <c r="AD676" t="s">
        <v>1628</v>
      </c>
      <c r="AE676">
        <v>1.1562200720162135E-4</v>
      </c>
    </row>
    <row r="677" spans="29:31" x14ac:dyDescent="0.45">
      <c r="AC677" t="s">
        <v>19</v>
      </c>
      <c r="AD677" t="s">
        <v>1629</v>
      </c>
      <c r="AE677">
        <v>1.1561541753553507E-4</v>
      </c>
    </row>
    <row r="678" spans="29:31" x14ac:dyDescent="0.45">
      <c r="AC678" t="s">
        <v>19</v>
      </c>
      <c r="AD678" t="s">
        <v>1630</v>
      </c>
      <c r="AE678">
        <v>1.1541644176444183E-4</v>
      </c>
    </row>
    <row r="679" spans="29:31" x14ac:dyDescent="0.45">
      <c r="AC679" t="s">
        <v>19</v>
      </c>
      <c r="AD679" t="s">
        <v>1631</v>
      </c>
      <c r="AE679">
        <v>1.1459353712147144E-4</v>
      </c>
    </row>
    <row r="680" spans="29:31" x14ac:dyDescent="0.45">
      <c r="AC680" t="s">
        <v>19</v>
      </c>
      <c r="AD680" t="s">
        <v>1632</v>
      </c>
      <c r="AE680">
        <v>1.1406218502192844E-4</v>
      </c>
    </row>
    <row r="681" spans="29:31" x14ac:dyDescent="0.45">
      <c r="AC681" t="s">
        <v>19</v>
      </c>
      <c r="AD681" t="s">
        <v>1633</v>
      </c>
      <c r="AE681">
        <v>1.1344388147475907E-4</v>
      </c>
    </row>
    <row r="682" spans="29:31" x14ac:dyDescent="0.45">
      <c r="AC682" t="s">
        <v>19</v>
      </c>
      <c r="AD682" t="s">
        <v>1634</v>
      </c>
      <c r="AE682">
        <v>1.1273284043169248E-4</v>
      </c>
    </row>
    <row r="683" spans="29:31" x14ac:dyDescent="0.45">
      <c r="AC683" t="s">
        <v>19</v>
      </c>
      <c r="AD683" t="s">
        <v>337</v>
      </c>
      <c r="AE683">
        <v>2.0915466787247622E-2</v>
      </c>
    </row>
    <row r="684" spans="29:31" x14ac:dyDescent="0.45">
      <c r="AC684" t="s">
        <v>19</v>
      </c>
      <c r="AD684" t="s">
        <v>338</v>
      </c>
      <c r="AE684">
        <v>3.5425036657276538E-3</v>
      </c>
    </row>
    <row r="685" spans="29:31" x14ac:dyDescent="0.45">
      <c r="AC685" t="s">
        <v>19</v>
      </c>
      <c r="AD685" t="s">
        <v>339</v>
      </c>
      <c r="AE685">
        <v>3.5614042745751909E-3</v>
      </c>
    </row>
    <row r="686" spans="29:31" x14ac:dyDescent="0.45">
      <c r="AC686" t="s">
        <v>19</v>
      </c>
      <c r="AD686" t="s">
        <v>340</v>
      </c>
      <c r="AE686">
        <v>3.5678517003081517E-3</v>
      </c>
    </row>
    <row r="687" spans="29:31" x14ac:dyDescent="0.45">
      <c r="AC687" t="s">
        <v>19</v>
      </c>
      <c r="AD687" t="s">
        <v>341</v>
      </c>
      <c r="AE687">
        <v>2.4950444486950562E-2</v>
      </c>
    </row>
    <row r="688" spans="29:31" x14ac:dyDescent="0.45">
      <c r="AC688" t="s">
        <v>19</v>
      </c>
      <c r="AD688" t="s">
        <v>342</v>
      </c>
      <c r="AE688">
        <v>3.5633445294286949E-3</v>
      </c>
    </row>
    <row r="689" spans="29:31" x14ac:dyDescent="0.45">
      <c r="AC689" t="s">
        <v>19</v>
      </c>
      <c r="AD689" t="s">
        <v>343</v>
      </c>
      <c r="AE689">
        <v>3.5657004154163235E-3</v>
      </c>
    </row>
    <row r="690" spans="29:31" x14ac:dyDescent="0.45">
      <c r="AC690" t="s">
        <v>19</v>
      </c>
      <c r="AD690" t="s">
        <v>344</v>
      </c>
      <c r="AE690">
        <v>2.1219325933900073E-2</v>
      </c>
    </row>
    <row r="691" spans="29:31" x14ac:dyDescent="0.45">
      <c r="AC691" t="s">
        <v>19</v>
      </c>
      <c r="AD691" t="s">
        <v>703</v>
      </c>
      <c r="AE691">
        <v>1.5494149017923486E-2</v>
      </c>
    </row>
    <row r="692" spans="29:31" x14ac:dyDescent="0.45">
      <c r="AC692" t="s">
        <v>19</v>
      </c>
      <c r="AD692" t="s">
        <v>704</v>
      </c>
      <c r="AE692">
        <v>2.628199583592073E-3</v>
      </c>
    </row>
    <row r="693" spans="29:31" x14ac:dyDescent="0.45">
      <c r="AC693" t="s">
        <v>19</v>
      </c>
      <c r="AD693" t="s">
        <v>705</v>
      </c>
      <c r="AE693">
        <v>2.6373434685428294E-3</v>
      </c>
    </row>
    <row r="694" spans="29:31" x14ac:dyDescent="0.45">
      <c r="AC694" t="s">
        <v>19</v>
      </c>
      <c r="AD694" t="s">
        <v>706</v>
      </c>
      <c r="AE694">
        <v>2.645950858240024E-3</v>
      </c>
    </row>
    <row r="695" spans="29:31" x14ac:dyDescent="0.45">
      <c r="AC695" t="s">
        <v>19</v>
      </c>
      <c r="AD695" t="s">
        <v>707</v>
      </c>
      <c r="AE695">
        <v>1.8522296491079043E-2</v>
      </c>
    </row>
    <row r="696" spans="29:31" x14ac:dyDescent="0.45">
      <c r="AC696" t="s">
        <v>19</v>
      </c>
      <c r="AD696" t="s">
        <v>708</v>
      </c>
      <c r="AE696">
        <v>2.649486133733535E-3</v>
      </c>
    </row>
    <row r="697" spans="29:31" x14ac:dyDescent="0.45">
      <c r="AC697" t="s">
        <v>19</v>
      </c>
      <c r="AD697" t="s">
        <v>709</v>
      </c>
      <c r="AE697">
        <v>2.6510486882138002E-3</v>
      </c>
    </row>
    <row r="698" spans="29:31" x14ac:dyDescent="0.45">
      <c r="AC698" t="s">
        <v>19</v>
      </c>
      <c r="AD698" t="s">
        <v>710</v>
      </c>
      <c r="AE698">
        <v>1.576168351425488E-2</v>
      </c>
    </row>
    <row r="699" spans="29:31" x14ac:dyDescent="0.45">
      <c r="AC699" t="s">
        <v>19</v>
      </c>
      <c r="AD699" t="s">
        <v>1635</v>
      </c>
      <c r="AE699">
        <v>1.1229225595987672E-4</v>
      </c>
    </row>
    <row r="700" spans="29:31" x14ac:dyDescent="0.45">
      <c r="AC700" t="s">
        <v>19</v>
      </c>
      <c r="AD700" t="s">
        <v>1636</v>
      </c>
      <c r="AE700">
        <v>1.1206676080087526E-4</v>
      </c>
    </row>
    <row r="701" spans="29:31" x14ac:dyDescent="0.45">
      <c r="AC701" t="s">
        <v>19</v>
      </c>
      <c r="AD701" t="s">
        <v>1637</v>
      </c>
      <c r="AE701">
        <v>1.1204265226641324E-4</v>
      </c>
    </row>
    <row r="702" spans="29:31" x14ac:dyDescent="0.45">
      <c r="AC702" t="s">
        <v>19</v>
      </c>
      <c r="AD702" t="s">
        <v>1638</v>
      </c>
      <c r="AE702">
        <v>1.1204265226641324E-4</v>
      </c>
    </row>
    <row r="703" spans="29:31" x14ac:dyDescent="0.45">
      <c r="AC703" t="s">
        <v>19</v>
      </c>
      <c r="AD703" t="s">
        <v>1639</v>
      </c>
      <c r="AE703">
        <v>1.1236843892877671E-4</v>
      </c>
    </row>
    <row r="704" spans="29:31" x14ac:dyDescent="0.45">
      <c r="AC704" t="s">
        <v>19</v>
      </c>
      <c r="AD704" t="s">
        <v>1640</v>
      </c>
      <c r="AE704">
        <v>1.1392826110846963E-4</v>
      </c>
    </row>
    <row r="705" spans="29:31" x14ac:dyDescent="0.45">
      <c r="AC705" t="s">
        <v>19</v>
      </c>
      <c r="AD705" t="s">
        <v>1641</v>
      </c>
      <c r="AE705">
        <v>1.1511247232124421E-4</v>
      </c>
    </row>
    <row r="706" spans="29:31" x14ac:dyDescent="0.45">
      <c r="AC706" t="s">
        <v>19</v>
      </c>
      <c r="AD706" t="s">
        <v>1642</v>
      </c>
      <c r="AE706">
        <v>1.1549129775942413E-4</v>
      </c>
    </row>
    <row r="707" spans="29:31" x14ac:dyDescent="0.45">
      <c r="AC707" t="s">
        <v>19</v>
      </c>
      <c r="AD707" t="s">
        <v>1643</v>
      </c>
      <c r="AE707">
        <v>1.1574170507070301E-4</v>
      </c>
    </row>
    <row r="708" spans="29:31" x14ac:dyDescent="0.45">
      <c r="AC708" t="s">
        <v>19</v>
      </c>
      <c r="AD708" t="s">
        <v>1644</v>
      </c>
      <c r="AE708">
        <v>1.1578783273330703E-4</v>
      </c>
    </row>
    <row r="709" spans="29:31" x14ac:dyDescent="0.45">
      <c r="AC709" t="s">
        <v>19</v>
      </c>
      <c r="AD709" t="s">
        <v>1645</v>
      </c>
      <c r="AE709">
        <v>1.1566503993111379E-4</v>
      </c>
    </row>
    <row r="710" spans="29:31" x14ac:dyDescent="0.45">
      <c r="AC710" t="s">
        <v>19</v>
      </c>
      <c r="AD710" t="s">
        <v>1646</v>
      </c>
      <c r="AE710">
        <v>1.1563723475470093E-4</v>
      </c>
    </row>
    <row r="711" spans="29:31" x14ac:dyDescent="0.45">
      <c r="AC711" t="s">
        <v>19</v>
      </c>
      <c r="AD711" t="s">
        <v>1647</v>
      </c>
      <c r="AE711">
        <v>1.1564961046905809E-4</v>
      </c>
    </row>
    <row r="712" spans="29:31" x14ac:dyDescent="0.45">
      <c r="AC712" t="s">
        <v>19</v>
      </c>
      <c r="AD712" t="s">
        <v>1648</v>
      </c>
      <c r="AE712">
        <v>1.1564961046905809E-4</v>
      </c>
    </row>
    <row r="713" spans="29:31" x14ac:dyDescent="0.45">
      <c r="AC713" t="s">
        <v>19</v>
      </c>
      <c r="AD713" t="s">
        <v>1649</v>
      </c>
      <c r="AE713">
        <v>1.1560412570070641E-4</v>
      </c>
    </row>
    <row r="714" spans="29:31" x14ac:dyDescent="0.45">
      <c r="AC714" t="s">
        <v>19</v>
      </c>
      <c r="AD714" t="s">
        <v>1650</v>
      </c>
      <c r="AE714">
        <v>1.1563723475470093E-4</v>
      </c>
    </row>
    <row r="715" spans="29:31" x14ac:dyDescent="0.45">
      <c r="AC715" t="s">
        <v>19</v>
      </c>
      <c r="AD715" t="s">
        <v>1651</v>
      </c>
      <c r="AE715">
        <v>1.1565668230583361E-4</v>
      </c>
    </row>
    <row r="716" spans="29:31" x14ac:dyDescent="0.45">
      <c r="AC716" t="s">
        <v>19</v>
      </c>
      <c r="AD716" t="s">
        <v>1652</v>
      </c>
      <c r="AE716">
        <v>1.1565507507020282E-4</v>
      </c>
    </row>
    <row r="717" spans="29:31" x14ac:dyDescent="0.45">
      <c r="AC717" t="s">
        <v>19</v>
      </c>
      <c r="AD717" t="s">
        <v>1653</v>
      </c>
      <c r="AE717">
        <v>1.1565507507020282E-4</v>
      </c>
    </row>
    <row r="718" spans="29:31" x14ac:dyDescent="0.45">
      <c r="AC718" t="s">
        <v>19</v>
      </c>
      <c r="AD718" t="s">
        <v>1654</v>
      </c>
      <c r="AE718">
        <v>1.1543552668303533E-4</v>
      </c>
    </row>
    <row r="719" spans="29:31" x14ac:dyDescent="0.45">
      <c r="AC719" t="s">
        <v>19</v>
      </c>
      <c r="AD719" t="s">
        <v>1655</v>
      </c>
      <c r="AE719">
        <v>1.148866557151166E-4</v>
      </c>
    </row>
    <row r="720" spans="29:31" x14ac:dyDescent="0.45">
      <c r="AC720" t="s">
        <v>19</v>
      </c>
      <c r="AD720" t="s">
        <v>1656</v>
      </c>
      <c r="AE720">
        <v>1.1414989890195716E-4</v>
      </c>
    </row>
    <row r="721" spans="29:31" x14ac:dyDescent="0.45">
      <c r="AC721" t="s">
        <v>19</v>
      </c>
      <c r="AD721" t="s">
        <v>1657</v>
      </c>
      <c r="AE721">
        <v>1.1368733648741246E-4</v>
      </c>
    </row>
    <row r="722" spans="29:31" x14ac:dyDescent="0.45">
      <c r="AC722" t="s">
        <v>19</v>
      </c>
      <c r="AD722" t="s">
        <v>1658</v>
      </c>
      <c r="AE722">
        <v>1.1272829898651318E-4</v>
      </c>
    </row>
    <row r="723" spans="29:31" x14ac:dyDescent="0.45">
      <c r="AC723" t="s">
        <v>19</v>
      </c>
      <c r="AD723" t="s">
        <v>1659</v>
      </c>
      <c r="AE723">
        <v>1.1228984510643054E-4</v>
      </c>
    </row>
    <row r="724" spans="29:31" x14ac:dyDescent="0.45">
      <c r="AC724" t="s">
        <v>19</v>
      </c>
      <c r="AD724" t="s">
        <v>1660</v>
      </c>
      <c r="AE724">
        <v>1.1206676080087527E-4</v>
      </c>
    </row>
    <row r="725" spans="29:31" x14ac:dyDescent="0.45">
      <c r="AC725" t="s">
        <v>19</v>
      </c>
      <c r="AD725" t="s">
        <v>1661</v>
      </c>
      <c r="AE725">
        <v>1.1205342074513962E-4</v>
      </c>
    </row>
    <row r="726" spans="29:31" x14ac:dyDescent="0.45">
      <c r="AC726" t="s">
        <v>19</v>
      </c>
      <c r="AD726" t="s">
        <v>1662</v>
      </c>
      <c r="AE726">
        <v>1.1211128122784847E-4</v>
      </c>
    </row>
    <row r="727" spans="29:31" x14ac:dyDescent="0.45">
      <c r="AC727" t="s">
        <v>19</v>
      </c>
      <c r="AD727" t="s">
        <v>1663</v>
      </c>
      <c r="AE727">
        <v>1.1246053353042166E-4</v>
      </c>
    </row>
    <row r="728" spans="29:31" x14ac:dyDescent="0.45">
      <c r="AC728" t="s">
        <v>19</v>
      </c>
      <c r="AD728" t="s">
        <v>1664</v>
      </c>
      <c r="AE728">
        <v>1.1424954751106688E-4</v>
      </c>
    </row>
    <row r="729" spans="29:31" x14ac:dyDescent="0.45">
      <c r="AC729" t="s">
        <v>19</v>
      </c>
      <c r="AD729" t="s">
        <v>1665</v>
      </c>
      <c r="AE729">
        <v>1.1536014733195074E-4</v>
      </c>
    </row>
    <row r="730" spans="29:31" x14ac:dyDescent="0.45">
      <c r="AC730" t="s">
        <v>19</v>
      </c>
      <c r="AD730" t="s">
        <v>1666</v>
      </c>
      <c r="AE730">
        <v>1.1563835981964249E-4</v>
      </c>
    </row>
    <row r="731" spans="29:31" x14ac:dyDescent="0.45">
      <c r="AC731" t="s">
        <v>19</v>
      </c>
      <c r="AD731" t="s">
        <v>1667</v>
      </c>
      <c r="AE731">
        <v>1.1595064570270724E-4</v>
      </c>
    </row>
    <row r="732" spans="29:31" x14ac:dyDescent="0.45">
      <c r="AC732" t="s">
        <v>19</v>
      </c>
      <c r="AD732" t="s">
        <v>1668</v>
      </c>
      <c r="AE732">
        <v>1.1609674342154711E-4</v>
      </c>
    </row>
    <row r="733" spans="29:31" x14ac:dyDescent="0.45">
      <c r="AC733" t="s">
        <v>19</v>
      </c>
      <c r="AD733" t="s">
        <v>1669</v>
      </c>
      <c r="AE733">
        <v>1.1595723536879352E-4</v>
      </c>
    </row>
    <row r="734" spans="29:31" x14ac:dyDescent="0.45">
      <c r="AC734" t="s">
        <v>19</v>
      </c>
      <c r="AD734" t="s">
        <v>1670</v>
      </c>
      <c r="AE734">
        <v>1.1584826479302517E-4</v>
      </c>
    </row>
    <row r="735" spans="29:31" x14ac:dyDescent="0.45">
      <c r="AC735" t="s">
        <v>19</v>
      </c>
      <c r="AD735" t="s">
        <v>1671</v>
      </c>
      <c r="AE735">
        <v>1.1580278002467349E-4</v>
      </c>
    </row>
    <row r="736" spans="29:31" x14ac:dyDescent="0.45">
      <c r="AC736" t="s">
        <v>19</v>
      </c>
      <c r="AD736" t="s">
        <v>1672</v>
      </c>
      <c r="AE736">
        <v>1.1579924410628573E-4</v>
      </c>
    </row>
    <row r="737" spans="29:31" x14ac:dyDescent="0.45">
      <c r="AC737" t="s">
        <v>19</v>
      </c>
      <c r="AD737" t="s">
        <v>1673</v>
      </c>
      <c r="AE737">
        <v>1.1580278002467349E-4</v>
      </c>
    </row>
    <row r="738" spans="29:31" x14ac:dyDescent="0.45">
      <c r="AC738" t="s">
        <v>19</v>
      </c>
      <c r="AD738" t="s">
        <v>1674</v>
      </c>
      <c r="AE738">
        <v>1.1583331750165873E-4</v>
      </c>
    </row>
    <row r="739" spans="29:31" x14ac:dyDescent="0.45">
      <c r="AC739" t="s">
        <v>19</v>
      </c>
      <c r="AD739" t="s">
        <v>1675</v>
      </c>
      <c r="AE739">
        <v>1.1599002297566187E-4</v>
      </c>
    </row>
    <row r="740" spans="29:31" x14ac:dyDescent="0.45">
      <c r="AC740" t="s">
        <v>19</v>
      </c>
      <c r="AD740" t="s">
        <v>1676</v>
      </c>
      <c r="AE740">
        <v>1.1601091703886231E-4</v>
      </c>
    </row>
    <row r="741" spans="29:31" x14ac:dyDescent="0.45">
      <c r="AC741" t="s">
        <v>19</v>
      </c>
      <c r="AD741" t="s">
        <v>1677</v>
      </c>
      <c r="AE741">
        <v>1.1607761731754056E-4</v>
      </c>
    </row>
    <row r="742" spans="29:31" x14ac:dyDescent="0.45">
      <c r="AC742" t="s">
        <v>19</v>
      </c>
      <c r="AD742" t="s">
        <v>1678</v>
      </c>
      <c r="AE742">
        <v>1.1589342811425071E-4</v>
      </c>
    </row>
    <row r="743" spans="29:31" x14ac:dyDescent="0.45">
      <c r="AC743" t="s">
        <v>19</v>
      </c>
      <c r="AD743" t="s">
        <v>1679</v>
      </c>
      <c r="AE743">
        <v>1.1533153853772247E-4</v>
      </c>
    </row>
    <row r="744" spans="29:31" x14ac:dyDescent="0.45">
      <c r="AC744" t="s">
        <v>19</v>
      </c>
      <c r="AD744" t="s">
        <v>1680</v>
      </c>
      <c r="AE744">
        <v>1.1461230059293877E-4</v>
      </c>
    </row>
    <row r="745" spans="29:31" x14ac:dyDescent="0.45">
      <c r="AC745" t="s">
        <v>19</v>
      </c>
      <c r="AD745" t="s">
        <v>1681</v>
      </c>
      <c r="AE745">
        <v>1.1397358515325825E-4</v>
      </c>
    </row>
    <row r="746" spans="29:31" x14ac:dyDescent="0.45">
      <c r="AC746" t="s">
        <v>19</v>
      </c>
      <c r="AD746" t="s">
        <v>1682</v>
      </c>
      <c r="AE746">
        <v>1.1268892171355856E-4</v>
      </c>
    </row>
    <row r="747" spans="29:31" x14ac:dyDescent="0.45">
      <c r="AC747" t="s">
        <v>19</v>
      </c>
      <c r="AD747" t="s">
        <v>1683</v>
      </c>
      <c r="AE747">
        <v>1.1237567148911532E-4</v>
      </c>
    </row>
    <row r="748" spans="29:31" x14ac:dyDescent="0.45">
      <c r="AC748" t="s">
        <v>19</v>
      </c>
      <c r="AD748" t="s">
        <v>1684</v>
      </c>
      <c r="AE748">
        <v>1.1217749933583748E-4</v>
      </c>
    </row>
    <row r="749" spans="29:31" x14ac:dyDescent="0.45">
      <c r="AC749" t="s">
        <v>19</v>
      </c>
      <c r="AD749" t="s">
        <v>1685</v>
      </c>
      <c r="AE749">
        <v>1.1215355152493855E-4</v>
      </c>
    </row>
    <row r="750" spans="29:31" x14ac:dyDescent="0.45">
      <c r="AC750" t="s">
        <v>19</v>
      </c>
      <c r="AD750" t="s">
        <v>1686</v>
      </c>
      <c r="AE750">
        <v>1.1217396341744972E-4</v>
      </c>
    </row>
    <row r="751" spans="29:31" x14ac:dyDescent="0.45">
      <c r="AC751" t="s">
        <v>19</v>
      </c>
      <c r="AD751" t="s">
        <v>1687</v>
      </c>
      <c r="AE751">
        <v>1.1258123692629485E-4</v>
      </c>
    </row>
    <row r="752" spans="29:31" x14ac:dyDescent="0.45">
      <c r="AC752" t="s">
        <v>19</v>
      </c>
      <c r="AD752" t="s">
        <v>1688</v>
      </c>
      <c r="AE752">
        <v>1.1429069274321539E-4</v>
      </c>
    </row>
    <row r="753" spans="29:31" x14ac:dyDescent="0.45">
      <c r="AC753" t="s">
        <v>19</v>
      </c>
      <c r="AD753" t="s">
        <v>1689</v>
      </c>
      <c r="AE753">
        <v>1.154908155887349E-4</v>
      </c>
    </row>
    <row r="754" spans="29:31" x14ac:dyDescent="0.45">
      <c r="AC754" t="s">
        <v>19</v>
      </c>
      <c r="AD754" t="s">
        <v>1690</v>
      </c>
      <c r="AE754">
        <v>1.1574716967184774E-4</v>
      </c>
    </row>
    <row r="755" spans="29:31" x14ac:dyDescent="0.45">
      <c r="AC755" t="s">
        <v>19</v>
      </c>
      <c r="AD755" t="s">
        <v>1691</v>
      </c>
      <c r="AE755">
        <v>1.1611201216003971E-4</v>
      </c>
    </row>
    <row r="756" spans="29:31" x14ac:dyDescent="0.45">
      <c r="AC756" t="s">
        <v>19</v>
      </c>
      <c r="AD756" t="s">
        <v>1692</v>
      </c>
      <c r="AE756">
        <v>1.163161310851515E-4</v>
      </c>
    </row>
    <row r="757" spans="29:31" x14ac:dyDescent="0.45">
      <c r="AC757" t="s">
        <v>19</v>
      </c>
      <c r="AD757" t="s">
        <v>1693</v>
      </c>
      <c r="AE757">
        <v>1.1617308711401017E-4</v>
      </c>
    </row>
    <row r="758" spans="29:31" x14ac:dyDescent="0.45">
      <c r="AC758" t="s">
        <v>19</v>
      </c>
      <c r="AD758" t="s">
        <v>1694</v>
      </c>
      <c r="AE758">
        <v>1.1600529171415447E-4</v>
      </c>
    </row>
    <row r="759" spans="29:31" x14ac:dyDescent="0.45">
      <c r="AC759" t="s">
        <v>19</v>
      </c>
      <c r="AD759" t="s">
        <v>1695</v>
      </c>
      <c r="AE759">
        <v>1.1597202193659689E-4</v>
      </c>
    </row>
    <row r="760" spans="29:31" x14ac:dyDescent="0.45">
      <c r="AC760" t="s">
        <v>19</v>
      </c>
      <c r="AD760" t="s">
        <v>1696</v>
      </c>
      <c r="AE760">
        <v>1.1597202193659689E-4</v>
      </c>
    </row>
    <row r="761" spans="29:31" x14ac:dyDescent="0.45">
      <c r="AC761" t="s">
        <v>19</v>
      </c>
      <c r="AD761" t="s">
        <v>1697</v>
      </c>
      <c r="AE761">
        <v>1.1597202193659689E-4</v>
      </c>
    </row>
    <row r="762" spans="29:31" x14ac:dyDescent="0.45">
      <c r="AC762" t="s">
        <v>19</v>
      </c>
      <c r="AD762" t="s">
        <v>1698</v>
      </c>
      <c r="AE762">
        <v>1.1605238371813696E-4</v>
      </c>
    </row>
    <row r="763" spans="29:31" x14ac:dyDescent="0.45">
      <c r="AC763" t="s">
        <v>19</v>
      </c>
      <c r="AD763" t="s">
        <v>1699</v>
      </c>
      <c r="AE763">
        <v>1.1624782357084245E-4</v>
      </c>
    </row>
    <row r="764" spans="29:31" x14ac:dyDescent="0.45">
      <c r="AC764" t="s">
        <v>19</v>
      </c>
      <c r="AD764" t="s">
        <v>1700</v>
      </c>
      <c r="AE764">
        <v>1.1624782357084245E-4</v>
      </c>
    </row>
    <row r="765" spans="29:31" x14ac:dyDescent="0.45">
      <c r="AC765" t="s">
        <v>19</v>
      </c>
      <c r="AD765" t="s">
        <v>1701</v>
      </c>
      <c r="AE765">
        <v>1.1623657292142682E-4</v>
      </c>
    </row>
    <row r="766" spans="29:31" x14ac:dyDescent="0.45">
      <c r="AC766" t="s">
        <v>19</v>
      </c>
      <c r="AD766" t="s">
        <v>1702</v>
      </c>
      <c r="AE766">
        <v>1.1595016353201798E-4</v>
      </c>
    </row>
    <row r="767" spans="29:31" x14ac:dyDescent="0.45">
      <c r="AC767" t="s">
        <v>19</v>
      </c>
      <c r="AD767" t="s">
        <v>1703</v>
      </c>
      <c r="AE767">
        <v>1.1533153853772247E-4</v>
      </c>
    </row>
    <row r="768" spans="29:31" x14ac:dyDescent="0.45">
      <c r="AC768" t="s">
        <v>19</v>
      </c>
      <c r="AD768" t="s">
        <v>1704</v>
      </c>
      <c r="AE768">
        <v>1.1461230059293877E-4</v>
      </c>
    </row>
    <row r="769" spans="29:31" x14ac:dyDescent="0.45">
      <c r="AC769" t="s">
        <v>19</v>
      </c>
      <c r="AD769" t="s">
        <v>1705</v>
      </c>
      <c r="AE769">
        <v>1.1396426318659958E-4</v>
      </c>
    </row>
    <row r="770" spans="29:31" x14ac:dyDescent="0.45">
      <c r="AC770" t="s">
        <v>19</v>
      </c>
      <c r="AD770" t="s">
        <v>1706</v>
      </c>
      <c r="AE770">
        <v>1.1277185507210791E-4</v>
      </c>
    </row>
    <row r="771" spans="29:31" x14ac:dyDescent="0.45">
      <c r="AC771" t="s">
        <v>19</v>
      </c>
      <c r="AD771" t="s">
        <v>1707</v>
      </c>
      <c r="AE771">
        <v>1.123888508212879E-4</v>
      </c>
    </row>
    <row r="772" spans="29:31" x14ac:dyDescent="0.45">
      <c r="AC772" t="s">
        <v>19</v>
      </c>
      <c r="AD772" t="s">
        <v>1708</v>
      </c>
      <c r="AE772">
        <v>1.1220241148811492E-4</v>
      </c>
    </row>
    <row r="773" spans="29:31" x14ac:dyDescent="0.45">
      <c r="AC773" t="s">
        <v>19</v>
      </c>
      <c r="AD773" t="s">
        <v>1709</v>
      </c>
      <c r="AE773">
        <v>1.1217846367721599E-4</v>
      </c>
    </row>
    <row r="774" spans="29:31" x14ac:dyDescent="0.45">
      <c r="AC774" t="s">
        <v>19</v>
      </c>
      <c r="AD774" t="s">
        <v>1710</v>
      </c>
      <c r="AE774">
        <v>1.1217846367721599E-4</v>
      </c>
    </row>
    <row r="775" spans="29:31" x14ac:dyDescent="0.45">
      <c r="AC775" t="s">
        <v>19</v>
      </c>
      <c r="AD775" t="s">
        <v>1711</v>
      </c>
      <c r="AE775">
        <v>1.1257609377227628E-4</v>
      </c>
    </row>
    <row r="776" spans="29:31" x14ac:dyDescent="0.45">
      <c r="AC776" t="s">
        <v>19</v>
      </c>
      <c r="AD776" t="s">
        <v>1712</v>
      </c>
      <c r="AE776">
        <v>1.1424954751106688E-4</v>
      </c>
    </row>
    <row r="777" spans="29:31" x14ac:dyDescent="0.45">
      <c r="AC777" t="s">
        <v>19</v>
      </c>
      <c r="AD777" t="s">
        <v>1713</v>
      </c>
      <c r="AE777">
        <v>1.1536014733195074E-4</v>
      </c>
    </row>
    <row r="778" spans="29:31" x14ac:dyDescent="0.45">
      <c r="AC778" t="s">
        <v>19</v>
      </c>
      <c r="AD778" t="s">
        <v>1714</v>
      </c>
      <c r="AE778">
        <v>1.155734275001581E-4</v>
      </c>
    </row>
    <row r="779" spans="29:31" x14ac:dyDescent="0.45">
      <c r="AC779" t="s">
        <v>19</v>
      </c>
      <c r="AD779" t="s">
        <v>1715</v>
      </c>
      <c r="AE779">
        <v>1.15839907167745E-4</v>
      </c>
    </row>
    <row r="780" spans="29:31" x14ac:dyDescent="0.45">
      <c r="AC780" t="s">
        <v>19</v>
      </c>
      <c r="AD780" t="s">
        <v>1716</v>
      </c>
      <c r="AE780">
        <v>1.1594919919063951E-4</v>
      </c>
    </row>
    <row r="781" spans="29:31" x14ac:dyDescent="0.45">
      <c r="AC781" t="s">
        <v>19</v>
      </c>
      <c r="AD781" t="s">
        <v>1717</v>
      </c>
      <c r="AE781">
        <v>1.1593618058203002E-4</v>
      </c>
    </row>
    <row r="782" spans="29:31" x14ac:dyDescent="0.45">
      <c r="AC782" t="s">
        <v>19</v>
      </c>
      <c r="AD782" t="s">
        <v>1718</v>
      </c>
      <c r="AE782">
        <v>1.1584826479302517E-4</v>
      </c>
    </row>
    <row r="783" spans="29:31" x14ac:dyDescent="0.45">
      <c r="AC783" t="s">
        <v>19</v>
      </c>
      <c r="AD783" t="s">
        <v>1719</v>
      </c>
      <c r="AE783">
        <v>1.1583910354992962E-4</v>
      </c>
    </row>
    <row r="784" spans="29:31" x14ac:dyDescent="0.45">
      <c r="AC784" t="s">
        <v>19</v>
      </c>
      <c r="AD784" t="s">
        <v>1720</v>
      </c>
      <c r="AE784">
        <v>1.1580278002467349E-4</v>
      </c>
    </row>
    <row r="785" spans="29:31" x14ac:dyDescent="0.45">
      <c r="AC785" t="s">
        <v>19</v>
      </c>
      <c r="AD785" t="s">
        <v>1721</v>
      </c>
      <c r="AE785">
        <v>1.1580278002467349E-4</v>
      </c>
    </row>
    <row r="786" spans="29:31" x14ac:dyDescent="0.45">
      <c r="AC786" t="s">
        <v>19</v>
      </c>
      <c r="AD786" t="s">
        <v>1722</v>
      </c>
      <c r="AE786">
        <v>1.1581869165741843E-4</v>
      </c>
    </row>
    <row r="787" spans="29:31" x14ac:dyDescent="0.45">
      <c r="AC787" t="s">
        <v>19</v>
      </c>
      <c r="AD787" t="s">
        <v>1723</v>
      </c>
      <c r="AE787">
        <v>1.1583829993211419E-4</v>
      </c>
    </row>
    <row r="788" spans="29:31" x14ac:dyDescent="0.45">
      <c r="AC788" t="s">
        <v>19</v>
      </c>
      <c r="AD788" t="s">
        <v>1724</v>
      </c>
      <c r="AE788">
        <v>1.1583669269648342E-4</v>
      </c>
    </row>
    <row r="789" spans="29:31" x14ac:dyDescent="0.45">
      <c r="AC789" t="s">
        <v>19</v>
      </c>
      <c r="AD789" t="s">
        <v>1725</v>
      </c>
      <c r="AE789">
        <v>1.1583669269648342E-4</v>
      </c>
    </row>
    <row r="790" spans="29:31" x14ac:dyDescent="0.45">
      <c r="AC790" t="s">
        <v>19</v>
      </c>
      <c r="AD790" t="s">
        <v>1726</v>
      </c>
      <c r="AE790">
        <v>1.1559062492140769E-4</v>
      </c>
    </row>
    <row r="791" spans="29:31" x14ac:dyDescent="0.45">
      <c r="AC791" t="s">
        <v>19</v>
      </c>
      <c r="AD791" t="s">
        <v>1727</v>
      </c>
      <c r="AE791">
        <v>1.1504979013164295E-4</v>
      </c>
    </row>
    <row r="792" spans="29:31" x14ac:dyDescent="0.45">
      <c r="AC792" t="s">
        <v>19</v>
      </c>
      <c r="AD792" t="s">
        <v>1728</v>
      </c>
      <c r="AE792">
        <v>1.1431865864319135E-4</v>
      </c>
    </row>
    <row r="793" spans="29:31" x14ac:dyDescent="0.45">
      <c r="AC793" t="s">
        <v>19</v>
      </c>
      <c r="AD793" t="s">
        <v>1729</v>
      </c>
      <c r="AE793">
        <v>1.1375050084770298E-4</v>
      </c>
    </row>
    <row r="794" spans="29:31" x14ac:dyDescent="0.45">
      <c r="AC794" t="s">
        <v>19</v>
      </c>
      <c r="AD794" t="s">
        <v>1730</v>
      </c>
      <c r="AE794">
        <v>1.1256484312286067E-4</v>
      </c>
    </row>
    <row r="795" spans="29:31" x14ac:dyDescent="0.45">
      <c r="AC795" t="s">
        <v>19</v>
      </c>
      <c r="AD795" t="s">
        <v>1731</v>
      </c>
      <c r="AE795">
        <v>1.1214326521690142E-4</v>
      </c>
    </row>
    <row r="796" spans="29:31" x14ac:dyDescent="0.45">
      <c r="AC796" t="s">
        <v>19</v>
      </c>
      <c r="AD796" t="s">
        <v>1732</v>
      </c>
      <c r="AE796">
        <v>1.1187341035448985E-4</v>
      </c>
    </row>
    <row r="797" spans="29:31" x14ac:dyDescent="0.45">
      <c r="AC797" t="s">
        <v>19</v>
      </c>
      <c r="AD797" t="s">
        <v>1733</v>
      </c>
      <c r="AE797">
        <v>1.1180028113328838E-4</v>
      </c>
    </row>
    <row r="798" spans="29:31" x14ac:dyDescent="0.45">
      <c r="AC798" t="s">
        <v>19</v>
      </c>
      <c r="AD798" t="s">
        <v>1734</v>
      </c>
      <c r="AE798">
        <v>1.1180028113328838E-4</v>
      </c>
    </row>
    <row r="799" spans="29:31" x14ac:dyDescent="0.45">
      <c r="AC799" t="s">
        <v>19</v>
      </c>
      <c r="AD799" t="s">
        <v>1735</v>
      </c>
      <c r="AE799">
        <v>1.1185171267347402E-4</v>
      </c>
    </row>
    <row r="800" spans="29:31" x14ac:dyDescent="0.45">
      <c r="AC800" t="s">
        <v>19</v>
      </c>
      <c r="AD800" t="s">
        <v>1736</v>
      </c>
      <c r="AE800">
        <v>1.1214149725770754E-4</v>
      </c>
    </row>
    <row r="801" spans="29:31" x14ac:dyDescent="0.45">
      <c r="AC801" t="s">
        <v>19</v>
      </c>
      <c r="AD801" t="s">
        <v>1737</v>
      </c>
      <c r="AE801">
        <v>1.1256468239929759E-4</v>
      </c>
    </row>
    <row r="802" spans="29:31" x14ac:dyDescent="0.45">
      <c r="AC802" t="s">
        <v>19</v>
      </c>
      <c r="AD802" t="s">
        <v>1738</v>
      </c>
      <c r="AE802">
        <v>1.1308574819080347E-4</v>
      </c>
    </row>
    <row r="803" spans="29:31" x14ac:dyDescent="0.45">
      <c r="AC803" t="s">
        <v>19</v>
      </c>
      <c r="AD803" t="s">
        <v>1739</v>
      </c>
      <c r="AE803">
        <v>1.1376609103332177E-4</v>
      </c>
    </row>
    <row r="804" spans="29:31" x14ac:dyDescent="0.45">
      <c r="AC804" t="s">
        <v>19</v>
      </c>
      <c r="AD804" t="s">
        <v>1740</v>
      </c>
      <c r="AE804">
        <v>1.141643640226344E-4</v>
      </c>
    </row>
    <row r="805" spans="29:31" x14ac:dyDescent="0.45">
      <c r="AC805" t="s">
        <v>19</v>
      </c>
      <c r="AD805" t="s">
        <v>1741</v>
      </c>
      <c r="AE805">
        <v>1.1403755313136414E-4</v>
      </c>
    </row>
    <row r="806" spans="29:31" x14ac:dyDescent="0.45">
      <c r="AC806" t="s">
        <v>19</v>
      </c>
      <c r="AD806" t="s">
        <v>1742</v>
      </c>
      <c r="AE806">
        <v>1.1402855261183166E-4</v>
      </c>
    </row>
    <row r="807" spans="29:31" x14ac:dyDescent="0.45">
      <c r="AC807" t="s">
        <v>19</v>
      </c>
      <c r="AD807" t="s">
        <v>1743</v>
      </c>
      <c r="AE807">
        <v>1.1404800016296434E-4</v>
      </c>
    </row>
    <row r="808" spans="29:31" x14ac:dyDescent="0.45">
      <c r="AC808" t="s">
        <v>19</v>
      </c>
      <c r="AD808" t="s">
        <v>1744</v>
      </c>
      <c r="AE808">
        <v>1.1406166166582616E-4</v>
      </c>
    </row>
    <row r="809" spans="29:31" x14ac:dyDescent="0.45">
      <c r="AC809" t="s">
        <v>19</v>
      </c>
      <c r="AD809" t="s">
        <v>1745</v>
      </c>
      <c r="AE809">
        <v>1.1406166166582616E-4</v>
      </c>
    </row>
    <row r="810" spans="29:31" x14ac:dyDescent="0.45">
      <c r="AC810" t="s">
        <v>19</v>
      </c>
      <c r="AD810" t="s">
        <v>1746</v>
      </c>
      <c r="AE810">
        <v>1.1409557433763608E-4</v>
      </c>
    </row>
    <row r="811" spans="29:31" x14ac:dyDescent="0.45">
      <c r="AC811" t="s">
        <v>19</v>
      </c>
      <c r="AD811" t="s">
        <v>1747</v>
      </c>
      <c r="AE811">
        <v>1.1452583131600167E-4</v>
      </c>
    </row>
    <row r="812" spans="29:31" x14ac:dyDescent="0.45">
      <c r="AC812" t="s">
        <v>19</v>
      </c>
      <c r="AD812" t="s">
        <v>1748</v>
      </c>
      <c r="AE812">
        <v>1.1459719257800926E-4</v>
      </c>
    </row>
    <row r="813" spans="29:31" x14ac:dyDescent="0.45">
      <c r="AC813" t="s">
        <v>19</v>
      </c>
      <c r="AD813" t="s">
        <v>1749</v>
      </c>
      <c r="AE813">
        <v>1.1473075385892885E-4</v>
      </c>
    </row>
    <row r="814" spans="29:31" x14ac:dyDescent="0.45">
      <c r="AC814" t="s">
        <v>19</v>
      </c>
      <c r="AD814" t="s">
        <v>1750</v>
      </c>
      <c r="AE814">
        <v>1.1458385252227358E-4</v>
      </c>
    </row>
    <row r="815" spans="29:31" x14ac:dyDescent="0.45">
      <c r="AC815" t="s">
        <v>19</v>
      </c>
      <c r="AD815" t="s">
        <v>1751</v>
      </c>
      <c r="AE815">
        <v>1.1431303331848353E-4</v>
      </c>
    </row>
    <row r="816" spans="29:31" x14ac:dyDescent="0.45">
      <c r="AC816" t="s">
        <v>19</v>
      </c>
      <c r="AD816" t="s">
        <v>1752</v>
      </c>
      <c r="AE816">
        <v>1.1387747246253629E-4</v>
      </c>
    </row>
    <row r="817" spans="29:31" x14ac:dyDescent="0.45">
      <c r="AC817" t="s">
        <v>19</v>
      </c>
      <c r="AD817" t="s">
        <v>1753</v>
      </c>
      <c r="AE817">
        <v>1.1346393073473106E-4</v>
      </c>
    </row>
    <row r="818" spans="29:31" x14ac:dyDescent="0.45">
      <c r="AC818" t="s">
        <v>19</v>
      </c>
      <c r="AD818" t="s">
        <v>1754</v>
      </c>
      <c r="AE818">
        <v>1.1265999147220413E-4</v>
      </c>
    </row>
    <row r="819" spans="29:31" x14ac:dyDescent="0.45">
      <c r="AC819" t="s">
        <v>19</v>
      </c>
      <c r="AD819" t="s">
        <v>1755</v>
      </c>
      <c r="AE819">
        <v>1.1218424972548685E-4</v>
      </c>
    </row>
    <row r="820" spans="29:31" x14ac:dyDescent="0.45">
      <c r="AC820" t="s">
        <v>19</v>
      </c>
      <c r="AD820" t="s">
        <v>1756</v>
      </c>
      <c r="AE820">
        <v>1.1200375716414786E-4</v>
      </c>
    </row>
    <row r="821" spans="29:31" x14ac:dyDescent="0.45">
      <c r="AC821" t="s">
        <v>19</v>
      </c>
      <c r="AD821" t="s">
        <v>1757</v>
      </c>
      <c r="AE821">
        <v>1.1192885998375249E-4</v>
      </c>
    </row>
    <row r="822" spans="29:31" x14ac:dyDescent="0.45">
      <c r="AC822" t="s">
        <v>19</v>
      </c>
      <c r="AD822" t="s">
        <v>1758</v>
      </c>
      <c r="AE822">
        <v>1.1191246618031833E-4</v>
      </c>
    </row>
    <row r="823" spans="29:31" x14ac:dyDescent="0.45">
      <c r="AC823" t="s">
        <v>19</v>
      </c>
      <c r="AD823" t="s">
        <v>1759</v>
      </c>
      <c r="AE823">
        <v>1.1198029152393815E-4</v>
      </c>
    </row>
    <row r="824" spans="29:31" x14ac:dyDescent="0.45">
      <c r="AC824" t="s">
        <v>19</v>
      </c>
      <c r="AD824" t="s">
        <v>1760</v>
      </c>
      <c r="AE824">
        <v>1.1221494792603519E-4</v>
      </c>
    </row>
    <row r="825" spans="29:31" x14ac:dyDescent="0.45">
      <c r="AC825" t="s">
        <v>19</v>
      </c>
      <c r="AD825" t="s">
        <v>1761</v>
      </c>
      <c r="AE825">
        <v>1.1264600852221615E-4</v>
      </c>
    </row>
    <row r="826" spans="29:31" x14ac:dyDescent="0.45">
      <c r="AC826" t="s">
        <v>19</v>
      </c>
      <c r="AD826" t="s">
        <v>1762</v>
      </c>
      <c r="AE826">
        <v>1.1311403553790557E-4</v>
      </c>
    </row>
    <row r="827" spans="29:31" x14ac:dyDescent="0.45">
      <c r="AC827" t="s">
        <v>19</v>
      </c>
      <c r="AD827" t="s">
        <v>1763</v>
      </c>
      <c r="AE827">
        <v>1.1392568953146035E-4</v>
      </c>
    </row>
    <row r="828" spans="29:31" x14ac:dyDescent="0.45">
      <c r="AC828" t="s">
        <v>19</v>
      </c>
      <c r="AD828" t="s">
        <v>1764</v>
      </c>
      <c r="AE828">
        <v>1.1437619767877403E-4</v>
      </c>
    </row>
    <row r="829" spans="29:31" x14ac:dyDescent="0.45">
      <c r="AC829" t="s">
        <v>19</v>
      </c>
      <c r="AD829" t="s">
        <v>1765</v>
      </c>
      <c r="AE829">
        <v>1.1423765396739895E-4</v>
      </c>
    </row>
    <row r="830" spans="29:31" x14ac:dyDescent="0.45">
      <c r="AC830" t="s">
        <v>19</v>
      </c>
      <c r="AD830" t="s">
        <v>1766</v>
      </c>
      <c r="AE830">
        <v>1.1417818624905927E-4</v>
      </c>
    </row>
    <row r="831" spans="29:31" x14ac:dyDescent="0.45">
      <c r="AC831" t="s">
        <v>19</v>
      </c>
      <c r="AD831" t="s">
        <v>1767</v>
      </c>
      <c r="AE831">
        <v>1.1419072268697954E-4</v>
      </c>
    </row>
    <row r="832" spans="29:31" x14ac:dyDescent="0.45">
      <c r="AC832" t="s">
        <v>19</v>
      </c>
      <c r="AD832" t="s">
        <v>1768</v>
      </c>
      <c r="AE832">
        <v>1.1420438418984134E-4</v>
      </c>
    </row>
    <row r="833" spans="29:31" x14ac:dyDescent="0.45">
      <c r="AC833" t="s">
        <v>19</v>
      </c>
      <c r="AD833" t="s">
        <v>1769</v>
      </c>
      <c r="AE833">
        <v>1.1420438418984134E-4</v>
      </c>
    </row>
    <row r="834" spans="29:31" x14ac:dyDescent="0.45">
      <c r="AC834" t="s">
        <v>19</v>
      </c>
      <c r="AD834" t="s">
        <v>1770</v>
      </c>
      <c r="AE834">
        <v>1.1429583589723395E-4</v>
      </c>
    </row>
    <row r="835" spans="29:31" x14ac:dyDescent="0.45">
      <c r="AC835" t="s">
        <v>19</v>
      </c>
      <c r="AD835" t="s">
        <v>1771</v>
      </c>
      <c r="AE835">
        <v>1.1474521897960605E-4</v>
      </c>
    </row>
    <row r="836" spans="29:31" x14ac:dyDescent="0.45">
      <c r="AC836" t="s">
        <v>19</v>
      </c>
      <c r="AD836" t="s">
        <v>1772</v>
      </c>
      <c r="AE836">
        <v>1.1484567120653117E-4</v>
      </c>
    </row>
    <row r="837" spans="29:31" x14ac:dyDescent="0.45">
      <c r="AC837" t="s">
        <v>19</v>
      </c>
      <c r="AD837" t="s">
        <v>1773</v>
      </c>
      <c r="AE837">
        <v>1.1494017666162228E-4</v>
      </c>
    </row>
    <row r="838" spans="29:31" x14ac:dyDescent="0.45">
      <c r="AC838" t="s">
        <v>19</v>
      </c>
      <c r="AD838" t="s">
        <v>1774</v>
      </c>
      <c r="AE838">
        <v>1.1478572131750225E-4</v>
      </c>
    </row>
    <row r="839" spans="29:31" x14ac:dyDescent="0.45">
      <c r="AC839" t="s">
        <v>19</v>
      </c>
      <c r="AD839" t="s">
        <v>1775</v>
      </c>
      <c r="AE839">
        <v>1.1452856361657402E-4</v>
      </c>
    </row>
    <row r="840" spans="29:31" x14ac:dyDescent="0.45">
      <c r="AC840" t="s">
        <v>19</v>
      </c>
      <c r="AD840" t="s">
        <v>1776</v>
      </c>
      <c r="AE840">
        <v>1.1405185752847826E-4</v>
      </c>
    </row>
    <row r="841" spans="29:31" x14ac:dyDescent="0.45">
      <c r="AC841" t="s">
        <v>19</v>
      </c>
      <c r="AD841" t="s">
        <v>1777</v>
      </c>
      <c r="AE841">
        <v>1.1360938555931862E-4</v>
      </c>
    </row>
    <row r="842" spans="29:31" x14ac:dyDescent="0.45">
      <c r="AC842" t="s">
        <v>19</v>
      </c>
      <c r="AD842" t="s">
        <v>1778</v>
      </c>
      <c r="AE842">
        <v>1.1274630002557817E-4</v>
      </c>
    </row>
    <row r="843" spans="29:31" x14ac:dyDescent="0.45">
      <c r="AC843" t="s">
        <v>19</v>
      </c>
      <c r="AD843" t="s">
        <v>1779</v>
      </c>
      <c r="AE843">
        <v>1.1248512423557291E-4</v>
      </c>
    </row>
    <row r="844" spans="29:31" x14ac:dyDescent="0.45">
      <c r="AC844" t="s">
        <v>19</v>
      </c>
      <c r="AD844" t="s">
        <v>1780</v>
      </c>
      <c r="AE844">
        <v>1.1241762033907925E-4</v>
      </c>
    </row>
    <row r="845" spans="29:31" x14ac:dyDescent="0.45">
      <c r="AC845" t="s">
        <v>19</v>
      </c>
      <c r="AD845" t="s">
        <v>1781</v>
      </c>
      <c r="AE845">
        <v>1.1253607360506931E-4</v>
      </c>
    </row>
    <row r="846" spans="29:31" x14ac:dyDescent="0.45">
      <c r="AC846" t="s">
        <v>19</v>
      </c>
      <c r="AD846" t="s">
        <v>1782</v>
      </c>
      <c r="AE846">
        <v>1.1253607360506931E-4</v>
      </c>
    </row>
    <row r="847" spans="29:31" x14ac:dyDescent="0.45">
      <c r="AC847" t="s">
        <v>19</v>
      </c>
      <c r="AD847" t="s">
        <v>1783</v>
      </c>
      <c r="AE847">
        <v>1.1290927371854143E-4</v>
      </c>
    </row>
    <row r="848" spans="29:31" x14ac:dyDescent="0.45">
      <c r="AC848" t="s">
        <v>19</v>
      </c>
      <c r="AD848" t="s">
        <v>1784</v>
      </c>
      <c r="AE848">
        <v>1.1449224009131791E-4</v>
      </c>
    </row>
    <row r="849" spans="29:31" x14ac:dyDescent="0.45">
      <c r="AC849" t="s">
        <v>19</v>
      </c>
      <c r="AD849" t="s">
        <v>1785</v>
      </c>
      <c r="AE849">
        <v>1.156917200425851E-4</v>
      </c>
    </row>
    <row r="850" spans="29:31" x14ac:dyDescent="0.45">
      <c r="AC850" t="s">
        <v>19</v>
      </c>
      <c r="AD850" t="s">
        <v>1786</v>
      </c>
      <c r="AE850">
        <v>1.1591239349469416E-4</v>
      </c>
    </row>
    <row r="851" spans="29:31" x14ac:dyDescent="0.45">
      <c r="AC851" t="s">
        <v>19</v>
      </c>
      <c r="AD851" t="s">
        <v>1787</v>
      </c>
      <c r="AE851">
        <v>1.1614222818989878E-4</v>
      </c>
    </row>
    <row r="852" spans="29:31" x14ac:dyDescent="0.45">
      <c r="AC852" t="s">
        <v>19</v>
      </c>
      <c r="AD852" t="s">
        <v>1788</v>
      </c>
      <c r="AE852">
        <v>1.163161310851515E-4</v>
      </c>
    </row>
    <row r="853" spans="29:31" x14ac:dyDescent="0.45">
      <c r="AC853" t="s">
        <v>19</v>
      </c>
      <c r="AD853" t="s">
        <v>1789</v>
      </c>
      <c r="AE853">
        <v>1.1617308711401017E-4</v>
      </c>
    </row>
    <row r="854" spans="29:31" x14ac:dyDescent="0.45">
      <c r="AC854" t="s">
        <v>19</v>
      </c>
      <c r="AD854" t="s">
        <v>1790</v>
      </c>
      <c r="AE854">
        <v>1.1600529171415447E-4</v>
      </c>
    </row>
    <row r="855" spans="29:31" x14ac:dyDescent="0.45">
      <c r="AC855" t="s">
        <v>19</v>
      </c>
      <c r="AD855" t="s">
        <v>1791</v>
      </c>
      <c r="AE855">
        <v>1.1597202193659689E-4</v>
      </c>
    </row>
    <row r="856" spans="29:31" x14ac:dyDescent="0.45">
      <c r="AC856" t="s">
        <v>19</v>
      </c>
      <c r="AD856" t="s">
        <v>1792</v>
      </c>
      <c r="AE856">
        <v>1.1595096714983338E-4</v>
      </c>
    </row>
    <row r="857" spans="29:31" x14ac:dyDescent="0.45">
      <c r="AC857" t="s">
        <v>19</v>
      </c>
      <c r="AD857" t="s">
        <v>1793</v>
      </c>
      <c r="AE857">
        <v>1.1597202193659689E-4</v>
      </c>
    </row>
    <row r="858" spans="29:31" x14ac:dyDescent="0.45">
      <c r="AC858" t="s">
        <v>19</v>
      </c>
      <c r="AD858" t="s">
        <v>1794</v>
      </c>
      <c r="AE858">
        <v>1.1605238371813696E-4</v>
      </c>
    </row>
    <row r="859" spans="29:31" x14ac:dyDescent="0.45">
      <c r="AC859" t="s">
        <v>19</v>
      </c>
      <c r="AD859" t="s">
        <v>1795</v>
      </c>
      <c r="AE859">
        <v>1.1624782357084245E-4</v>
      </c>
    </row>
    <row r="860" spans="29:31" x14ac:dyDescent="0.45">
      <c r="AC860" t="s">
        <v>19</v>
      </c>
      <c r="AD860" t="s">
        <v>1796</v>
      </c>
      <c r="AE860">
        <v>1.1628736156736015E-4</v>
      </c>
    </row>
    <row r="861" spans="29:31" x14ac:dyDescent="0.45">
      <c r="AC861" t="s">
        <v>19</v>
      </c>
      <c r="AD861" t="s">
        <v>1797</v>
      </c>
      <c r="AE861">
        <v>1.1634972230983526E-4</v>
      </c>
    </row>
    <row r="862" spans="29:31" x14ac:dyDescent="0.45">
      <c r="AC862" t="s">
        <v>19</v>
      </c>
      <c r="AD862" t="s">
        <v>1798</v>
      </c>
      <c r="AE862">
        <v>1.1598166535038171E-4</v>
      </c>
    </row>
    <row r="863" spans="29:31" x14ac:dyDescent="0.45">
      <c r="AC863" t="s">
        <v>19</v>
      </c>
      <c r="AD863" t="s">
        <v>1799</v>
      </c>
      <c r="AE863">
        <v>1.154625282416328E-4</v>
      </c>
    </row>
    <row r="864" spans="29:31" x14ac:dyDescent="0.45">
      <c r="AC864" t="s">
        <v>19</v>
      </c>
      <c r="AD864" t="s">
        <v>1800</v>
      </c>
      <c r="AE864">
        <v>1.1484101022320182E-4</v>
      </c>
    </row>
    <row r="865" spans="29:31" x14ac:dyDescent="0.45">
      <c r="AC865" t="s">
        <v>19</v>
      </c>
      <c r="AD865" t="s">
        <v>1801</v>
      </c>
      <c r="AE865">
        <v>1.1422206378178016E-4</v>
      </c>
    </row>
    <row r="866" spans="29:31" x14ac:dyDescent="0.45">
      <c r="AC866" t="s">
        <v>19</v>
      </c>
      <c r="AD866" t="s">
        <v>1802</v>
      </c>
      <c r="AE866">
        <v>1.1291988147370473E-4</v>
      </c>
    </row>
    <row r="867" spans="29:31" x14ac:dyDescent="0.45">
      <c r="AC867" t="s">
        <v>19</v>
      </c>
      <c r="AD867" t="s">
        <v>735</v>
      </c>
      <c r="AE867">
        <v>2.0886124944902419E-2</v>
      </c>
    </row>
    <row r="868" spans="29:31" x14ac:dyDescent="0.45">
      <c r="AC868" t="s">
        <v>19</v>
      </c>
      <c r="AD868" t="s">
        <v>736</v>
      </c>
      <c r="AE868">
        <v>3.5533767775026348E-3</v>
      </c>
    </row>
    <row r="869" spans="29:31" x14ac:dyDescent="0.45">
      <c r="AC869" t="s">
        <v>19</v>
      </c>
      <c r="AD869" t="s">
        <v>737</v>
      </c>
      <c r="AE869">
        <v>3.5609515183070393E-3</v>
      </c>
    </row>
    <row r="870" spans="29:31" x14ac:dyDescent="0.45">
      <c r="AC870" t="s">
        <v>19</v>
      </c>
      <c r="AD870" t="s">
        <v>738</v>
      </c>
      <c r="AE870">
        <v>3.571774964491983E-3</v>
      </c>
    </row>
    <row r="871" spans="29:31" x14ac:dyDescent="0.45">
      <c r="AC871" t="s">
        <v>19</v>
      </c>
      <c r="AD871" t="s">
        <v>739</v>
      </c>
      <c r="AE871">
        <v>2.4996673258739058E-2</v>
      </c>
    </row>
    <row r="872" spans="29:31" x14ac:dyDescent="0.45">
      <c r="AC872" t="s">
        <v>19</v>
      </c>
      <c r="AD872" t="s">
        <v>740</v>
      </c>
      <c r="AE872">
        <v>3.5757184778357179E-3</v>
      </c>
    </row>
    <row r="873" spans="29:31" x14ac:dyDescent="0.45">
      <c r="AC873" t="s">
        <v>19</v>
      </c>
      <c r="AD873" t="s">
        <v>741</v>
      </c>
      <c r="AE873">
        <v>3.5767721815152713E-3</v>
      </c>
    </row>
    <row r="874" spans="29:31" x14ac:dyDescent="0.45">
      <c r="AC874" t="s">
        <v>19</v>
      </c>
      <c r="AD874" t="s">
        <v>742</v>
      </c>
      <c r="AE874">
        <v>2.1248640798795224E-2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CC83-DA81-4642-B6B4-DBDD55C6EF1A}">
  <dimension ref="A9:AM40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106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235</v>
      </c>
      <c r="L10" t="s">
        <v>30</v>
      </c>
      <c r="N10" t="s">
        <v>13</v>
      </c>
      <c r="O10" t="s">
        <v>134</v>
      </c>
      <c r="P10" t="s">
        <v>235</v>
      </c>
      <c r="Q10" t="s">
        <v>30</v>
      </c>
      <c r="S10" t="s">
        <v>13</v>
      </c>
      <c r="T10" t="s">
        <v>134</v>
      </c>
      <c r="U10" t="s">
        <v>235</v>
      </c>
      <c r="V10" t="s">
        <v>30</v>
      </c>
      <c r="X10" t="s">
        <v>348</v>
      </c>
      <c r="Y10" t="s">
        <v>235</v>
      </c>
      <c r="Z10" t="s">
        <v>134</v>
      </c>
      <c r="AA10" t="s">
        <v>13</v>
      </c>
      <c r="AC10" t="s">
        <v>13</v>
      </c>
      <c r="AD10" t="s">
        <v>134</v>
      </c>
      <c r="AE10" t="s">
        <v>235</v>
      </c>
      <c r="AG10" t="s">
        <v>13</v>
      </c>
      <c r="AH10" t="s">
        <v>134</v>
      </c>
      <c r="AI10" t="s">
        <v>354</v>
      </c>
      <c r="AK10" t="s">
        <v>134</v>
      </c>
      <c r="AL10" t="s">
        <v>355</v>
      </c>
      <c r="AM10" t="s">
        <v>356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226</v>
      </c>
      <c r="F11" t="s">
        <v>1805</v>
      </c>
      <c r="G11" t="s">
        <v>146</v>
      </c>
      <c r="I11" t="s">
        <v>236</v>
      </c>
      <c r="J11" t="s">
        <v>237</v>
      </c>
      <c r="K11">
        <v>7.8107990544888137E-2</v>
      </c>
      <c r="L11" t="s">
        <v>238</v>
      </c>
      <c r="N11" t="s">
        <v>346</v>
      </c>
      <c r="O11" t="s">
        <v>237</v>
      </c>
      <c r="P11">
        <v>0.26060889213636146</v>
      </c>
      <c r="Q11" t="s">
        <v>238</v>
      </c>
      <c r="S11" t="s">
        <v>347</v>
      </c>
      <c r="T11" t="s">
        <v>237</v>
      </c>
      <c r="U11">
        <v>0.26200197020295074</v>
      </c>
      <c r="V11" t="s">
        <v>238</v>
      </c>
      <c r="X11">
        <v>0.27762557077625571</v>
      </c>
      <c r="Y11">
        <v>0.15387812942843648</v>
      </c>
      <c r="Z11" t="s">
        <v>237</v>
      </c>
      <c r="AA11" t="s">
        <v>25</v>
      </c>
      <c r="AC11" t="s">
        <v>22</v>
      </c>
      <c r="AD11" t="s">
        <v>237</v>
      </c>
      <c r="AE11">
        <v>0.2208888783978549</v>
      </c>
      <c r="AG11" t="s">
        <v>97</v>
      </c>
      <c r="AH11" t="s">
        <v>237</v>
      </c>
      <c r="AI11">
        <v>0.47476110616327905</v>
      </c>
      <c r="AK11" t="s">
        <v>145</v>
      </c>
      <c r="AL11">
        <v>1.0411103488310727</v>
      </c>
      <c r="AM11" t="s">
        <v>357</v>
      </c>
    </row>
    <row r="12" spans="1:39" x14ac:dyDescent="0.45">
      <c r="C12" t="s">
        <v>150</v>
      </c>
      <c r="E12" t="s">
        <v>227</v>
      </c>
      <c r="G12" t="s">
        <v>146</v>
      </c>
      <c r="I12" t="s">
        <v>236</v>
      </c>
      <c r="J12" t="s">
        <v>239</v>
      </c>
      <c r="K12">
        <v>6.5003516888980858E-2</v>
      </c>
      <c r="L12" t="s">
        <v>238</v>
      </c>
      <c r="N12" t="s">
        <v>346</v>
      </c>
      <c r="O12" t="s">
        <v>239</v>
      </c>
      <c r="P12">
        <v>3.1206118544898638E-2</v>
      </c>
      <c r="Q12" t="s">
        <v>238</v>
      </c>
      <c r="S12" t="s">
        <v>347</v>
      </c>
      <c r="T12" t="s">
        <v>239</v>
      </c>
      <c r="U12">
        <v>3.2457151430750737E-2</v>
      </c>
      <c r="V12" t="s">
        <v>238</v>
      </c>
      <c r="X12">
        <v>3.4703196347031964E-2</v>
      </c>
      <c r="Y12">
        <v>4.4339474098567179E-2</v>
      </c>
      <c r="Z12" t="s">
        <v>239</v>
      </c>
      <c r="AA12" t="s">
        <v>25</v>
      </c>
      <c r="AC12" t="s">
        <v>22</v>
      </c>
      <c r="AD12" t="s">
        <v>239</v>
      </c>
      <c r="AE12">
        <v>3.9639527751667653E-2</v>
      </c>
      <c r="AG12" t="s">
        <v>97</v>
      </c>
      <c r="AH12" t="s">
        <v>239</v>
      </c>
      <c r="AI12">
        <v>0.23085979479529573</v>
      </c>
      <c r="AK12" t="s">
        <v>150</v>
      </c>
      <c r="AL12">
        <v>7.4790226397171353E-2</v>
      </c>
      <c r="AM12" t="s">
        <v>357</v>
      </c>
    </row>
    <row r="13" spans="1:39" x14ac:dyDescent="0.45">
      <c r="C13" t="s">
        <v>152</v>
      </c>
      <c r="E13" t="s">
        <v>228</v>
      </c>
      <c r="G13" t="s">
        <v>146</v>
      </c>
      <c r="I13" t="s">
        <v>236</v>
      </c>
      <c r="J13" t="s">
        <v>240</v>
      </c>
      <c r="K13">
        <v>0.70334950722266787</v>
      </c>
      <c r="L13" t="s">
        <v>238</v>
      </c>
      <c r="N13" t="s">
        <v>346</v>
      </c>
      <c r="O13" t="s">
        <v>240</v>
      </c>
      <c r="P13">
        <v>0.25288972406541288</v>
      </c>
      <c r="Q13" t="s">
        <v>238</v>
      </c>
      <c r="S13" t="s">
        <v>347</v>
      </c>
      <c r="T13" t="s">
        <v>240</v>
      </c>
      <c r="U13">
        <v>0.25668955675851091</v>
      </c>
      <c r="V13" t="s">
        <v>238</v>
      </c>
      <c r="X13">
        <v>0.27762557077625571</v>
      </c>
      <c r="Y13">
        <v>0.3837379940166904</v>
      </c>
      <c r="Z13" t="s">
        <v>240</v>
      </c>
      <c r="AA13" t="s">
        <v>25</v>
      </c>
      <c r="AC13" t="s">
        <v>22</v>
      </c>
      <c r="AD13" t="s">
        <v>240</v>
      </c>
      <c r="AE13">
        <v>0.31647813895647581</v>
      </c>
      <c r="AG13" t="s">
        <v>97</v>
      </c>
      <c r="AH13" t="s">
        <v>240</v>
      </c>
      <c r="AI13">
        <v>0.23992613433894494</v>
      </c>
      <c r="AK13" t="s">
        <v>152</v>
      </c>
      <c r="AL13">
        <v>8.4099424771755762E-2</v>
      </c>
      <c r="AM13" t="s">
        <v>357</v>
      </c>
    </row>
    <row r="14" spans="1:39" x14ac:dyDescent="0.45">
      <c r="E14" t="s">
        <v>229</v>
      </c>
      <c r="G14" t="s">
        <v>146</v>
      </c>
      <c r="I14" t="s">
        <v>236</v>
      </c>
      <c r="J14" t="s">
        <v>241</v>
      </c>
      <c r="K14">
        <v>4.8151490398211691E-2</v>
      </c>
      <c r="L14" t="s">
        <v>238</v>
      </c>
      <c r="N14" t="s">
        <v>346</v>
      </c>
      <c r="O14" t="s">
        <v>241</v>
      </c>
      <c r="P14">
        <v>3.1999506743084445E-2</v>
      </c>
      <c r="Q14" t="s">
        <v>238</v>
      </c>
      <c r="S14" t="s">
        <v>347</v>
      </c>
      <c r="T14" t="s">
        <v>241</v>
      </c>
      <c r="U14">
        <v>3.3289317678839671E-2</v>
      </c>
      <c r="V14" t="s">
        <v>238</v>
      </c>
      <c r="X14">
        <v>3.4703196347031964E-2</v>
      </c>
      <c r="Y14">
        <v>6.7516926468272731E-2</v>
      </c>
      <c r="Z14" t="s">
        <v>241</v>
      </c>
      <c r="AA14" t="s">
        <v>25</v>
      </c>
      <c r="AC14" t="s">
        <v>22</v>
      </c>
      <c r="AD14" t="s">
        <v>241</v>
      </c>
      <c r="AE14">
        <v>3.975894798040585E-2</v>
      </c>
      <c r="AG14" t="s">
        <v>97</v>
      </c>
      <c r="AH14" t="s">
        <v>241</v>
      </c>
      <c r="AI14">
        <v>0.23882743486888347</v>
      </c>
    </row>
    <row r="15" spans="1:39" x14ac:dyDescent="0.45">
      <c r="E15" t="s">
        <v>230</v>
      </c>
      <c r="G15" t="s">
        <v>146</v>
      </c>
      <c r="I15" t="s">
        <v>236</v>
      </c>
      <c r="J15" t="s">
        <v>242</v>
      </c>
      <c r="K15">
        <v>4.3356924892110869E-2</v>
      </c>
      <c r="L15" t="s">
        <v>238</v>
      </c>
      <c r="N15" t="s">
        <v>346</v>
      </c>
      <c r="O15" t="s">
        <v>242</v>
      </c>
      <c r="P15">
        <v>0.20205253084765179</v>
      </c>
      <c r="Q15" t="s">
        <v>238</v>
      </c>
      <c r="S15" t="s">
        <v>347</v>
      </c>
      <c r="T15" t="s">
        <v>242</v>
      </c>
      <c r="U15">
        <v>0.20184095582003639</v>
      </c>
      <c r="V15" t="s">
        <v>238</v>
      </c>
      <c r="X15">
        <v>0.20821917808219179</v>
      </c>
      <c r="Y15">
        <v>0.1834041883168005</v>
      </c>
      <c r="Z15" t="s">
        <v>242</v>
      </c>
      <c r="AA15" t="s">
        <v>25</v>
      </c>
      <c r="AC15" t="s">
        <v>22</v>
      </c>
      <c r="AD15" t="s">
        <v>242</v>
      </c>
      <c r="AE15">
        <v>0.20556736373921738</v>
      </c>
      <c r="AG15" t="s">
        <v>97</v>
      </c>
      <c r="AH15" t="s">
        <v>242</v>
      </c>
      <c r="AI15">
        <v>0.35035778828367747</v>
      </c>
    </row>
    <row r="16" spans="1:39" x14ac:dyDescent="0.45">
      <c r="I16" t="s">
        <v>236</v>
      </c>
      <c r="J16" t="s">
        <v>247</v>
      </c>
      <c r="K16">
        <v>1.0476133313176833E-4</v>
      </c>
      <c r="L16" t="s">
        <v>238</v>
      </c>
      <c r="N16" t="s">
        <v>346</v>
      </c>
      <c r="O16" t="s">
        <v>247</v>
      </c>
      <c r="P16">
        <v>3.0971590824189835E-2</v>
      </c>
      <c r="Q16" t="s">
        <v>238</v>
      </c>
      <c r="S16" t="s">
        <v>347</v>
      </c>
      <c r="T16" t="s">
        <v>247</v>
      </c>
      <c r="U16">
        <v>3.0583179309229491E-2</v>
      </c>
      <c r="V16" t="s">
        <v>238</v>
      </c>
      <c r="X16">
        <v>2.7397260273972601E-2</v>
      </c>
      <c r="Y16">
        <v>1.5185341719911493E-2</v>
      </c>
      <c r="Z16" t="s">
        <v>247</v>
      </c>
      <c r="AA16" t="s">
        <v>25</v>
      </c>
      <c r="AC16" t="s">
        <v>22</v>
      </c>
      <c r="AD16" t="s">
        <v>247</v>
      </c>
      <c r="AE16">
        <v>2.2919471767299051E-2</v>
      </c>
      <c r="AG16" t="s">
        <v>97</v>
      </c>
      <c r="AH16" t="s">
        <v>247</v>
      </c>
      <c r="AI16">
        <v>0.29355900960118486</v>
      </c>
    </row>
    <row r="17" spans="9:35" x14ac:dyDescent="0.45">
      <c r="I17" t="s">
        <v>236</v>
      </c>
      <c r="J17" t="s">
        <v>248</v>
      </c>
      <c r="K17">
        <v>1.2538470161843739E-3</v>
      </c>
      <c r="L17" t="s">
        <v>238</v>
      </c>
      <c r="N17" t="s">
        <v>346</v>
      </c>
      <c r="O17" t="s">
        <v>248</v>
      </c>
      <c r="P17">
        <v>3.8119593032673637E-3</v>
      </c>
      <c r="Q17" t="s">
        <v>238</v>
      </c>
      <c r="S17" t="s">
        <v>347</v>
      </c>
      <c r="T17" t="s">
        <v>248</v>
      </c>
      <c r="U17">
        <v>3.7651324667083864E-3</v>
      </c>
      <c r="V17" t="s">
        <v>238</v>
      </c>
      <c r="X17">
        <v>3.4246575342465752E-3</v>
      </c>
      <c r="Y17">
        <v>4.3756059965691279E-3</v>
      </c>
      <c r="Z17" t="s">
        <v>248</v>
      </c>
      <c r="AA17" t="s">
        <v>25</v>
      </c>
      <c r="AC17" t="s">
        <v>22</v>
      </c>
      <c r="AD17" t="s">
        <v>248</v>
      </c>
      <c r="AE17">
        <v>4.0647792252521209E-3</v>
      </c>
      <c r="AG17" t="s">
        <v>97</v>
      </c>
      <c r="AH17" t="s">
        <v>248</v>
      </c>
      <c r="AI17">
        <v>9.8207429969362936E-2</v>
      </c>
    </row>
    <row r="18" spans="9:35" x14ac:dyDescent="0.45">
      <c r="I18" t="s">
        <v>236</v>
      </c>
      <c r="J18" t="s">
        <v>249</v>
      </c>
      <c r="K18">
        <v>2.7269792310729568E-2</v>
      </c>
      <c r="L18" t="s">
        <v>238</v>
      </c>
      <c r="N18" t="s">
        <v>346</v>
      </c>
      <c r="O18" t="s">
        <v>249</v>
      </c>
      <c r="P18">
        <v>2.8562231805986021E-2</v>
      </c>
      <c r="Q18" t="s">
        <v>238</v>
      </c>
      <c r="S18" t="s">
        <v>347</v>
      </c>
      <c r="T18" t="s">
        <v>249</v>
      </c>
      <c r="U18">
        <v>2.9768827736807307E-2</v>
      </c>
      <c r="V18" t="s">
        <v>238</v>
      </c>
      <c r="X18">
        <v>2.7397260273972601E-2</v>
      </c>
      <c r="Y18">
        <v>3.7868880988489173E-2</v>
      </c>
      <c r="Z18" t="s">
        <v>249</v>
      </c>
      <c r="AA18" t="s">
        <v>25</v>
      </c>
      <c r="AC18" t="s">
        <v>22</v>
      </c>
      <c r="AD18" t="s">
        <v>249</v>
      </c>
      <c r="AE18">
        <v>3.2669085535851732E-2</v>
      </c>
      <c r="AG18" t="s">
        <v>97</v>
      </c>
      <c r="AH18" t="s">
        <v>249</v>
      </c>
      <c r="AI18">
        <v>0.10464558577295646</v>
      </c>
    </row>
    <row r="19" spans="9:35" x14ac:dyDescent="0.45">
      <c r="I19" t="s">
        <v>236</v>
      </c>
      <c r="J19" t="s">
        <v>250</v>
      </c>
      <c r="K19">
        <v>8.1893093857031315E-5</v>
      </c>
      <c r="L19" t="s">
        <v>238</v>
      </c>
      <c r="N19" t="s">
        <v>346</v>
      </c>
      <c r="O19" t="s">
        <v>250</v>
      </c>
      <c r="P19">
        <v>3.5743609788995074E-3</v>
      </c>
      <c r="Q19" t="s">
        <v>238</v>
      </c>
      <c r="S19" t="s">
        <v>347</v>
      </c>
      <c r="T19" t="s">
        <v>250</v>
      </c>
      <c r="U19">
        <v>3.6848351928343848E-3</v>
      </c>
      <c r="V19" t="s">
        <v>238</v>
      </c>
      <c r="X19">
        <v>3.4246575342465752E-3</v>
      </c>
      <c r="Y19">
        <v>6.662854585684809E-3</v>
      </c>
      <c r="Z19" t="s">
        <v>250</v>
      </c>
      <c r="AA19" t="s">
        <v>25</v>
      </c>
      <c r="AC19" t="s">
        <v>22</v>
      </c>
      <c r="AD19" t="s">
        <v>250</v>
      </c>
      <c r="AE19">
        <v>4.1914023878137424E-3</v>
      </c>
      <c r="AG19" t="s">
        <v>97</v>
      </c>
      <c r="AH19" t="s">
        <v>250</v>
      </c>
      <c r="AI19">
        <v>8.3920125831570491E-2</v>
      </c>
    </row>
    <row r="20" spans="9:35" x14ac:dyDescent="0.45">
      <c r="I20" t="s">
        <v>236</v>
      </c>
      <c r="J20" t="s">
        <v>251</v>
      </c>
      <c r="K20">
        <v>0</v>
      </c>
      <c r="L20" t="s">
        <v>238</v>
      </c>
      <c r="N20" t="s">
        <v>346</v>
      </c>
      <c r="O20" t="s">
        <v>251</v>
      </c>
      <c r="P20">
        <v>2.1859367861878292E-2</v>
      </c>
      <c r="Q20" t="s">
        <v>238</v>
      </c>
      <c r="S20" t="s">
        <v>347</v>
      </c>
      <c r="T20" t="s">
        <v>251</v>
      </c>
      <c r="U20">
        <v>2.2846534635290027E-2</v>
      </c>
      <c r="V20" t="s">
        <v>238</v>
      </c>
      <c r="X20">
        <v>2.0547945205479451E-2</v>
      </c>
      <c r="Y20">
        <v>1.8099097531263209E-2</v>
      </c>
      <c r="Z20" t="s">
        <v>251</v>
      </c>
      <c r="AA20" t="s">
        <v>25</v>
      </c>
      <c r="AC20" t="s">
        <v>22</v>
      </c>
      <c r="AD20" t="s">
        <v>251</v>
      </c>
      <c r="AE20">
        <v>2.1718542337258902E-2</v>
      </c>
      <c r="AG20" t="s">
        <v>97</v>
      </c>
      <c r="AH20" t="s">
        <v>251</v>
      </c>
      <c r="AI20">
        <v>0.18965932033405553</v>
      </c>
    </row>
    <row r="21" spans="9:35" x14ac:dyDescent="0.45">
      <c r="I21" t="s">
        <v>236</v>
      </c>
      <c r="J21" t="s">
        <v>328</v>
      </c>
      <c r="K21">
        <v>0</v>
      </c>
      <c r="L21" t="s">
        <v>238</v>
      </c>
      <c r="N21" t="s">
        <v>346</v>
      </c>
      <c r="O21" t="s">
        <v>328</v>
      </c>
      <c r="P21">
        <v>4.4111963877289356E-2</v>
      </c>
      <c r="Q21" t="s">
        <v>238</v>
      </c>
      <c r="S21" t="s">
        <v>347</v>
      </c>
      <c r="T21" t="s">
        <v>328</v>
      </c>
      <c r="U21">
        <v>4.1175686644493996E-2</v>
      </c>
      <c r="V21" t="s">
        <v>238</v>
      </c>
      <c r="X21">
        <v>2.8310502283105023E-2</v>
      </c>
      <c r="Y21">
        <v>1.5691519777241876E-2</v>
      </c>
      <c r="Z21" t="s">
        <v>328</v>
      </c>
      <c r="AA21" t="s">
        <v>25</v>
      </c>
      <c r="AC21" t="s">
        <v>22</v>
      </c>
      <c r="AD21" t="s">
        <v>328</v>
      </c>
      <c r="AE21">
        <v>2.4942998885035525E-2</v>
      </c>
      <c r="AG21" t="s">
        <v>97</v>
      </c>
      <c r="AH21" t="s">
        <v>328</v>
      </c>
      <c r="AI21">
        <v>0.26445797953675454</v>
      </c>
    </row>
    <row r="22" spans="9:35" x14ac:dyDescent="0.45">
      <c r="I22" t="s">
        <v>236</v>
      </c>
      <c r="J22" t="s">
        <v>329</v>
      </c>
      <c r="K22">
        <v>1.0272097371431923E-3</v>
      </c>
      <c r="L22" t="s">
        <v>238</v>
      </c>
      <c r="N22" t="s">
        <v>346</v>
      </c>
      <c r="O22" t="s">
        <v>329</v>
      </c>
      <c r="P22">
        <v>5.7849962600277742E-3</v>
      </c>
      <c r="Q22" t="s">
        <v>238</v>
      </c>
      <c r="S22" t="s">
        <v>347</v>
      </c>
      <c r="T22" t="s">
        <v>329</v>
      </c>
      <c r="U22">
        <v>5.2610554246647918E-3</v>
      </c>
      <c r="V22" t="s">
        <v>238</v>
      </c>
      <c r="X22">
        <v>3.5388127853881279E-3</v>
      </c>
      <c r="Y22">
        <v>4.521459529788099E-3</v>
      </c>
      <c r="Z22" t="s">
        <v>329</v>
      </c>
      <c r="AA22" t="s">
        <v>25</v>
      </c>
      <c r="AC22" t="s">
        <v>22</v>
      </c>
      <c r="AD22" t="s">
        <v>329</v>
      </c>
      <c r="AE22">
        <v>4.3968656823916716E-3</v>
      </c>
      <c r="AG22" t="s">
        <v>97</v>
      </c>
      <c r="AH22" t="s">
        <v>329</v>
      </c>
      <c r="AI22">
        <v>6.750385296878858E-2</v>
      </c>
    </row>
    <row r="23" spans="9:35" x14ac:dyDescent="0.45">
      <c r="I23" t="s">
        <v>236</v>
      </c>
      <c r="J23" t="s">
        <v>330</v>
      </c>
      <c r="K23">
        <v>3.2293066561926646E-2</v>
      </c>
      <c r="L23" t="s">
        <v>238</v>
      </c>
      <c r="N23" t="s">
        <v>346</v>
      </c>
      <c r="O23" t="s">
        <v>330</v>
      </c>
      <c r="P23">
        <v>4.3835527767878864E-2</v>
      </c>
      <c r="Q23" t="s">
        <v>238</v>
      </c>
      <c r="S23" t="s">
        <v>347</v>
      </c>
      <c r="T23" t="s">
        <v>330</v>
      </c>
      <c r="U23">
        <v>4.1038864927339276E-2</v>
      </c>
      <c r="V23" t="s">
        <v>238</v>
      </c>
      <c r="X23">
        <v>2.8310502283105023E-2</v>
      </c>
      <c r="Y23">
        <v>3.9131177021438819E-2</v>
      </c>
      <c r="Z23" t="s">
        <v>330</v>
      </c>
      <c r="AA23" t="s">
        <v>25</v>
      </c>
      <c r="AC23" t="s">
        <v>22</v>
      </c>
      <c r="AD23" t="s">
        <v>330</v>
      </c>
      <c r="AE23">
        <v>3.5142682799929367E-2</v>
      </c>
      <c r="AG23" t="s">
        <v>97</v>
      </c>
      <c r="AH23" t="s">
        <v>330</v>
      </c>
      <c r="AI23">
        <v>8.454102420387688E-2</v>
      </c>
    </row>
    <row r="24" spans="9:35" x14ac:dyDescent="0.45">
      <c r="I24" t="s">
        <v>236</v>
      </c>
      <c r="J24" t="s">
        <v>331</v>
      </c>
      <c r="K24">
        <v>0</v>
      </c>
      <c r="L24" t="s">
        <v>238</v>
      </c>
      <c r="N24" t="s">
        <v>346</v>
      </c>
      <c r="O24" t="s">
        <v>331</v>
      </c>
      <c r="P24">
        <v>5.5579987889586074E-3</v>
      </c>
      <c r="Q24" t="s">
        <v>238</v>
      </c>
      <c r="S24" t="s">
        <v>347</v>
      </c>
      <c r="T24" t="s">
        <v>331</v>
      </c>
      <c r="U24">
        <v>5.0881884999339905E-3</v>
      </c>
      <c r="V24" t="s">
        <v>238</v>
      </c>
      <c r="X24">
        <v>3.5388127853881279E-3</v>
      </c>
      <c r="Y24">
        <v>6.8849497385409693E-3</v>
      </c>
      <c r="Z24" t="s">
        <v>331</v>
      </c>
      <c r="AA24" t="s">
        <v>25</v>
      </c>
      <c r="AC24" t="s">
        <v>22</v>
      </c>
      <c r="AD24" t="s">
        <v>331</v>
      </c>
      <c r="AE24">
        <v>4.4859837159920953E-3</v>
      </c>
      <c r="AG24" t="s">
        <v>97</v>
      </c>
      <c r="AH24" t="s">
        <v>331</v>
      </c>
      <c r="AI24">
        <v>7.2204719550229779E-2</v>
      </c>
    </row>
    <row r="25" spans="9:35" x14ac:dyDescent="0.45">
      <c r="I25" t="s">
        <v>236</v>
      </c>
      <c r="J25" t="s">
        <v>332</v>
      </c>
      <c r="K25">
        <v>0</v>
      </c>
      <c r="L25" t="s">
        <v>238</v>
      </c>
      <c r="N25" t="s">
        <v>346</v>
      </c>
      <c r="O25" t="s">
        <v>332</v>
      </c>
      <c r="P25">
        <v>3.3173230194001944E-2</v>
      </c>
      <c r="Q25" t="s">
        <v>238</v>
      </c>
      <c r="S25" t="s">
        <v>347</v>
      </c>
      <c r="T25" t="s">
        <v>332</v>
      </c>
      <c r="U25">
        <v>3.0508743271377835E-2</v>
      </c>
      <c r="V25" t="s">
        <v>238</v>
      </c>
      <c r="X25">
        <v>2.1232876712328767E-2</v>
      </c>
      <c r="Y25">
        <v>1.8702400782305319E-2</v>
      </c>
      <c r="Z25" t="s">
        <v>332</v>
      </c>
      <c r="AA25" t="s">
        <v>25</v>
      </c>
      <c r="AC25" t="s">
        <v>22</v>
      </c>
      <c r="AD25" t="s">
        <v>332</v>
      </c>
      <c r="AE25">
        <v>2.313533083755422E-2</v>
      </c>
      <c r="AG25" t="s">
        <v>97</v>
      </c>
      <c r="AH25" t="s">
        <v>332</v>
      </c>
      <c r="AI25">
        <v>0.173387686403907</v>
      </c>
    </row>
    <row r="26" spans="9:35" x14ac:dyDescent="0.45">
      <c r="AC26" t="s">
        <v>19</v>
      </c>
      <c r="AD26" t="s">
        <v>237</v>
      </c>
      <c r="AE26">
        <v>0.27462231013662952</v>
      </c>
    </row>
    <row r="27" spans="9:35" x14ac:dyDescent="0.45">
      <c r="AC27" t="s">
        <v>19</v>
      </c>
      <c r="AD27" t="s">
        <v>239</v>
      </c>
      <c r="AE27">
        <v>3.5002271949934216E-2</v>
      </c>
    </row>
    <row r="28" spans="9:35" x14ac:dyDescent="0.45">
      <c r="AC28" t="s">
        <v>19</v>
      </c>
      <c r="AD28" t="s">
        <v>240</v>
      </c>
      <c r="AE28">
        <v>0.27998239564130795</v>
      </c>
    </row>
    <row r="29" spans="9:35" x14ac:dyDescent="0.45">
      <c r="AC29" t="s">
        <v>19</v>
      </c>
      <c r="AD29" t="s">
        <v>241</v>
      </c>
      <c r="AE29">
        <v>3.5008968336466391E-2</v>
      </c>
    </row>
    <row r="30" spans="9:35" x14ac:dyDescent="0.45">
      <c r="AC30" t="s">
        <v>19</v>
      </c>
      <c r="AD30" t="s">
        <v>242</v>
      </c>
      <c r="AE30">
        <v>0.20820413028637427</v>
      </c>
    </row>
    <row r="31" spans="9:35" x14ac:dyDescent="0.45">
      <c r="AC31" t="s">
        <v>19</v>
      </c>
      <c r="AD31" t="s">
        <v>247</v>
      </c>
      <c r="AE31">
        <v>2.7089190778074958E-2</v>
      </c>
    </row>
    <row r="32" spans="9:35" x14ac:dyDescent="0.45">
      <c r="AC32" t="s">
        <v>19</v>
      </c>
      <c r="AD32" t="s">
        <v>248</v>
      </c>
      <c r="AE32">
        <v>3.4534291370958998E-3</v>
      </c>
    </row>
    <row r="33" spans="29:31" x14ac:dyDescent="0.45">
      <c r="AC33" t="s">
        <v>19</v>
      </c>
      <c r="AD33" t="s">
        <v>249</v>
      </c>
      <c r="AE33">
        <v>2.763589197789211E-2</v>
      </c>
    </row>
    <row r="34" spans="29:31" x14ac:dyDescent="0.45">
      <c r="AC34" t="s">
        <v>19</v>
      </c>
      <c r="AD34" t="s">
        <v>250</v>
      </c>
      <c r="AE34">
        <v>3.4605294219420919E-3</v>
      </c>
    </row>
    <row r="35" spans="29:31" x14ac:dyDescent="0.45">
      <c r="AC35" t="s">
        <v>19</v>
      </c>
      <c r="AD35" t="s">
        <v>251</v>
      </c>
      <c r="AE35">
        <v>2.0570849412193257E-2</v>
      </c>
    </row>
    <row r="36" spans="29:31" x14ac:dyDescent="0.45">
      <c r="AC36" t="s">
        <v>19</v>
      </c>
      <c r="AD36" t="s">
        <v>328</v>
      </c>
      <c r="AE36">
        <v>2.8000453240712094E-2</v>
      </c>
    </row>
    <row r="37" spans="29:31" x14ac:dyDescent="0.45">
      <c r="AC37" t="s">
        <v>19</v>
      </c>
      <c r="AD37" t="s">
        <v>329</v>
      </c>
      <c r="AE37">
        <v>3.571774964491983E-3</v>
      </c>
    </row>
    <row r="38" spans="29:31" x14ac:dyDescent="0.45">
      <c r="AC38" t="s">
        <v>19</v>
      </c>
      <c r="AD38" t="s">
        <v>330</v>
      </c>
      <c r="AE38">
        <v>2.8572391736574776E-2</v>
      </c>
    </row>
    <row r="39" spans="29:31" x14ac:dyDescent="0.45">
      <c r="AC39" t="s">
        <v>19</v>
      </c>
      <c r="AD39" t="s">
        <v>331</v>
      </c>
      <c r="AE39">
        <v>3.5767721815152713E-3</v>
      </c>
    </row>
    <row r="40" spans="29:31" x14ac:dyDescent="0.45">
      <c r="AC40" t="s">
        <v>19</v>
      </c>
      <c r="AD40" t="s">
        <v>332</v>
      </c>
      <c r="AE40">
        <v>2.1248640798795224E-2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DA81-E6F9-4CF2-8585-27CDBD4E9DEB}">
  <dimension ref="A9:AM82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107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235</v>
      </c>
      <c r="L10" t="s">
        <v>30</v>
      </c>
      <c r="N10" t="s">
        <v>13</v>
      </c>
      <c r="O10" t="s">
        <v>134</v>
      </c>
      <c r="P10" t="s">
        <v>235</v>
      </c>
      <c r="Q10" t="s">
        <v>30</v>
      </c>
      <c r="S10" t="s">
        <v>13</v>
      </c>
      <c r="T10" t="s">
        <v>134</v>
      </c>
      <c r="U10" t="s">
        <v>235</v>
      </c>
      <c r="V10" t="s">
        <v>30</v>
      </c>
      <c r="X10" t="s">
        <v>348</v>
      </c>
      <c r="Y10" t="s">
        <v>235</v>
      </c>
      <c r="Z10" t="s">
        <v>134</v>
      </c>
      <c r="AA10" t="s">
        <v>13</v>
      </c>
      <c r="AC10" t="s">
        <v>13</v>
      </c>
      <c r="AD10" t="s">
        <v>134</v>
      </c>
      <c r="AE10" t="s">
        <v>235</v>
      </c>
      <c r="AG10" t="s">
        <v>13</v>
      </c>
      <c r="AH10" t="s">
        <v>134</v>
      </c>
      <c r="AI10" t="s">
        <v>354</v>
      </c>
      <c r="AK10" t="s">
        <v>134</v>
      </c>
      <c r="AL10" t="s">
        <v>355</v>
      </c>
      <c r="AM10" t="s">
        <v>356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226</v>
      </c>
      <c r="F11" t="s">
        <v>148</v>
      </c>
      <c r="G11" t="s">
        <v>146</v>
      </c>
      <c r="I11" t="s">
        <v>236</v>
      </c>
      <c r="J11" t="s">
        <v>237</v>
      </c>
      <c r="K11">
        <v>0</v>
      </c>
      <c r="L11" t="s">
        <v>238</v>
      </c>
      <c r="N11" t="s">
        <v>346</v>
      </c>
      <c r="O11" t="s">
        <v>237</v>
      </c>
      <c r="P11">
        <v>4.4155047742032917E-2</v>
      </c>
      <c r="Q11" t="s">
        <v>238</v>
      </c>
      <c r="S11" t="s">
        <v>347</v>
      </c>
      <c r="T11" t="s">
        <v>237</v>
      </c>
      <c r="U11">
        <v>4.2330575516464429E-2</v>
      </c>
      <c r="V11" t="s">
        <v>238</v>
      </c>
      <c r="X11">
        <v>4.041095890410959E-2</v>
      </c>
      <c r="Y11">
        <v>8.6444737256461904E-3</v>
      </c>
      <c r="Z11" t="s">
        <v>237</v>
      </c>
      <c r="AA11" t="s">
        <v>25</v>
      </c>
      <c r="AC11" t="s">
        <v>22</v>
      </c>
      <c r="AD11" t="s">
        <v>237</v>
      </c>
      <c r="AE11">
        <v>3.6138622036271613E-2</v>
      </c>
      <c r="AG11" t="s">
        <v>97</v>
      </c>
      <c r="AH11" t="s">
        <v>237</v>
      </c>
      <c r="AI11">
        <v>0.20993758754647396</v>
      </c>
      <c r="AK11" t="s">
        <v>155</v>
      </c>
      <c r="AL11">
        <v>8.4099424771755762E-2</v>
      </c>
      <c r="AM11" t="s">
        <v>357</v>
      </c>
    </row>
    <row r="12" spans="1:39" x14ac:dyDescent="0.45">
      <c r="C12" t="s">
        <v>150</v>
      </c>
      <c r="E12" t="s">
        <v>227</v>
      </c>
      <c r="G12" t="s">
        <v>146</v>
      </c>
      <c r="I12" t="s">
        <v>236</v>
      </c>
      <c r="J12" t="s">
        <v>239</v>
      </c>
      <c r="K12">
        <v>0</v>
      </c>
      <c r="L12" t="s">
        <v>238</v>
      </c>
      <c r="N12" t="s">
        <v>346</v>
      </c>
      <c r="O12" t="s">
        <v>239</v>
      </c>
      <c r="P12">
        <v>7.4771968628568157E-3</v>
      </c>
      <c r="Q12" t="s">
        <v>238</v>
      </c>
      <c r="S12" t="s">
        <v>347</v>
      </c>
      <c r="T12" t="s">
        <v>239</v>
      </c>
      <c r="U12">
        <v>7.0255051417868024E-3</v>
      </c>
      <c r="V12" t="s">
        <v>238</v>
      </c>
      <c r="X12">
        <v>6.735159817351598E-3</v>
      </c>
      <c r="Y12">
        <v>9.9743927603609898E-3</v>
      </c>
      <c r="Z12" t="s">
        <v>239</v>
      </c>
      <c r="AA12" t="s">
        <v>25</v>
      </c>
      <c r="AC12" t="s">
        <v>22</v>
      </c>
      <c r="AD12" t="s">
        <v>239</v>
      </c>
      <c r="AE12">
        <v>8.5508495229955229E-3</v>
      </c>
      <c r="AG12" t="s">
        <v>97</v>
      </c>
      <c r="AH12" t="s">
        <v>239</v>
      </c>
      <c r="AI12">
        <v>8.4513738967735286E-2</v>
      </c>
      <c r="AK12" t="s">
        <v>145</v>
      </c>
      <c r="AL12">
        <v>0.18244762256583458</v>
      </c>
      <c r="AM12" t="s">
        <v>357</v>
      </c>
    </row>
    <row r="13" spans="1:39" x14ac:dyDescent="0.45">
      <c r="C13" t="s">
        <v>152</v>
      </c>
      <c r="E13" t="s">
        <v>228</v>
      </c>
      <c r="G13" t="s">
        <v>146</v>
      </c>
      <c r="I13" t="s">
        <v>236</v>
      </c>
      <c r="J13" t="s">
        <v>240</v>
      </c>
      <c r="K13">
        <v>2.1283100409942801E-4</v>
      </c>
      <c r="L13" t="s">
        <v>238</v>
      </c>
      <c r="N13" t="s">
        <v>346</v>
      </c>
      <c r="O13" t="s">
        <v>240</v>
      </c>
      <c r="P13">
        <v>7.486052410617448E-3</v>
      </c>
      <c r="Q13" t="s">
        <v>238</v>
      </c>
      <c r="S13" t="s">
        <v>347</v>
      </c>
      <c r="T13" t="s">
        <v>240</v>
      </c>
      <c r="U13">
        <v>7.0289935279836818E-3</v>
      </c>
      <c r="V13" t="s">
        <v>238</v>
      </c>
      <c r="X13">
        <v>6.735159817351598E-3</v>
      </c>
      <c r="Y13">
        <v>1.124563889648543E-2</v>
      </c>
      <c r="Z13" t="s">
        <v>240</v>
      </c>
      <c r="AA13" t="s">
        <v>25</v>
      </c>
      <c r="AC13" t="s">
        <v>22</v>
      </c>
      <c r="AD13" t="s">
        <v>240</v>
      </c>
      <c r="AE13">
        <v>8.9794169198168568E-3</v>
      </c>
      <c r="AG13" t="s">
        <v>97</v>
      </c>
      <c r="AH13" t="s">
        <v>240</v>
      </c>
      <c r="AI13">
        <v>8.4639654187265601E-2</v>
      </c>
      <c r="AK13" t="s">
        <v>150</v>
      </c>
      <c r="AL13">
        <v>0.85866272626523821</v>
      </c>
      <c r="AM13" t="s">
        <v>357</v>
      </c>
    </row>
    <row r="14" spans="1:39" x14ac:dyDescent="0.45">
      <c r="C14" t="s">
        <v>155</v>
      </c>
      <c r="E14" t="s">
        <v>229</v>
      </c>
      <c r="G14" t="s">
        <v>146</v>
      </c>
      <c r="I14" t="s">
        <v>236</v>
      </c>
      <c r="J14" t="s">
        <v>241</v>
      </c>
      <c r="K14">
        <v>2.5148696506666463E-3</v>
      </c>
      <c r="L14" t="s">
        <v>238</v>
      </c>
      <c r="N14" t="s">
        <v>346</v>
      </c>
      <c r="O14" t="s">
        <v>241</v>
      </c>
      <c r="P14">
        <v>7.4313732460396372E-3</v>
      </c>
      <c r="Q14" t="s">
        <v>238</v>
      </c>
      <c r="S14" t="s">
        <v>347</v>
      </c>
      <c r="T14" t="s">
        <v>241</v>
      </c>
      <c r="U14">
        <v>7.0672308248558137E-3</v>
      </c>
      <c r="V14" t="s">
        <v>238</v>
      </c>
      <c r="X14">
        <v>6.735159817351598E-3</v>
      </c>
      <c r="Y14">
        <v>8.6053584599192871E-3</v>
      </c>
      <c r="Z14" t="s">
        <v>241</v>
      </c>
      <c r="AA14" t="s">
        <v>25</v>
      </c>
      <c r="AC14" t="s">
        <v>22</v>
      </c>
      <c r="AD14" t="s">
        <v>241</v>
      </c>
      <c r="AE14">
        <v>9.323225878081709E-3</v>
      </c>
      <c r="AG14" t="s">
        <v>97</v>
      </c>
      <c r="AH14" t="s">
        <v>241</v>
      </c>
      <c r="AI14">
        <v>8.0333357720038912E-2</v>
      </c>
      <c r="AK14" t="s">
        <v>152</v>
      </c>
      <c r="AL14">
        <v>7.4790226397171353E-2</v>
      </c>
      <c r="AM14" t="s">
        <v>357</v>
      </c>
    </row>
    <row r="15" spans="1:39" x14ac:dyDescent="0.45">
      <c r="E15" t="s">
        <v>230</v>
      </c>
      <c r="G15" t="s">
        <v>146</v>
      </c>
      <c r="I15" t="s">
        <v>236</v>
      </c>
      <c r="J15" t="s">
        <v>242</v>
      </c>
      <c r="K15">
        <v>5.4922726320188048E-2</v>
      </c>
      <c r="L15" t="s">
        <v>238</v>
      </c>
      <c r="N15" t="s">
        <v>346</v>
      </c>
      <c r="O15" t="s">
        <v>242</v>
      </c>
      <c r="P15">
        <v>4.3114245149168305E-2</v>
      </c>
      <c r="Q15" t="s">
        <v>238</v>
      </c>
      <c r="S15" t="s">
        <v>347</v>
      </c>
      <c r="T15" t="s">
        <v>242</v>
      </c>
      <c r="U15">
        <v>4.2361321947580986E-2</v>
      </c>
      <c r="V15" t="s">
        <v>238</v>
      </c>
      <c r="X15">
        <v>4.041095890410959E-2</v>
      </c>
      <c r="Y15">
        <v>5.120188283651974E-2</v>
      </c>
      <c r="Z15" t="s">
        <v>242</v>
      </c>
      <c r="AA15" t="s">
        <v>25</v>
      </c>
      <c r="AC15" t="s">
        <v>22</v>
      </c>
      <c r="AD15" t="s">
        <v>242</v>
      </c>
      <c r="AE15">
        <v>5.6354898339289444E-2</v>
      </c>
      <c r="AG15" t="s">
        <v>97</v>
      </c>
      <c r="AH15" t="s">
        <v>242</v>
      </c>
      <c r="AI15">
        <v>8.5156903720867705E-2</v>
      </c>
    </row>
    <row r="16" spans="1:39" x14ac:dyDescent="0.45">
      <c r="E16" t="s">
        <v>231</v>
      </c>
      <c r="G16" t="s">
        <v>146</v>
      </c>
      <c r="I16" t="s">
        <v>236</v>
      </c>
      <c r="J16" t="s">
        <v>243</v>
      </c>
      <c r="K16">
        <v>7.6359461191081619E-3</v>
      </c>
      <c r="L16" t="s">
        <v>238</v>
      </c>
      <c r="N16" t="s">
        <v>346</v>
      </c>
      <c r="O16" t="s">
        <v>243</v>
      </c>
      <c r="P16">
        <v>7.1388004470522284E-3</v>
      </c>
      <c r="Q16" t="s">
        <v>238</v>
      </c>
      <c r="S16" t="s">
        <v>347</v>
      </c>
      <c r="T16" t="s">
        <v>243</v>
      </c>
      <c r="U16">
        <v>7.08732872355986E-3</v>
      </c>
      <c r="V16" t="s">
        <v>238</v>
      </c>
      <c r="X16">
        <v>6.735159817351598E-3</v>
      </c>
      <c r="Y16">
        <v>1.016996908899552E-2</v>
      </c>
      <c r="Z16" t="s">
        <v>243</v>
      </c>
      <c r="AA16" t="s">
        <v>25</v>
      </c>
      <c r="AC16" t="s">
        <v>22</v>
      </c>
      <c r="AD16" t="s">
        <v>243</v>
      </c>
      <c r="AE16">
        <v>9.4335915632671047E-3</v>
      </c>
      <c r="AG16" t="s">
        <v>97</v>
      </c>
      <c r="AH16" t="s">
        <v>243</v>
      </c>
      <c r="AI16">
        <v>8.31155395733576E-2</v>
      </c>
    </row>
    <row r="17" spans="5:35" x14ac:dyDescent="0.45">
      <c r="E17" t="s">
        <v>232</v>
      </c>
      <c r="G17" t="s">
        <v>146</v>
      </c>
      <c r="I17" t="s">
        <v>236</v>
      </c>
      <c r="J17" t="s">
        <v>244</v>
      </c>
      <c r="K17">
        <v>4.884449944847249E-3</v>
      </c>
      <c r="L17" t="s">
        <v>238</v>
      </c>
      <c r="N17" t="s">
        <v>346</v>
      </c>
      <c r="O17" t="s">
        <v>244</v>
      </c>
      <c r="P17">
        <v>7.1465471045658894E-3</v>
      </c>
      <c r="Q17" t="s">
        <v>238</v>
      </c>
      <c r="S17" t="s">
        <v>347</v>
      </c>
      <c r="T17" t="s">
        <v>244</v>
      </c>
      <c r="U17">
        <v>7.1736352625391417E-3</v>
      </c>
      <c r="V17" t="s">
        <v>238</v>
      </c>
      <c r="X17">
        <v>6.735159817351598E-3</v>
      </c>
      <c r="Y17">
        <v>1.3103614018513452E-2</v>
      </c>
      <c r="Z17" t="s">
        <v>244</v>
      </c>
      <c r="AA17" t="s">
        <v>25</v>
      </c>
      <c r="AC17" t="s">
        <v>22</v>
      </c>
      <c r="AD17" t="s">
        <v>244</v>
      </c>
      <c r="AE17">
        <v>9.6263596139477565E-3</v>
      </c>
      <c r="AG17" t="s">
        <v>97</v>
      </c>
      <c r="AH17" t="s">
        <v>244</v>
      </c>
      <c r="AI17">
        <v>7.9506794508142686E-2</v>
      </c>
    </row>
    <row r="18" spans="5:35" x14ac:dyDescent="0.45">
      <c r="E18" t="s">
        <v>233</v>
      </c>
      <c r="G18" t="s">
        <v>146</v>
      </c>
      <c r="I18" t="s">
        <v>236</v>
      </c>
      <c r="J18" t="s">
        <v>245</v>
      </c>
      <c r="K18">
        <v>1.8062387930995159E-3</v>
      </c>
      <c r="L18" t="s">
        <v>238</v>
      </c>
      <c r="N18" t="s">
        <v>346</v>
      </c>
      <c r="O18" t="s">
        <v>245</v>
      </c>
      <c r="P18">
        <v>7.2770367486697917E-3</v>
      </c>
      <c r="Q18" t="s">
        <v>238</v>
      </c>
      <c r="S18" t="s">
        <v>347</v>
      </c>
      <c r="T18" t="s">
        <v>245</v>
      </c>
      <c r="U18">
        <v>7.2869486355689019E-3</v>
      </c>
      <c r="V18" t="s">
        <v>238</v>
      </c>
      <c r="X18">
        <v>6.735159817351598E-3</v>
      </c>
      <c r="Y18">
        <v>1.3103614018513452E-2</v>
      </c>
      <c r="Z18" t="s">
        <v>245</v>
      </c>
      <c r="AA18" t="s">
        <v>25</v>
      </c>
      <c r="AC18" t="s">
        <v>22</v>
      </c>
      <c r="AD18" t="s">
        <v>245</v>
      </c>
      <c r="AE18">
        <v>9.6700816802201377E-3</v>
      </c>
      <c r="AG18" t="s">
        <v>97</v>
      </c>
      <c r="AH18" t="s">
        <v>245</v>
      </c>
      <c r="AI18">
        <v>8.0562479560222666E-2</v>
      </c>
    </row>
    <row r="19" spans="5:35" x14ac:dyDescent="0.45">
      <c r="E19" t="s">
        <v>234</v>
      </c>
      <c r="G19" t="s">
        <v>146</v>
      </c>
      <c r="I19" t="s">
        <v>236</v>
      </c>
      <c r="J19" t="s">
        <v>246</v>
      </c>
      <c r="K19">
        <v>1.260548737735539E-4</v>
      </c>
      <c r="L19" t="s">
        <v>238</v>
      </c>
      <c r="N19" t="s">
        <v>346</v>
      </c>
      <c r="O19" t="s">
        <v>246</v>
      </c>
      <c r="P19">
        <v>4.4361212419593996E-2</v>
      </c>
      <c r="Q19" t="s">
        <v>238</v>
      </c>
      <c r="S19" t="s">
        <v>347</v>
      </c>
      <c r="T19" t="s">
        <v>246</v>
      </c>
      <c r="U19">
        <v>4.3299572710980228E-2</v>
      </c>
      <c r="V19" t="s">
        <v>238</v>
      </c>
      <c r="X19">
        <v>4.041095890410959E-2</v>
      </c>
      <c r="Y19">
        <v>3.5594891811484314E-2</v>
      </c>
      <c r="Z19" t="s">
        <v>246</v>
      </c>
      <c r="AA19" t="s">
        <v>25</v>
      </c>
      <c r="AC19" t="s">
        <v>22</v>
      </c>
      <c r="AD19" t="s">
        <v>246</v>
      </c>
      <c r="AE19">
        <v>5.0177962677305961E-2</v>
      </c>
      <c r="AG19" t="s">
        <v>97</v>
      </c>
      <c r="AH19" t="s">
        <v>246</v>
      </c>
      <c r="AI19">
        <v>0.18372287613182636</v>
      </c>
    </row>
    <row r="20" spans="5:35" x14ac:dyDescent="0.45">
      <c r="I20" t="s">
        <v>236</v>
      </c>
      <c r="J20" t="s">
        <v>247</v>
      </c>
      <c r="K20">
        <v>8.3229830275678481E-3</v>
      </c>
      <c r="L20" t="s">
        <v>238</v>
      </c>
      <c r="N20" t="s">
        <v>346</v>
      </c>
      <c r="O20" t="s">
        <v>247</v>
      </c>
      <c r="P20">
        <v>0.15264405006693724</v>
      </c>
      <c r="Q20" t="s">
        <v>238</v>
      </c>
      <c r="S20" t="s">
        <v>347</v>
      </c>
      <c r="T20" t="s">
        <v>247</v>
      </c>
      <c r="U20">
        <v>0.15487932806408491</v>
      </c>
      <c r="V20" t="s">
        <v>238</v>
      </c>
      <c r="X20">
        <v>0.1678082191780822</v>
      </c>
      <c r="Y20">
        <v>3.5896543437005365E-2</v>
      </c>
      <c r="Z20" t="s">
        <v>247</v>
      </c>
      <c r="AA20" t="s">
        <v>25</v>
      </c>
      <c r="AC20" t="s">
        <v>22</v>
      </c>
      <c r="AD20" t="s">
        <v>247</v>
      </c>
      <c r="AE20">
        <v>0.11202693688960506</v>
      </c>
      <c r="AG20" t="s">
        <v>97</v>
      </c>
      <c r="AH20" t="s">
        <v>247</v>
      </c>
      <c r="AI20">
        <v>0.42199429131318777</v>
      </c>
    </row>
    <row r="21" spans="5:35" x14ac:dyDescent="0.45">
      <c r="I21" t="s">
        <v>236</v>
      </c>
      <c r="J21" t="s">
        <v>248</v>
      </c>
      <c r="K21">
        <v>2.4893194534100934E-2</v>
      </c>
      <c r="L21" t="s">
        <v>238</v>
      </c>
      <c r="N21" t="s">
        <v>346</v>
      </c>
      <c r="O21" t="s">
        <v>248</v>
      </c>
      <c r="P21">
        <v>2.4709004389531962E-2</v>
      </c>
      <c r="Q21" t="s">
        <v>238</v>
      </c>
      <c r="S21" t="s">
        <v>347</v>
      </c>
      <c r="T21" t="s">
        <v>248</v>
      </c>
      <c r="U21">
        <v>2.5385683371144972E-2</v>
      </c>
      <c r="V21" t="s">
        <v>238</v>
      </c>
      <c r="X21">
        <v>2.7968036529680364E-2</v>
      </c>
      <c r="Y21">
        <v>4.141908858116003E-2</v>
      </c>
      <c r="Z21" t="s">
        <v>248</v>
      </c>
      <c r="AA21" t="s">
        <v>25</v>
      </c>
      <c r="AC21" t="s">
        <v>22</v>
      </c>
      <c r="AD21" t="s">
        <v>248</v>
      </c>
      <c r="AE21">
        <v>2.631478120837805E-2</v>
      </c>
      <c r="AG21" t="s">
        <v>97</v>
      </c>
      <c r="AH21" t="s">
        <v>248</v>
      </c>
      <c r="AI21">
        <v>0.30883746971526671</v>
      </c>
    </row>
    <row r="22" spans="5:35" x14ac:dyDescent="0.45">
      <c r="I22" t="s">
        <v>236</v>
      </c>
      <c r="J22" t="s">
        <v>249</v>
      </c>
      <c r="K22">
        <v>4.4678981979119924E-2</v>
      </c>
      <c r="L22" t="s">
        <v>238</v>
      </c>
      <c r="N22" t="s">
        <v>346</v>
      </c>
      <c r="O22" t="s">
        <v>249</v>
      </c>
      <c r="P22">
        <v>2.4137540664385091E-2</v>
      </c>
      <c r="Q22" t="s">
        <v>238</v>
      </c>
      <c r="S22" t="s">
        <v>347</v>
      </c>
      <c r="T22" t="s">
        <v>249</v>
      </c>
      <c r="U22">
        <v>2.5351884581485976E-2</v>
      </c>
      <c r="V22" t="s">
        <v>238</v>
      </c>
      <c r="X22">
        <v>2.7968036529680364E-2</v>
      </c>
      <c r="Y22">
        <v>4.6697992027778461E-2</v>
      </c>
      <c r="Z22" t="s">
        <v>249</v>
      </c>
      <c r="AA22" t="s">
        <v>25</v>
      </c>
      <c r="AC22" t="s">
        <v>22</v>
      </c>
      <c r="AD22" t="s">
        <v>249</v>
      </c>
      <c r="AE22">
        <v>2.8878271820787761E-2</v>
      </c>
      <c r="AG22" t="s">
        <v>97</v>
      </c>
      <c r="AH22" t="s">
        <v>249</v>
      </c>
      <c r="AI22">
        <v>0.2807055275372794</v>
      </c>
    </row>
    <row r="23" spans="5:35" x14ac:dyDescent="0.45">
      <c r="I23" t="s">
        <v>236</v>
      </c>
      <c r="J23" t="s">
        <v>250</v>
      </c>
      <c r="K23">
        <v>6.2488647238314217E-2</v>
      </c>
      <c r="L23" t="s">
        <v>238</v>
      </c>
      <c r="N23" t="s">
        <v>346</v>
      </c>
      <c r="O23" t="s">
        <v>250</v>
      </c>
      <c r="P23">
        <v>2.3774745298859E-2</v>
      </c>
      <c r="Q23" t="s">
        <v>238</v>
      </c>
      <c r="S23" t="s">
        <v>347</v>
      </c>
      <c r="T23" t="s">
        <v>250</v>
      </c>
      <c r="U23">
        <v>2.5389920605894924E-2</v>
      </c>
      <c r="V23" t="s">
        <v>238</v>
      </c>
      <c r="X23">
        <v>2.7968036529680364E-2</v>
      </c>
      <c r="Y23">
        <v>3.5734115638647881E-2</v>
      </c>
      <c r="Z23" t="s">
        <v>250</v>
      </c>
      <c r="AA23" t="s">
        <v>25</v>
      </c>
      <c r="AC23" t="s">
        <v>22</v>
      </c>
      <c r="AD23" t="s">
        <v>250</v>
      </c>
      <c r="AE23">
        <v>3.0316301873585947E-2</v>
      </c>
      <c r="AG23" t="s">
        <v>97</v>
      </c>
      <c r="AH23" t="s">
        <v>250</v>
      </c>
      <c r="AI23">
        <v>0.26762128544264541</v>
      </c>
    </row>
    <row r="24" spans="5:35" x14ac:dyDescent="0.45">
      <c r="I24" t="s">
        <v>236</v>
      </c>
      <c r="J24" t="s">
        <v>251</v>
      </c>
      <c r="K24">
        <v>0.49933686907935232</v>
      </c>
      <c r="L24" t="s">
        <v>238</v>
      </c>
      <c r="N24" t="s">
        <v>346</v>
      </c>
      <c r="O24" t="s">
        <v>251</v>
      </c>
      <c r="P24">
        <v>0.14495427298257876</v>
      </c>
      <c r="Q24" t="s">
        <v>238</v>
      </c>
      <c r="S24" t="s">
        <v>347</v>
      </c>
      <c r="T24" t="s">
        <v>251</v>
      </c>
      <c r="U24">
        <v>0.14852829477937937</v>
      </c>
      <c r="V24" t="s">
        <v>238</v>
      </c>
      <c r="X24">
        <v>0.1678082191780822</v>
      </c>
      <c r="Y24">
        <v>0.21261798804995488</v>
      </c>
      <c r="Z24" t="s">
        <v>251</v>
      </c>
      <c r="AA24" t="s">
        <v>25</v>
      </c>
      <c r="AC24" t="s">
        <v>22</v>
      </c>
      <c r="AD24" t="s">
        <v>251</v>
      </c>
      <c r="AE24">
        <v>0.18121983831993854</v>
      </c>
      <c r="AG24" t="s">
        <v>97</v>
      </c>
      <c r="AH24" t="s">
        <v>251</v>
      </c>
      <c r="AI24">
        <v>0.26347701910263566</v>
      </c>
    </row>
    <row r="25" spans="5:35" x14ac:dyDescent="0.45">
      <c r="I25" t="s">
        <v>236</v>
      </c>
      <c r="J25" t="s">
        <v>252</v>
      </c>
      <c r="K25">
        <v>7.438231302005939E-2</v>
      </c>
      <c r="L25" t="s">
        <v>238</v>
      </c>
      <c r="N25" t="s">
        <v>346</v>
      </c>
      <c r="O25" t="s">
        <v>252</v>
      </c>
      <c r="P25">
        <v>2.5464958672434541E-2</v>
      </c>
      <c r="Q25" t="s">
        <v>238</v>
      </c>
      <c r="S25" t="s">
        <v>347</v>
      </c>
      <c r="T25" t="s">
        <v>252</v>
      </c>
      <c r="U25">
        <v>2.5641958410428656E-2</v>
      </c>
      <c r="V25" t="s">
        <v>238</v>
      </c>
      <c r="X25">
        <v>2.7968036529680364E-2</v>
      </c>
      <c r="Y25">
        <v>4.223122757294747E-2</v>
      </c>
      <c r="Z25" t="s">
        <v>252</v>
      </c>
      <c r="AA25" t="s">
        <v>25</v>
      </c>
      <c r="AC25" t="s">
        <v>22</v>
      </c>
      <c r="AD25" t="s">
        <v>252</v>
      </c>
      <c r="AE25">
        <v>2.9861416395440831E-2</v>
      </c>
      <c r="AG25" t="s">
        <v>97</v>
      </c>
      <c r="AH25" t="s">
        <v>252</v>
      </c>
      <c r="AI25">
        <v>0.27482774894965645</v>
      </c>
    </row>
    <row r="26" spans="5:35" x14ac:dyDescent="0.45">
      <c r="I26" t="s">
        <v>236</v>
      </c>
      <c r="J26" t="s">
        <v>253</v>
      </c>
      <c r="K26">
        <v>6.2187202739112692E-2</v>
      </c>
      <c r="L26" t="s">
        <v>238</v>
      </c>
      <c r="N26" t="s">
        <v>346</v>
      </c>
      <c r="O26" t="s">
        <v>253</v>
      </c>
      <c r="P26">
        <v>2.507089970961314E-2</v>
      </c>
      <c r="Q26" t="s">
        <v>238</v>
      </c>
      <c r="S26" t="s">
        <v>347</v>
      </c>
      <c r="T26" t="s">
        <v>253</v>
      </c>
      <c r="U26">
        <v>2.5897017635022886E-2</v>
      </c>
      <c r="V26" t="s">
        <v>238</v>
      </c>
      <c r="X26">
        <v>2.7968036529680364E-2</v>
      </c>
      <c r="Y26">
        <v>5.441331244975927E-2</v>
      </c>
      <c r="Z26" t="s">
        <v>253</v>
      </c>
      <c r="AA26" t="s">
        <v>25</v>
      </c>
      <c r="AC26" t="s">
        <v>22</v>
      </c>
      <c r="AD26" t="s">
        <v>253</v>
      </c>
      <c r="AE26">
        <v>2.9982034724592155E-2</v>
      </c>
      <c r="AG26" t="s">
        <v>97</v>
      </c>
      <c r="AH26" t="s">
        <v>253</v>
      </c>
      <c r="AI26">
        <v>0.28363761019516631</v>
      </c>
    </row>
    <row r="27" spans="5:35" x14ac:dyDescent="0.45">
      <c r="I27" t="s">
        <v>236</v>
      </c>
      <c r="J27" t="s">
        <v>254</v>
      </c>
      <c r="K27">
        <v>4.6345251605112173E-2</v>
      </c>
      <c r="L27" t="s">
        <v>238</v>
      </c>
      <c r="N27" t="s">
        <v>346</v>
      </c>
      <c r="O27" t="s">
        <v>254</v>
      </c>
      <c r="P27">
        <v>2.4722469994414655E-2</v>
      </c>
      <c r="Q27" t="s">
        <v>238</v>
      </c>
      <c r="S27" t="s">
        <v>347</v>
      </c>
      <c r="T27" t="s">
        <v>254</v>
      </c>
      <c r="U27">
        <v>2.600236904327077E-2</v>
      </c>
      <c r="V27" t="s">
        <v>238</v>
      </c>
      <c r="X27">
        <v>2.7968036529680364E-2</v>
      </c>
      <c r="Y27">
        <v>5.441331244975927E-2</v>
      </c>
      <c r="Z27" t="s">
        <v>254</v>
      </c>
      <c r="AA27" t="s">
        <v>25</v>
      </c>
      <c r="AC27" t="s">
        <v>22</v>
      </c>
      <c r="AD27" t="s">
        <v>254</v>
      </c>
      <c r="AE27">
        <v>3.0088866300185715E-2</v>
      </c>
      <c r="AG27" t="s">
        <v>97</v>
      </c>
      <c r="AH27" t="s">
        <v>254</v>
      </c>
      <c r="AI27">
        <v>0.28368776176245603</v>
      </c>
    </row>
    <row r="28" spans="5:35" x14ac:dyDescent="0.45">
      <c r="I28" t="s">
        <v>236</v>
      </c>
      <c r="J28" t="s">
        <v>255</v>
      </c>
      <c r="K28">
        <v>4.3230870018337315E-2</v>
      </c>
      <c r="L28" t="s">
        <v>238</v>
      </c>
      <c r="N28" t="s">
        <v>346</v>
      </c>
      <c r="O28" t="s">
        <v>255</v>
      </c>
      <c r="P28">
        <v>0.15769131842805778</v>
      </c>
      <c r="Q28" t="s">
        <v>238</v>
      </c>
      <c r="S28" t="s">
        <v>347</v>
      </c>
      <c r="T28" t="s">
        <v>255</v>
      </c>
      <c r="U28">
        <v>0.15854138310905619</v>
      </c>
      <c r="V28" t="s">
        <v>238</v>
      </c>
      <c r="X28">
        <v>0.1678082191780822</v>
      </c>
      <c r="Y28">
        <v>0.14780929650531621</v>
      </c>
      <c r="Z28" t="s">
        <v>255</v>
      </c>
      <c r="AA28" t="s">
        <v>25</v>
      </c>
      <c r="AC28" t="s">
        <v>22</v>
      </c>
      <c r="AD28" t="s">
        <v>255</v>
      </c>
      <c r="AE28">
        <v>0.1553894010619114</v>
      </c>
      <c r="AG28" t="s">
        <v>97</v>
      </c>
      <c r="AH28" t="s">
        <v>255</v>
      </c>
      <c r="AI28">
        <v>0.39676575633593592</v>
      </c>
    </row>
    <row r="29" spans="5:35" x14ac:dyDescent="0.45">
      <c r="I29" t="s">
        <v>236</v>
      </c>
      <c r="J29" t="s">
        <v>328</v>
      </c>
      <c r="K29">
        <v>0</v>
      </c>
      <c r="L29" t="s">
        <v>238</v>
      </c>
      <c r="N29" t="s">
        <v>346</v>
      </c>
      <c r="O29" t="s">
        <v>328</v>
      </c>
      <c r="P29">
        <v>2.3270983243587194E-2</v>
      </c>
      <c r="Q29" t="s">
        <v>238</v>
      </c>
      <c r="S29" t="s">
        <v>347</v>
      </c>
      <c r="T29" t="s">
        <v>328</v>
      </c>
      <c r="U29">
        <v>2.3147017709462602E-2</v>
      </c>
      <c r="V29" t="s">
        <v>238</v>
      </c>
      <c r="X29">
        <v>2.0547945205479451E-2</v>
      </c>
      <c r="Y29">
        <v>4.3954951147353507E-3</v>
      </c>
      <c r="Z29" t="s">
        <v>328</v>
      </c>
      <c r="AA29" t="s">
        <v>25</v>
      </c>
      <c r="AC29" t="s">
        <v>22</v>
      </c>
      <c r="AD29" t="s">
        <v>328</v>
      </c>
      <c r="AE29">
        <v>1.5405648074805758E-2</v>
      </c>
      <c r="AG29" t="s">
        <v>97</v>
      </c>
      <c r="AH29" t="s">
        <v>328</v>
      </c>
      <c r="AI29">
        <v>0.22401999671530937</v>
      </c>
    </row>
    <row r="30" spans="5:35" x14ac:dyDescent="0.45">
      <c r="I30" t="s">
        <v>236</v>
      </c>
      <c r="J30" t="s">
        <v>329</v>
      </c>
      <c r="K30">
        <v>0</v>
      </c>
      <c r="L30" t="s">
        <v>238</v>
      </c>
      <c r="N30" t="s">
        <v>346</v>
      </c>
      <c r="O30" t="s">
        <v>329</v>
      </c>
      <c r="P30">
        <v>3.8521435915883453E-3</v>
      </c>
      <c r="Q30" t="s">
        <v>238</v>
      </c>
      <c r="S30" t="s">
        <v>347</v>
      </c>
      <c r="T30" t="s">
        <v>329</v>
      </c>
      <c r="U30">
        <v>3.7017099285008054E-3</v>
      </c>
      <c r="V30" t="s">
        <v>238</v>
      </c>
      <c r="X30">
        <v>3.4246575342465752E-3</v>
      </c>
      <c r="Y30">
        <v>5.0717251323869452E-3</v>
      </c>
      <c r="Z30" t="s">
        <v>329</v>
      </c>
      <c r="AA30" t="s">
        <v>25</v>
      </c>
      <c r="AC30" t="s">
        <v>22</v>
      </c>
      <c r="AD30" t="s">
        <v>329</v>
      </c>
      <c r="AE30">
        <v>3.6545444845130057E-3</v>
      </c>
      <c r="AG30" t="s">
        <v>97</v>
      </c>
      <c r="AH30" t="s">
        <v>329</v>
      </c>
      <c r="AI30">
        <v>0.11358643172197058</v>
      </c>
    </row>
    <row r="31" spans="5:35" x14ac:dyDescent="0.45">
      <c r="I31" t="s">
        <v>236</v>
      </c>
      <c r="J31" t="s">
        <v>330</v>
      </c>
      <c r="K31">
        <v>1.0476133313176833E-4</v>
      </c>
      <c r="L31" t="s">
        <v>238</v>
      </c>
      <c r="N31" t="s">
        <v>346</v>
      </c>
      <c r="O31" t="s">
        <v>330</v>
      </c>
      <c r="P31">
        <v>3.8484639890142948E-3</v>
      </c>
      <c r="Q31" t="s">
        <v>238</v>
      </c>
      <c r="S31" t="s">
        <v>347</v>
      </c>
      <c r="T31" t="s">
        <v>330</v>
      </c>
      <c r="U31">
        <v>3.7344516712660824E-3</v>
      </c>
      <c r="V31" t="s">
        <v>238</v>
      </c>
      <c r="X31">
        <v>3.4246575342465752E-3</v>
      </c>
      <c r="Y31">
        <v>5.7181214727892006E-3</v>
      </c>
      <c r="Z31" t="s">
        <v>330</v>
      </c>
      <c r="AA31" t="s">
        <v>25</v>
      </c>
      <c r="AC31" t="s">
        <v>22</v>
      </c>
      <c r="AD31" t="s">
        <v>330</v>
      </c>
      <c r="AE31">
        <v>3.8592792079802851E-3</v>
      </c>
      <c r="AG31" t="s">
        <v>97</v>
      </c>
      <c r="AH31" t="s">
        <v>330</v>
      </c>
      <c r="AI31">
        <v>9.6767771206650144E-2</v>
      </c>
    </row>
    <row r="32" spans="5:35" x14ac:dyDescent="0.45">
      <c r="I32" t="s">
        <v>236</v>
      </c>
      <c r="J32" t="s">
        <v>331</v>
      </c>
      <c r="K32">
        <v>1.2538470161843739E-3</v>
      </c>
      <c r="L32" t="s">
        <v>238</v>
      </c>
      <c r="N32" t="s">
        <v>346</v>
      </c>
      <c r="O32" t="s">
        <v>331</v>
      </c>
      <c r="P32">
        <v>3.8119593032673637E-3</v>
      </c>
      <c r="Q32" t="s">
        <v>238</v>
      </c>
      <c r="S32" t="s">
        <v>347</v>
      </c>
      <c r="T32" t="s">
        <v>331</v>
      </c>
      <c r="U32">
        <v>3.7651324667083864E-3</v>
      </c>
      <c r="V32" t="s">
        <v>238</v>
      </c>
      <c r="X32">
        <v>3.4246575342465752E-3</v>
      </c>
      <c r="Y32">
        <v>4.3756059965691279E-3</v>
      </c>
      <c r="Z32" t="s">
        <v>331</v>
      </c>
      <c r="AA32" t="s">
        <v>25</v>
      </c>
      <c r="AC32" t="s">
        <v>22</v>
      </c>
      <c r="AD32" t="s">
        <v>331</v>
      </c>
      <c r="AE32">
        <v>4.0647792252521209E-3</v>
      </c>
      <c r="AG32" t="s">
        <v>97</v>
      </c>
      <c r="AH32" t="s">
        <v>331</v>
      </c>
      <c r="AI32">
        <v>9.8207429969362936E-2</v>
      </c>
    </row>
    <row r="33" spans="9:35" x14ac:dyDescent="0.45">
      <c r="I33" t="s">
        <v>236</v>
      </c>
      <c r="J33" t="s">
        <v>332</v>
      </c>
      <c r="K33">
        <v>2.2926065465161544E-2</v>
      </c>
      <c r="L33" t="s">
        <v>238</v>
      </c>
      <c r="N33" t="s">
        <v>346</v>
      </c>
      <c r="O33" t="s">
        <v>332</v>
      </c>
      <c r="P33">
        <v>2.1471016169551323E-2</v>
      </c>
      <c r="Q33" t="s">
        <v>238</v>
      </c>
      <c r="S33" t="s">
        <v>347</v>
      </c>
      <c r="T33" t="s">
        <v>332</v>
      </c>
      <c r="U33">
        <v>2.2403695124684743E-2</v>
      </c>
      <c r="V33" t="s">
        <v>238</v>
      </c>
      <c r="X33">
        <v>2.0547945205479451E-2</v>
      </c>
      <c r="Y33">
        <v>2.603485567958631E-2</v>
      </c>
      <c r="Z33" t="s">
        <v>332</v>
      </c>
      <c r="AA33" t="s">
        <v>25</v>
      </c>
      <c r="AC33" t="s">
        <v>22</v>
      </c>
      <c r="AD33" t="s">
        <v>332</v>
      </c>
      <c r="AE33">
        <v>2.4436089172168145E-2</v>
      </c>
      <c r="AG33" t="s">
        <v>97</v>
      </c>
      <c r="AH33" t="s">
        <v>332</v>
      </c>
      <c r="AI33">
        <v>0.10643838391302185</v>
      </c>
    </row>
    <row r="34" spans="9:35" x14ac:dyDescent="0.45">
      <c r="I34" t="s">
        <v>236</v>
      </c>
      <c r="J34" t="s">
        <v>333</v>
      </c>
      <c r="K34">
        <v>2.9298361358901012E-3</v>
      </c>
      <c r="L34" t="s">
        <v>238</v>
      </c>
      <c r="N34" t="s">
        <v>346</v>
      </c>
      <c r="O34" t="s">
        <v>333</v>
      </c>
      <c r="P34">
        <v>3.548369714146351E-3</v>
      </c>
      <c r="Q34" t="s">
        <v>238</v>
      </c>
      <c r="S34" t="s">
        <v>347</v>
      </c>
      <c r="T34" t="s">
        <v>333</v>
      </c>
      <c r="U34">
        <v>3.6987711250508894E-3</v>
      </c>
      <c r="V34" t="s">
        <v>238</v>
      </c>
      <c r="X34">
        <v>3.4246575342465752E-3</v>
      </c>
      <c r="Y34">
        <v>5.1711707232180593E-3</v>
      </c>
      <c r="Z34" t="s">
        <v>333</v>
      </c>
      <c r="AA34" t="s">
        <v>25</v>
      </c>
      <c r="AC34" t="s">
        <v>22</v>
      </c>
      <c r="AD34" t="s">
        <v>333</v>
      </c>
      <c r="AE34">
        <v>4.0735442756429001E-3</v>
      </c>
      <c r="AG34" t="s">
        <v>97</v>
      </c>
      <c r="AH34" t="s">
        <v>333</v>
      </c>
      <c r="AI34">
        <v>8.8781792705193041E-2</v>
      </c>
    </row>
    <row r="35" spans="9:35" x14ac:dyDescent="0.45">
      <c r="I35" t="s">
        <v>236</v>
      </c>
      <c r="J35" t="s">
        <v>334</v>
      </c>
      <c r="K35">
        <v>1.4138907096779235E-3</v>
      </c>
      <c r="L35" t="s">
        <v>238</v>
      </c>
      <c r="N35" t="s">
        <v>346</v>
      </c>
      <c r="O35" t="s">
        <v>334</v>
      </c>
      <c r="P35">
        <v>3.5428459222883462E-3</v>
      </c>
      <c r="Q35" t="s">
        <v>238</v>
      </c>
      <c r="S35" t="s">
        <v>347</v>
      </c>
      <c r="T35" t="s">
        <v>334</v>
      </c>
      <c r="U35">
        <v>3.666361487071672E-3</v>
      </c>
      <c r="V35" t="s">
        <v>238</v>
      </c>
      <c r="X35">
        <v>3.4246575342465752E-3</v>
      </c>
      <c r="Y35">
        <v>6.662854585684809E-3</v>
      </c>
      <c r="Z35" t="s">
        <v>334</v>
      </c>
      <c r="AA35" t="s">
        <v>25</v>
      </c>
      <c r="AC35" t="s">
        <v>22</v>
      </c>
      <c r="AD35" t="s">
        <v>334</v>
      </c>
      <c r="AE35">
        <v>4.1594520880406842E-3</v>
      </c>
      <c r="AG35" t="s">
        <v>97</v>
      </c>
      <c r="AH35" t="s">
        <v>334</v>
      </c>
      <c r="AI35">
        <v>8.317484755177218E-2</v>
      </c>
    </row>
    <row r="36" spans="9:35" x14ac:dyDescent="0.45">
      <c r="I36" t="s">
        <v>236</v>
      </c>
      <c r="J36" t="s">
        <v>335</v>
      </c>
      <c r="K36">
        <v>8.1893093857031315E-5</v>
      </c>
      <c r="L36" t="s">
        <v>238</v>
      </c>
      <c r="N36" t="s">
        <v>346</v>
      </c>
      <c r="O36" t="s">
        <v>335</v>
      </c>
      <c r="P36">
        <v>3.5743609788995074E-3</v>
      </c>
      <c r="Q36" t="s">
        <v>238</v>
      </c>
      <c r="S36" t="s">
        <v>347</v>
      </c>
      <c r="T36" t="s">
        <v>335</v>
      </c>
      <c r="U36">
        <v>3.6848351928343848E-3</v>
      </c>
      <c r="V36" t="s">
        <v>238</v>
      </c>
      <c r="X36">
        <v>3.4246575342465752E-3</v>
      </c>
      <c r="Y36">
        <v>6.662854585684809E-3</v>
      </c>
      <c r="Z36" t="s">
        <v>335</v>
      </c>
      <c r="AA36" t="s">
        <v>25</v>
      </c>
      <c r="AC36" t="s">
        <v>22</v>
      </c>
      <c r="AD36" t="s">
        <v>335</v>
      </c>
      <c r="AE36">
        <v>4.1914023878137424E-3</v>
      </c>
      <c r="AG36" t="s">
        <v>97</v>
      </c>
      <c r="AH36" t="s">
        <v>335</v>
      </c>
      <c r="AI36">
        <v>8.3920125831570491E-2</v>
      </c>
    </row>
    <row r="37" spans="9:35" x14ac:dyDescent="0.45">
      <c r="I37" t="s">
        <v>236</v>
      </c>
      <c r="J37" t="s">
        <v>336</v>
      </c>
      <c r="K37">
        <v>0</v>
      </c>
      <c r="L37" t="s">
        <v>238</v>
      </c>
      <c r="N37" t="s">
        <v>346</v>
      </c>
      <c r="O37" t="s">
        <v>336</v>
      </c>
      <c r="P37">
        <v>2.1859367861878292E-2</v>
      </c>
      <c r="Q37" t="s">
        <v>238</v>
      </c>
      <c r="S37" t="s">
        <v>347</v>
      </c>
      <c r="T37" t="s">
        <v>336</v>
      </c>
      <c r="U37">
        <v>2.2846534635290027E-2</v>
      </c>
      <c r="V37" t="s">
        <v>238</v>
      </c>
      <c r="X37">
        <v>2.0547945205479451E-2</v>
      </c>
      <c r="Y37">
        <v>1.8099097531263209E-2</v>
      </c>
      <c r="Z37" t="s">
        <v>336</v>
      </c>
      <c r="AA37" t="s">
        <v>25</v>
      </c>
      <c r="AC37" t="s">
        <v>22</v>
      </c>
      <c r="AD37" t="s">
        <v>336</v>
      </c>
      <c r="AE37">
        <v>2.1718542337258902E-2</v>
      </c>
      <c r="AG37" t="s">
        <v>97</v>
      </c>
      <c r="AH37" t="s">
        <v>336</v>
      </c>
      <c r="AI37">
        <v>0.18965932033405553</v>
      </c>
    </row>
    <row r="38" spans="9:35" x14ac:dyDescent="0.45">
      <c r="I38" t="s">
        <v>236</v>
      </c>
      <c r="J38" t="s">
        <v>337</v>
      </c>
      <c r="K38">
        <v>0</v>
      </c>
      <c r="L38" t="s">
        <v>238</v>
      </c>
      <c r="N38" t="s">
        <v>346</v>
      </c>
      <c r="O38" t="s">
        <v>337</v>
      </c>
      <c r="P38">
        <v>3.2736869650750684E-2</v>
      </c>
      <c r="Q38" t="s">
        <v>238</v>
      </c>
      <c r="S38" t="s">
        <v>347</v>
      </c>
      <c r="T38" t="s">
        <v>337</v>
      </c>
      <c r="U38">
        <v>3.0780194376606354E-2</v>
      </c>
      <c r="V38" t="s">
        <v>238</v>
      </c>
      <c r="X38">
        <v>2.1232876712328767E-2</v>
      </c>
      <c r="Y38">
        <v>4.5420116185598634E-3</v>
      </c>
      <c r="Z38" t="s">
        <v>337</v>
      </c>
      <c r="AA38" t="s">
        <v>25</v>
      </c>
      <c r="AC38" t="s">
        <v>22</v>
      </c>
      <c r="AD38" t="s">
        <v>337</v>
      </c>
      <c r="AE38">
        <v>1.6670392473391051E-2</v>
      </c>
      <c r="AG38" t="s">
        <v>97</v>
      </c>
      <c r="AH38" t="s">
        <v>337</v>
      </c>
      <c r="AI38">
        <v>0.238545611948626</v>
      </c>
    </row>
    <row r="39" spans="9:35" x14ac:dyDescent="0.45">
      <c r="I39" t="s">
        <v>236</v>
      </c>
      <c r="J39" t="s">
        <v>338</v>
      </c>
      <c r="K39">
        <v>0</v>
      </c>
      <c r="L39" t="s">
        <v>238</v>
      </c>
      <c r="N39" t="s">
        <v>346</v>
      </c>
      <c r="O39" t="s">
        <v>338</v>
      </c>
      <c r="P39">
        <v>5.6504380713402287E-3</v>
      </c>
      <c r="Q39" t="s">
        <v>238</v>
      </c>
      <c r="S39" t="s">
        <v>347</v>
      </c>
      <c r="T39" t="s">
        <v>338</v>
      </c>
      <c r="U39">
        <v>5.1882266419378802E-3</v>
      </c>
      <c r="V39" t="s">
        <v>238</v>
      </c>
      <c r="X39">
        <v>3.5388127853881279E-3</v>
      </c>
      <c r="Y39">
        <v>5.240782636799844E-3</v>
      </c>
      <c r="Z39" t="s">
        <v>338</v>
      </c>
      <c r="AA39" t="s">
        <v>25</v>
      </c>
      <c r="AC39" t="s">
        <v>22</v>
      </c>
      <c r="AD39" t="s">
        <v>338</v>
      </c>
      <c r="AE39">
        <v>4.0687610115993757E-3</v>
      </c>
      <c r="AG39" t="s">
        <v>97</v>
      </c>
      <c r="AH39" t="s">
        <v>338</v>
      </c>
      <c r="AI39">
        <v>8.8374494449703134E-2</v>
      </c>
    </row>
    <row r="40" spans="9:35" x14ac:dyDescent="0.45">
      <c r="I40" t="s">
        <v>236</v>
      </c>
      <c r="J40" t="s">
        <v>339</v>
      </c>
      <c r="K40">
        <v>0</v>
      </c>
      <c r="L40" t="s">
        <v>238</v>
      </c>
      <c r="N40" t="s">
        <v>346</v>
      </c>
      <c r="O40" t="s">
        <v>339</v>
      </c>
      <c r="P40">
        <v>5.7246561551984381E-3</v>
      </c>
      <c r="Q40" t="s">
        <v>238</v>
      </c>
      <c r="S40" t="s">
        <v>347</v>
      </c>
      <c r="T40" t="s">
        <v>339</v>
      </c>
      <c r="U40">
        <v>5.2072656259497599E-3</v>
      </c>
      <c r="V40" t="s">
        <v>238</v>
      </c>
      <c r="X40">
        <v>3.5388127853881279E-3</v>
      </c>
      <c r="Y40">
        <v>5.9087255218821738E-3</v>
      </c>
      <c r="Z40" t="s">
        <v>339</v>
      </c>
      <c r="AA40" t="s">
        <v>25</v>
      </c>
      <c r="AC40" t="s">
        <v>22</v>
      </c>
      <c r="AD40" t="s">
        <v>339</v>
      </c>
      <c r="AE40">
        <v>4.2038454000450963E-3</v>
      </c>
      <c r="AG40" t="s">
        <v>97</v>
      </c>
      <c r="AH40" t="s">
        <v>339</v>
      </c>
      <c r="AI40">
        <v>6.5091704487547197E-2</v>
      </c>
    </row>
    <row r="41" spans="9:35" x14ac:dyDescent="0.45">
      <c r="I41" t="s">
        <v>236</v>
      </c>
      <c r="J41" t="s">
        <v>340</v>
      </c>
      <c r="K41">
        <v>1.0272097371431923E-3</v>
      </c>
      <c r="L41" t="s">
        <v>238</v>
      </c>
      <c r="N41" t="s">
        <v>346</v>
      </c>
      <c r="O41" t="s">
        <v>340</v>
      </c>
      <c r="P41">
        <v>5.7849962600277742E-3</v>
      </c>
      <c r="Q41" t="s">
        <v>238</v>
      </c>
      <c r="S41" t="s">
        <v>347</v>
      </c>
      <c r="T41" t="s">
        <v>340</v>
      </c>
      <c r="U41">
        <v>5.2610554246647918E-3</v>
      </c>
      <c r="V41" t="s">
        <v>238</v>
      </c>
      <c r="X41">
        <v>3.5388127853881279E-3</v>
      </c>
      <c r="Y41">
        <v>4.521459529788099E-3</v>
      </c>
      <c r="Z41" t="s">
        <v>340</v>
      </c>
      <c r="AA41" t="s">
        <v>25</v>
      </c>
      <c r="AC41" t="s">
        <v>22</v>
      </c>
      <c r="AD41" t="s">
        <v>340</v>
      </c>
      <c r="AE41">
        <v>4.3968656823916716E-3</v>
      </c>
      <c r="AG41" t="s">
        <v>97</v>
      </c>
      <c r="AH41" t="s">
        <v>340</v>
      </c>
      <c r="AI41">
        <v>6.750385296878858E-2</v>
      </c>
    </row>
    <row r="42" spans="9:35" x14ac:dyDescent="0.45">
      <c r="I42" t="s">
        <v>236</v>
      </c>
      <c r="J42" t="s">
        <v>341</v>
      </c>
      <c r="K42">
        <v>2.7457440120741562E-2</v>
      </c>
      <c r="L42" t="s">
        <v>238</v>
      </c>
      <c r="N42" t="s">
        <v>346</v>
      </c>
      <c r="O42" t="s">
        <v>341</v>
      </c>
      <c r="P42">
        <v>3.3017485165206945E-2</v>
      </c>
      <c r="Q42" t="s">
        <v>238</v>
      </c>
      <c r="S42" t="s">
        <v>347</v>
      </c>
      <c r="T42" t="s">
        <v>341</v>
      </c>
      <c r="U42">
        <v>3.0873624967903475E-2</v>
      </c>
      <c r="V42" t="s">
        <v>238</v>
      </c>
      <c r="X42">
        <v>2.1232876712328767E-2</v>
      </c>
      <c r="Y42">
        <v>2.6902684202239187E-2</v>
      </c>
      <c r="Z42" t="s">
        <v>341</v>
      </c>
      <c r="AA42" t="s">
        <v>25</v>
      </c>
      <c r="AC42" t="s">
        <v>22</v>
      </c>
      <c r="AD42" t="s">
        <v>341</v>
      </c>
      <c r="AE42">
        <v>2.629290154620172E-2</v>
      </c>
      <c r="AG42" t="s">
        <v>97</v>
      </c>
      <c r="AH42" t="s">
        <v>341</v>
      </c>
      <c r="AI42">
        <v>8.5603790592709617E-2</v>
      </c>
    </row>
    <row r="43" spans="9:35" x14ac:dyDescent="0.45">
      <c r="I43" t="s">
        <v>236</v>
      </c>
      <c r="J43" t="s">
        <v>342</v>
      </c>
      <c r="K43">
        <v>3.8252189848232226E-3</v>
      </c>
      <c r="L43" t="s">
        <v>238</v>
      </c>
      <c r="N43" t="s">
        <v>346</v>
      </c>
      <c r="O43" t="s">
        <v>342</v>
      </c>
      <c r="P43">
        <v>5.3404639714106361E-3</v>
      </c>
      <c r="Q43" t="s">
        <v>238</v>
      </c>
      <c r="S43" t="s">
        <v>347</v>
      </c>
      <c r="T43" t="s">
        <v>342</v>
      </c>
      <c r="U43">
        <v>5.041408980011341E-3</v>
      </c>
      <c r="V43" t="s">
        <v>238</v>
      </c>
      <c r="X43">
        <v>3.5388127853881279E-3</v>
      </c>
      <c r="Y43">
        <v>5.3435430806586613E-3</v>
      </c>
      <c r="Z43" t="s">
        <v>342</v>
      </c>
      <c r="AA43" t="s">
        <v>25</v>
      </c>
      <c r="AC43" t="s">
        <v>22</v>
      </c>
      <c r="AD43" t="s">
        <v>342</v>
      </c>
      <c r="AE43">
        <v>4.3825887968467177E-3</v>
      </c>
      <c r="AG43" t="s">
        <v>97</v>
      </c>
      <c r="AH43" t="s">
        <v>342</v>
      </c>
      <c r="AI43">
        <v>7.3270473694665883E-2</v>
      </c>
    </row>
    <row r="44" spans="9:35" x14ac:dyDescent="0.45">
      <c r="I44" t="s">
        <v>236</v>
      </c>
      <c r="J44" t="s">
        <v>343</v>
      </c>
      <c r="K44">
        <v>1.0104074563618622E-3</v>
      </c>
      <c r="L44" t="s">
        <v>238</v>
      </c>
      <c r="N44" t="s">
        <v>346</v>
      </c>
      <c r="O44" t="s">
        <v>343</v>
      </c>
      <c r="P44">
        <v>5.4775786312612857E-3</v>
      </c>
      <c r="Q44" t="s">
        <v>238</v>
      </c>
      <c r="S44" t="s">
        <v>347</v>
      </c>
      <c r="T44" t="s">
        <v>343</v>
      </c>
      <c r="U44">
        <v>5.123830979424461E-3</v>
      </c>
      <c r="V44" t="s">
        <v>238</v>
      </c>
      <c r="X44">
        <v>3.5388127853881279E-3</v>
      </c>
      <c r="Y44">
        <v>6.8849497385409693E-3</v>
      </c>
      <c r="Z44" t="s">
        <v>343</v>
      </c>
      <c r="AA44" t="s">
        <v>25</v>
      </c>
      <c r="AC44" t="s">
        <v>22</v>
      </c>
      <c r="AD44" t="s">
        <v>343</v>
      </c>
      <c r="AE44">
        <v>4.467192456880929E-3</v>
      </c>
      <c r="AG44" t="s">
        <v>97</v>
      </c>
      <c r="AH44" t="s">
        <v>343</v>
      </c>
      <c r="AI44">
        <v>7.3382032846391221E-2</v>
      </c>
    </row>
    <row r="45" spans="9:35" x14ac:dyDescent="0.45">
      <c r="I45" t="s">
        <v>236</v>
      </c>
      <c r="J45" t="s">
        <v>344</v>
      </c>
      <c r="K45">
        <v>0</v>
      </c>
      <c r="L45" t="s">
        <v>238</v>
      </c>
      <c r="N45" t="s">
        <v>346</v>
      </c>
      <c r="O45" t="s">
        <v>344</v>
      </c>
      <c r="P45">
        <v>5.5579987889586074E-3</v>
      </c>
      <c r="Q45" t="s">
        <v>238</v>
      </c>
      <c r="S45" t="s">
        <v>347</v>
      </c>
      <c r="T45" t="s">
        <v>344</v>
      </c>
      <c r="U45">
        <v>5.0881884999339905E-3</v>
      </c>
      <c r="V45" t="s">
        <v>238</v>
      </c>
      <c r="X45">
        <v>3.5388127853881279E-3</v>
      </c>
      <c r="Y45">
        <v>6.8849497385409693E-3</v>
      </c>
      <c r="Z45" t="s">
        <v>344</v>
      </c>
      <c r="AA45" t="s">
        <v>25</v>
      </c>
      <c r="AC45" t="s">
        <v>22</v>
      </c>
      <c r="AD45" t="s">
        <v>344</v>
      </c>
      <c r="AE45">
        <v>4.4859837159920953E-3</v>
      </c>
      <c r="AG45" t="s">
        <v>97</v>
      </c>
      <c r="AH45" t="s">
        <v>344</v>
      </c>
      <c r="AI45">
        <v>7.2204719550229779E-2</v>
      </c>
    </row>
    <row r="46" spans="9:35" x14ac:dyDescent="0.45">
      <c r="I46" t="s">
        <v>236</v>
      </c>
      <c r="J46" t="s">
        <v>345</v>
      </c>
      <c r="K46">
        <v>0</v>
      </c>
      <c r="L46" t="s">
        <v>238</v>
      </c>
      <c r="N46" t="s">
        <v>346</v>
      </c>
      <c r="O46" t="s">
        <v>345</v>
      </c>
      <c r="P46">
        <v>3.3173230194001944E-2</v>
      </c>
      <c r="Q46" t="s">
        <v>238</v>
      </c>
      <c r="S46" t="s">
        <v>347</v>
      </c>
      <c r="T46" t="s">
        <v>345</v>
      </c>
      <c r="U46">
        <v>3.0508743271377835E-2</v>
      </c>
      <c r="V46" t="s">
        <v>238</v>
      </c>
      <c r="X46">
        <v>2.1232876712328767E-2</v>
      </c>
      <c r="Y46">
        <v>1.8702400782305319E-2</v>
      </c>
      <c r="Z46" t="s">
        <v>345</v>
      </c>
      <c r="AA46" t="s">
        <v>25</v>
      </c>
      <c r="AC46" t="s">
        <v>22</v>
      </c>
      <c r="AD46" t="s">
        <v>345</v>
      </c>
      <c r="AE46">
        <v>2.313533083755422E-2</v>
      </c>
      <c r="AG46" t="s">
        <v>97</v>
      </c>
      <c r="AH46" t="s">
        <v>345</v>
      </c>
      <c r="AI46">
        <v>0.173387686403907</v>
      </c>
    </row>
    <row r="47" spans="9:35" x14ac:dyDescent="0.45">
      <c r="AC47" t="s">
        <v>19</v>
      </c>
      <c r="AD47" t="s">
        <v>237</v>
      </c>
      <c r="AE47">
        <v>3.9707320225947071E-2</v>
      </c>
    </row>
    <row r="48" spans="9:35" x14ac:dyDescent="0.45">
      <c r="AC48" t="s">
        <v>19</v>
      </c>
      <c r="AD48" t="s">
        <v>239</v>
      </c>
      <c r="AE48">
        <v>6.7596278770507834E-3</v>
      </c>
    </row>
    <row r="49" spans="29:31" x14ac:dyDescent="0.45">
      <c r="AC49" t="s">
        <v>19</v>
      </c>
      <c r="AD49" t="s">
        <v>240</v>
      </c>
      <c r="AE49">
        <v>6.7836594249260918E-3</v>
      </c>
    </row>
    <row r="50" spans="29:31" x14ac:dyDescent="0.45">
      <c r="AC50" t="s">
        <v>19</v>
      </c>
      <c r="AD50" t="s">
        <v>241</v>
      </c>
      <c r="AE50">
        <v>6.8029382163175564E-3</v>
      </c>
    </row>
    <row r="51" spans="29:31" x14ac:dyDescent="0.45">
      <c r="AC51" t="s">
        <v>19</v>
      </c>
      <c r="AD51" t="s">
        <v>242</v>
      </c>
      <c r="AE51">
        <v>4.0840930517910011E-2</v>
      </c>
    </row>
    <row r="52" spans="29:31" x14ac:dyDescent="0.45">
      <c r="AC52" t="s">
        <v>19</v>
      </c>
      <c r="AD52" t="s">
        <v>243</v>
      </c>
      <c r="AE52">
        <v>6.8091268771139583E-3</v>
      </c>
    </row>
    <row r="53" spans="29:31" x14ac:dyDescent="0.45">
      <c r="AC53" t="s">
        <v>19</v>
      </c>
      <c r="AD53" t="s">
        <v>244</v>
      </c>
      <c r="AE53">
        <v>6.8199361796253506E-3</v>
      </c>
    </row>
    <row r="54" spans="29:31" x14ac:dyDescent="0.45">
      <c r="AC54" t="s">
        <v>19</v>
      </c>
      <c r="AD54" t="s">
        <v>245</v>
      </c>
      <c r="AE54">
        <v>6.8223878568565753E-3</v>
      </c>
    </row>
    <row r="55" spans="29:31" x14ac:dyDescent="0.45">
      <c r="AC55" t="s">
        <v>19</v>
      </c>
      <c r="AD55" t="s">
        <v>246</v>
      </c>
      <c r="AE55">
        <v>4.0494564167635499E-2</v>
      </c>
    </row>
    <row r="56" spans="29:31" x14ac:dyDescent="0.45">
      <c r="AC56" t="s">
        <v>19</v>
      </c>
      <c r="AD56" t="s">
        <v>247</v>
      </c>
      <c r="AE56">
        <v>0.16527805326573811</v>
      </c>
    </row>
    <row r="57" spans="29:31" x14ac:dyDescent="0.45">
      <c r="AC57" t="s">
        <v>19</v>
      </c>
      <c r="AD57" t="s">
        <v>248</v>
      </c>
      <c r="AE57">
        <v>2.7974951906736656E-2</v>
      </c>
    </row>
    <row r="58" spans="29:31" x14ac:dyDescent="0.45">
      <c r="AC58" t="s">
        <v>19</v>
      </c>
      <c r="AD58" t="s">
        <v>249</v>
      </c>
      <c r="AE58">
        <v>2.8118697436230838E-2</v>
      </c>
    </row>
    <row r="59" spans="29:31" x14ac:dyDescent="0.45">
      <c r="AC59" t="s">
        <v>19</v>
      </c>
      <c r="AD59" t="s">
        <v>250</v>
      </c>
      <c r="AE59">
        <v>2.8199333733616661E-2</v>
      </c>
    </row>
    <row r="60" spans="29:31" x14ac:dyDescent="0.45">
      <c r="AC60" t="s">
        <v>19</v>
      </c>
      <c r="AD60" t="s">
        <v>251</v>
      </c>
      <c r="AE60">
        <v>0.16915798565370679</v>
      </c>
    </row>
    <row r="61" spans="29:31" x14ac:dyDescent="0.45">
      <c r="AC61" t="s">
        <v>19</v>
      </c>
      <c r="AD61" t="s">
        <v>252</v>
      </c>
      <c r="AE61">
        <v>2.8173826421985151E-2</v>
      </c>
    </row>
    <row r="62" spans="29:31" x14ac:dyDescent="0.45">
      <c r="AC62" t="s">
        <v>19</v>
      </c>
      <c r="AD62" t="s">
        <v>253</v>
      </c>
      <c r="AE62">
        <v>2.8180589990966686E-2</v>
      </c>
    </row>
    <row r="63" spans="29:31" x14ac:dyDescent="0.45">
      <c r="AC63" t="s">
        <v>19</v>
      </c>
      <c r="AD63" t="s">
        <v>254</v>
      </c>
      <c r="AE63">
        <v>2.8186580479609809E-2</v>
      </c>
    </row>
    <row r="64" spans="29:31" x14ac:dyDescent="0.45">
      <c r="AC64" t="s">
        <v>19</v>
      </c>
      <c r="AD64" t="s">
        <v>255</v>
      </c>
      <c r="AE64">
        <v>0.16770956611873877</v>
      </c>
    </row>
    <row r="65" spans="29:31" x14ac:dyDescent="0.45">
      <c r="AC65" t="s">
        <v>19</v>
      </c>
      <c r="AD65" t="s">
        <v>328</v>
      </c>
      <c r="AE65">
        <v>2.02168593004276E-2</v>
      </c>
    </row>
    <row r="66" spans="29:31" x14ac:dyDescent="0.45">
      <c r="AC66" t="s">
        <v>19</v>
      </c>
      <c r="AD66" t="s">
        <v>329</v>
      </c>
      <c r="AE66">
        <v>3.4304255771300525E-3</v>
      </c>
    </row>
    <row r="67" spans="29:31" x14ac:dyDescent="0.45">
      <c r="AC67" t="s">
        <v>19</v>
      </c>
      <c r="AD67" t="s">
        <v>330</v>
      </c>
      <c r="AE67">
        <v>3.4419059005173051E-3</v>
      </c>
    </row>
    <row r="68" spans="29:31" x14ac:dyDescent="0.45">
      <c r="AC68" t="s">
        <v>19</v>
      </c>
      <c r="AD68" t="s">
        <v>331</v>
      </c>
      <c r="AE68">
        <v>3.4534291370958998E-3</v>
      </c>
    </row>
    <row r="69" spans="29:31" x14ac:dyDescent="0.45">
      <c r="AC69" t="s">
        <v>19</v>
      </c>
      <c r="AD69" t="s">
        <v>332</v>
      </c>
      <c r="AE69">
        <v>2.0723233511755871E-2</v>
      </c>
    </row>
    <row r="70" spans="29:31" x14ac:dyDescent="0.45">
      <c r="AC70" t="s">
        <v>19</v>
      </c>
      <c r="AD70" t="s">
        <v>333</v>
      </c>
      <c r="AE70">
        <v>3.453920629751799E-3</v>
      </c>
    </row>
    <row r="71" spans="29:31" x14ac:dyDescent="0.45">
      <c r="AC71" t="s">
        <v>19</v>
      </c>
      <c r="AD71" t="s">
        <v>334</v>
      </c>
      <c r="AE71">
        <v>3.4587378363844373E-3</v>
      </c>
    </row>
    <row r="72" spans="29:31" x14ac:dyDescent="0.45">
      <c r="AC72" t="s">
        <v>19</v>
      </c>
      <c r="AD72" t="s">
        <v>335</v>
      </c>
      <c r="AE72">
        <v>3.4605294219420919E-3</v>
      </c>
    </row>
    <row r="73" spans="29:31" x14ac:dyDescent="0.45">
      <c r="AC73" t="s">
        <v>19</v>
      </c>
      <c r="AD73" t="s">
        <v>336</v>
      </c>
      <c r="AE73">
        <v>2.0570849412193257E-2</v>
      </c>
    </row>
    <row r="74" spans="29:31" x14ac:dyDescent="0.45">
      <c r="AC74" t="s">
        <v>19</v>
      </c>
      <c r="AD74" t="s">
        <v>337</v>
      </c>
      <c r="AE74">
        <v>2.0886124944902419E-2</v>
      </c>
    </row>
    <row r="75" spans="29:31" x14ac:dyDescent="0.45">
      <c r="AC75" t="s">
        <v>19</v>
      </c>
      <c r="AD75" t="s">
        <v>338</v>
      </c>
      <c r="AE75">
        <v>3.5533767775026348E-3</v>
      </c>
    </row>
    <row r="76" spans="29:31" x14ac:dyDescent="0.45">
      <c r="AC76" t="s">
        <v>19</v>
      </c>
      <c r="AD76" t="s">
        <v>339</v>
      </c>
      <c r="AE76">
        <v>3.5609515183070393E-3</v>
      </c>
    </row>
    <row r="77" spans="29:31" x14ac:dyDescent="0.45">
      <c r="AC77" t="s">
        <v>19</v>
      </c>
      <c r="AD77" t="s">
        <v>340</v>
      </c>
      <c r="AE77">
        <v>3.571774964491983E-3</v>
      </c>
    </row>
    <row r="78" spans="29:31" x14ac:dyDescent="0.45">
      <c r="AC78" t="s">
        <v>19</v>
      </c>
      <c r="AD78" t="s">
        <v>341</v>
      </c>
      <c r="AE78">
        <v>2.1425698858314777E-2</v>
      </c>
    </row>
    <row r="79" spans="29:31" x14ac:dyDescent="0.45">
      <c r="AC79" t="s">
        <v>19</v>
      </c>
      <c r="AD79" t="s">
        <v>342</v>
      </c>
      <c r="AE79">
        <v>3.5709744004242807E-3</v>
      </c>
    </row>
    <row r="80" spans="29:31" x14ac:dyDescent="0.45">
      <c r="AC80" t="s">
        <v>19</v>
      </c>
      <c r="AD80" t="s">
        <v>343</v>
      </c>
      <c r="AE80">
        <v>3.5757184778357179E-3</v>
      </c>
    </row>
    <row r="81" spans="29:31" x14ac:dyDescent="0.45">
      <c r="AC81" t="s">
        <v>19</v>
      </c>
      <c r="AD81" t="s">
        <v>344</v>
      </c>
      <c r="AE81">
        <v>3.5767721815152713E-3</v>
      </c>
    </row>
    <row r="82" spans="29:31" x14ac:dyDescent="0.45">
      <c r="AC82" t="s">
        <v>19</v>
      </c>
      <c r="AD82" t="s">
        <v>345</v>
      </c>
      <c r="AE82">
        <v>2.1248640798795224E-2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0F11-E5FB-4C81-873A-C5F2EAF00425}">
  <dimension ref="A9:AM106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108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235</v>
      </c>
      <c r="L10" t="s">
        <v>30</v>
      </c>
      <c r="N10" t="s">
        <v>13</v>
      </c>
      <c r="O10" t="s">
        <v>134</v>
      </c>
      <c r="P10" t="s">
        <v>235</v>
      </c>
      <c r="Q10" t="s">
        <v>30</v>
      </c>
      <c r="S10" t="s">
        <v>13</v>
      </c>
      <c r="T10" t="s">
        <v>134</v>
      </c>
      <c r="U10" t="s">
        <v>235</v>
      </c>
      <c r="V10" t="s">
        <v>30</v>
      </c>
      <c r="X10" t="s">
        <v>348</v>
      </c>
      <c r="Y10" t="s">
        <v>235</v>
      </c>
      <c r="Z10" t="s">
        <v>134</v>
      </c>
      <c r="AA10" t="s">
        <v>13</v>
      </c>
      <c r="AC10" t="s">
        <v>13</v>
      </c>
      <c r="AD10" t="s">
        <v>134</v>
      </c>
      <c r="AE10" t="s">
        <v>235</v>
      </c>
      <c r="AG10" t="s">
        <v>13</v>
      </c>
      <c r="AH10" t="s">
        <v>134</v>
      </c>
      <c r="AI10" t="s">
        <v>354</v>
      </c>
      <c r="AK10" t="s">
        <v>134</v>
      </c>
      <c r="AL10" t="s">
        <v>355</v>
      </c>
      <c r="AM10" t="s">
        <v>356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226</v>
      </c>
      <c r="F11" t="s">
        <v>359</v>
      </c>
      <c r="G11" t="s">
        <v>146</v>
      </c>
      <c r="I11" t="s">
        <v>236</v>
      </c>
      <c r="J11" t="s">
        <v>237</v>
      </c>
      <c r="K11">
        <v>0</v>
      </c>
      <c r="L11" t="s">
        <v>238</v>
      </c>
      <c r="N11" t="s">
        <v>346</v>
      </c>
      <c r="O11" t="s">
        <v>237</v>
      </c>
      <c r="P11">
        <v>4.4155047742032917E-2</v>
      </c>
      <c r="Q11" t="s">
        <v>238</v>
      </c>
      <c r="S11" t="s">
        <v>347</v>
      </c>
      <c r="T11" t="s">
        <v>237</v>
      </c>
      <c r="U11">
        <v>4.2330575516464429E-2</v>
      </c>
      <c r="V11" t="s">
        <v>238</v>
      </c>
      <c r="X11">
        <v>4.041095890410959E-2</v>
      </c>
      <c r="Y11">
        <v>8.6444737256461904E-3</v>
      </c>
      <c r="Z11" t="s">
        <v>237</v>
      </c>
      <c r="AA11" t="s">
        <v>25</v>
      </c>
      <c r="AC11" t="s">
        <v>22</v>
      </c>
      <c r="AD11" t="s">
        <v>237</v>
      </c>
      <c r="AE11">
        <v>3.6138622036271613E-2</v>
      </c>
      <c r="AG11" t="s">
        <v>97</v>
      </c>
      <c r="AH11" t="s">
        <v>237</v>
      </c>
      <c r="AI11">
        <v>0.20993758754647396</v>
      </c>
      <c r="AK11" t="s">
        <v>145</v>
      </c>
      <c r="AL11">
        <v>0.18244762256583458</v>
      </c>
      <c r="AM11" t="s">
        <v>357</v>
      </c>
    </row>
    <row r="12" spans="1:39" x14ac:dyDescent="0.45">
      <c r="C12" t="s">
        <v>150</v>
      </c>
      <c r="E12" t="s">
        <v>227</v>
      </c>
      <c r="G12" t="s">
        <v>146</v>
      </c>
      <c r="I12" t="s">
        <v>236</v>
      </c>
      <c r="J12" t="s">
        <v>239</v>
      </c>
      <c r="K12">
        <v>0</v>
      </c>
      <c r="L12" t="s">
        <v>238</v>
      </c>
      <c r="N12" t="s">
        <v>346</v>
      </c>
      <c r="O12" t="s">
        <v>239</v>
      </c>
      <c r="P12">
        <v>7.4771968628568157E-3</v>
      </c>
      <c r="Q12" t="s">
        <v>238</v>
      </c>
      <c r="S12" t="s">
        <v>347</v>
      </c>
      <c r="T12" t="s">
        <v>239</v>
      </c>
      <c r="U12">
        <v>7.0255051417868024E-3</v>
      </c>
      <c r="V12" t="s">
        <v>238</v>
      </c>
      <c r="X12">
        <v>6.735159817351598E-3</v>
      </c>
      <c r="Y12">
        <v>9.9743927603609898E-3</v>
      </c>
      <c r="Z12" t="s">
        <v>239</v>
      </c>
      <c r="AA12" t="s">
        <v>25</v>
      </c>
      <c r="AC12" t="s">
        <v>22</v>
      </c>
      <c r="AD12" t="s">
        <v>239</v>
      </c>
      <c r="AE12">
        <v>8.5508495229955229E-3</v>
      </c>
      <c r="AG12" t="s">
        <v>97</v>
      </c>
      <c r="AH12" t="s">
        <v>239</v>
      </c>
      <c r="AI12">
        <v>8.4513738967735286E-2</v>
      </c>
      <c r="AK12" t="s">
        <v>155</v>
      </c>
      <c r="AL12">
        <v>9.0812180062272388E-2</v>
      </c>
      <c r="AM12" t="s">
        <v>357</v>
      </c>
    </row>
    <row r="13" spans="1:39" x14ac:dyDescent="0.45">
      <c r="C13" t="s">
        <v>152</v>
      </c>
      <c r="E13" t="s">
        <v>228</v>
      </c>
      <c r="G13" t="s">
        <v>146</v>
      </c>
      <c r="I13" t="s">
        <v>236</v>
      </c>
      <c r="J13" t="s">
        <v>240</v>
      </c>
      <c r="K13">
        <v>2.1283100409942801E-4</v>
      </c>
      <c r="L13" t="s">
        <v>238</v>
      </c>
      <c r="N13" t="s">
        <v>346</v>
      </c>
      <c r="O13" t="s">
        <v>240</v>
      </c>
      <c r="P13">
        <v>7.486052410617448E-3</v>
      </c>
      <c r="Q13" t="s">
        <v>238</v>
      </c>
      <c r="S13" t="s">
        <v>347</v>
      </c>
      <c r="T13" t="s">
        <v>240</v>
      </c>
      <c r="U13">
        <v>7.0289935279836818E-3</v>
      </c>
      <c r="V13" t="s">
        <v>238</v>
      </c>
      <c r="X13">
        <v>6.735159817351598E-3</v>
      </c>
      <c r="Y13">
        <v>1.124563889648543E-2</v>
      </c>
      <c r="Z13" t="s">
        <v>240</v>
      </c>
      <c r="AA13" t="s">
        <v>25</v>
      </c>
      <c r="AC13" t="s">
        <v>22</v>
      </c>
      <c r="AD13" t="s">
        <v>240</v>
      </c>
      <c r="AE13">
        <v>8.9794169198168568E-3</v>
      </c>
      <c r="AG13" t="s">
        <v>97</v>
      </c>
      <c r="AH13" t="s">
        <v>240</v>
      </c>
      <c r="AI13">
        <v>8.4639654187265601E-2</v>
      </c>
      <c r="AK13" t="s">
        <v>150</v>
      </c>
      <c r="AL13">
        <v>0.32525199218956147</v>
      </c>
      <c r="AM13" t="s">
        <v>357</v>
      </c>
    </row>
    <row r="14" spans="1:39" x14ac:dyDescent="0.45">
      <c r="C14" t="s">
        <v>155</v>
      </c>
      <c r="E14" t="s">
        <v>229</v>
      </c>
      <c r="G14" t="s">
        <v>146</v>
      </c>
      <c r="I14" t="s">
        <v>236</v>
      </c>
      <c r="J14" t="s">
        <v>241</v>
      </c>
      <c r="K14">
        <v>2.5148696506666463E-3</v>
      </c>
      <c r="L14" t="s">
        <v>238</v>
      </c>
      <c r="N14" t="s">
        <v>346</v>
      </c>
      <c r="O14" t="s">
        <v>241</v>
      </c>
      <c r="P14">
        <v>7.4313732460396372E-3</v>
      </c>
      <c r="Q14" t="s">
        <v>238</v>
      </c>
      <c r="S14" t="s">
        <v>347</v>
      </c>
      <c r="T14" t="s">
        <v>241</v>
      </c>
      <c r="U14">
        <v>7.0672308248558137E-3</v>
      </c>
      <c r="V14" t="s">
        <v>238</v>
      </c>
      <c r="X14">
        <v>6.735159817351598E-3</v>
      </c>
      <c r="Y14">
        <v>8.6053584599192871E-3</v>
      </c>
      <c r="Z14" t="s">
        <v>241</v>
      </c>
      <c r="AA14" t="s">
        <v>25</v>
      </c>
      <c r="AC14" t="s">
        <v>22</v>
      </c>
      <c r="AD14" t="s">
        <v>241</v>
      </c>
      <c r="AE14">
        <v>9.323225878081709E-3</v>
      </c>
      <c r="AG14" t="s">
        <v>97</v>
      </c>
      <c r="AH14" t="s">
        <v>241</v>
      </c>
      <c r="AI14">
        <v>8.0333357720038912E-2</v>
      </c>
      <c r="AK14" t="s">
        <v>363</v>
      </c>
      <c r="AL14">
        <v>7.4790226397171353E-2</v>
      </c>
      <c r="AM14" t="s">
        <v>357</v>
      </c>
    </row>
    <row r="15" spans="1:39" x14ac:dyDescent="0.45">
      <c r="C15" t="s">
        <v>363</v>
      </c>
      <c r="E15" t="s">
        <v>230</v>
      </c>
      <c r="G15" t="s">
        <v>146</v>
      </c>
      <c r="I15" t="s">
        <v>236</v>
      </c>
      <c r="J15" t="s">
        <v>242</v>
      </c>
      <c r="K15">
        <v>6.2558672439296206E-2</v>
      </c>
      <c r="L15" t="s">
        <v>238</v>
      </c>
      <c r="N15" t="s">
        <v>346</v>
      </c>
      <c r="O15" t="s">
        <v>242</v>
      </c>
      <c r="P15">
        <v>5.0253045596220534E-2</v>
      </c>
      <c r="Q15" t="s">
        <v>238</v>
      </c>
      <c r="S15" t="s">
        <v>347</v>
      </c>
      <c r="T15" t="s">
        <v>242</v>
      </c>
      <c r="U15">
        <v>4.9448650671140848E-2</v>
      </c>
      <c r="V15" t="s">
        <v>238</v>
      </c>
      <c r="X15">
        <v>4.714611872146119E-2</v>
      </c>
      <c r="Y15">
        <v>6.137185192551526E-2</v>
      </c>
      <c r="Z15" t="s">
        <v>242</v>
      </c>
      <c r="AA15" t="s">
        <v>25</v>
      </c>
      <c r="AC15" t="s">
        <v>22</v>
      </c>
      <c r="AD15" t="s">
        <v>242</v>
      </c>
      <c r="AE15">
        <v>6.5788489902556563E-2</v>
      </c>
      <c r="AG15" t="s">
        <v>97</v>
      </c>
      <c r="AH15" t="s">
        <v>242</v>
      </c>
      <c r="AI15">
        <v>8.572772625404057E-2</v>
      </c>
      <c r="AK15" t="s">
        <v>366</v>
      </c>
      <c r="AL15">
        <v>8.4099424771755762E-2</v>
      </c>
      <c r="AM15" t="s">
        <v>357</v>
      </c>
    </row>
    <row r="16" spans="1:39" x14ac:dyDescent="0.45">
      <c r="C16" t="s">
        <v>366</v>
      </c>
      <c r="E16" t="s">
        <v>231</v>
      </c>
      <c r="G16" t="s">
        <v>146</v>
      </c>
      <c r="I16" t="s">
        <v>236</v>
      </c>
      <c r="J16" t="s">
        <v>243</v>
      </c>
      <c r="K16">
        <v>4.884449944847249E-3</v>
      </c>
      <c r="L16" t="s">
        <v>238</v>
      </c>
      <c r="N16" t="s">
        <v>346</v>
      </c>
      <c r="O16" t="s">
        <v>243</v>
      </c>
      <c r="P16">
        <v>7.1465471045658894E-3</v>
      </c>
      <c r="Q16" t="s">
        <v>238</v>
      </c>
      <c r="S16" t="s">
        <v>347</v>
      </c>
      <c r="T16" t="s">
        <v>243</v>
      </c>
      <c r="U16">
        <v>7.1736352625391417E-3</v>
      </c>
      <c r="V16" t="s">
        <v>238</v>
      </c>
      <c r="X16">
        <v>6.735159817351598E-3</v>
      </c>
      <c r="Y16">
        <v>1.3103614018513452E-2</v>
      </c>
      <c r="Z16" t="s">
        <v>243</v>
      </c>
      <c r="AA16" t="s">
        <v>25</v>
      </c>
      <c r="AC16" t="s">
        <v>22</v>
      </c>
      <c r="AD16" t="s">
        <v>243</v>
      </c>
      <c r="AE16">
        <v>9.6263596139477565E-3</v>
      </c>
      <c r="AG16" t="s">
        <v>97</v>
      </c>
      <c r="AH16" t="s">
        <v>243</v>
      </c>
      <c r="AI16">
        <v>7.9506794508142686E-2</v>
      </c>
      <c r="AK16" t="s">
        <v>152</v>
      </c>
      <c r="AL16">
        <v>0.44259855401340426</v>
      </c>
      <c r="AM16" t="s">
        <v>357</v>
      </c>
    </row>
    <row r="17" spans="5:35" x14ac:dyDescent="0.45">
      <c r="E17" t="s">
        <v>232</v>
      </c>
      <c r="G17" t="s">
        <v>146</v>
      </c>
      <c r="I17" t="s">
        <v>236</v>
      </c>
      <c r="J17" t="s">
        <v>244</v>
      </c>
      <c r="K17">
        <v>1.8062387930995159E-3</v>
      </c>
      <c r="L17" t="s">
        <v>238</v>
      </c>
      <c r="N17" t="s">
        <v>346</v>
      </c>
      <c r="O17" t="s">
        <v>244</v>
      </c>
      <c r="P17">
        <v>7.2770367486697917E-3</v>
      </c>
      <c r="Q17" t="s">
        <v>238</v>
      </c>
      <c r="S17" t="s">
        <v>347</v>
      </c>
      <c r="T17" t="s">
        <v>244</v>
      </c>
      <c r="U17">
        <v>7.2869486355689019E-3</v>
      </c>
      <c r="V17" t="s">
        <v>238</v>
      </c>
      <c r="X17">
        <v>6.735159817351598E-3</v>
      </c>
      <c r="Y17">
        <v>1.3103614018513452E-2</v>
      </c>
      <c r="Z17" t="s">
        <v>244</v>
      </c>
      <c r="AA17" t="s">
        <v>25</v>
      </c>
      <c r="AC17" t="s">
        <v>22</v>
      </c>
      <c r="AD17" t="s">
        <v>244</v>
      </c>
      <c r="AE17">
        <v>9.6700816802201377E-3</v>
      </c>
      <c r="AG17" t="s">
        <v>97</v>
      </c>
      <c r="AH17" t="s">
        <v>244</v>
      </c>
      <c r="AI17">
        <v>8.0562479560222666E-2</v>
      </c>
    </row>
    <row r="18" spans="5:35" x14ac:dyDescent="0.45">
      <c r="E18" t="s">
        <v>233</v>
      </c>
      <c r="G18" t="s">
        <v>146</v>
      </c>
      <c r="I18" t="s">
        <v>236</v>
      </c>
      <c r="J18" t="s">
        <v>245</v>
      </c>
      <c r="K18">
        <v>1.260548737735539E-4</v>
      </c>
      <c r="L18" t="s">
        <v>238</v>
      </c>
      <c r="N18" t="s">
        <v>346</v>
      </c>
      <c r="O18" t="s">
        <v>245</v>
      </c>
      <c r="P18">
        <v>4.4361212419593996E-2</v>
      </c>
      <c r="Q18" t="s">
        <v>238</v>
      </c>
      <c r="S18" t="s">
        <v>347</v>
      </c>
      <c r="T18" t="s">
        <v>245</v>
      </c>
      <c r="U18">
        <v>4.3299572710980228E-2</v>
      </c>
      <c r="V18" t="s">
        <v>238</v>
      </c>
      <c r="X18">
        <v>4.041095890410959E-2</v>
      </c>
      <c r="Y18">
        <v>3.5594891811484314E-2</v>
      </c>
      <c r="Z18" t="s">
        <v>245</v>
      </c>
      <c r="AA18" t="s">
        <v>25</v>
      </c>
      <c r="AC18" t="s">
        <v>22</v>
      </c>
      <c r="AD18" t="s">
        <v>245</v>
      </c>
      <c r="AE18">
        <v>5.0177962677305961E-2</v>
      </c>
      <c r="AG18" t="s">
        <v>97</v>
      </c>
      <c r="AH18" t="s">
        <v>245</v>
      </c>
      <c r="AI18">
        <v>0.18372287613182636</v>
      </c>
    </row>
    <row r="19" spans="5:35" x14ac:dyDescent="0.45">
      <c r="I19" t="s">
        <v>236</v>
      </c>
      <c r="J19" t="s">
        <v>247</v>
      </c>
      <c r="K19">
        <v>1.7390279363962665E-3</v>
      </c>
      <c r="L19" t="s">
        <v>238</v>
      </c>
      <c r="N19" t="s">
        <v>346</v>
      </c>
      <c r="O19" t="s">
        <v>247</v>
      </c>
      <c r="P19">
        <v>6.1882470401995467E-2</v>
      </c>
      <c r="Q19" t="s">
        <v>238</v>
      </c>
      <c r="S19" t="s">
        <v>347</v>
      </c>
      <c r="T19" t="s">
        <v>247</v>
      </c>
      <c r="U19">
        <v>6.1851239608994447E-2</v>
      </c>
      <c r="V19" t="s">
        <v>238</v>
      </c>
      <c r="X19">
        <v>6.3013698630136991E-2</v>
      </c>
      <c r="Y19">
        <v>1.3479518351855079E-2</v>
      </c>
      <c r="Z19" t="s">
        <v>247</v>
      </c>
      <c r="AA19" t="s">
        <v>25</v>
      </c>
      <c r="AC19" t="s">
        <v>22</v>
      </c>
      <c r="AD19" t="s">
        <v>247</v>
      </c>
      <c r="AE19">
        <v>4.8274931981588512E-2</v>
      </c>
      <c r="AG19" t="s">
        <v>97</v>
      </c>
      <c r="AH19" t="s">
        <v>247</v>
      </c>
      <c r="AI19">
        <v>0.33558918595336507</v>
      </c>
    </row>
    <row r="20" spans="5:35" x14ac:dyDescent="0.45">
      <c r="I20" t="s">
        <v>236</v>
      </c>
      <c r="J20" t="s">
        <v>248</v>
      </c>
      <c r="K20">
        <v>7.1998476246754352E-3</v>
      </c>
      <c r="L20" t="s">
        <v>238</v>
      </c>
      <c r="N20" t="s">
        <v>346</v>
      </c>
      <c r="O20" t="s">
        <v>248</v>
      </c>
      <c r="P20">
        <v>9.9325685708677777E-3</v>
      </c>
      <c r="Q20" t="s">
        <v>238</v>
      </c>
      <c r="S20" t="s">
        <v>347</v>
      </c>
      <c r="T20" t="s">
        <v>248</v>
      </c>
      <c r="U20">
        <v>9.8742653804717809E-3</v>
      </c>
      <c r="V20" t="s">
        <v>238</v>
      </c>
      <c r="X20">
        <v>1.0502283105022832E-2</v>
      </c>
      <c r="Y20">
        <v>1.5553290405986625E-2</v>
      </c>
      <c r="Z20" t="s">
        <v>248</v>
      </c>
      <c r="AA20" t="s">
        <v>25</v>
      </c>
      <c r="AC20" t="s">
        <v>22</v>
      </c>
      <c r="AD20" t="s">
        <v>248</v>
      </c>
      <c r="AE20">
        <v>1.1243068077832314E-2</v>
      </c>
      <c r="AG20" t="s">
        <v>97</v>
      </c>
      <c r="AH20" t="s">
        <v>248</v>
      </c>
      <c r="AI20">
        <v>0.2203796569994978</v>
      </c>
    </row>
    <row r="21" spans="5:35" x14ac:dyDescent="0.45">
      <c r="I21" t="s">
        <v>236</v>
      </c>
      <c r="J21" t="s">
        <v>249</v>
      </c>
      <c r="K21">
        <v>1.477207075028604E-2</v>
      </c>
      <c r="L21" t="s">
        <v>238</v>
      </c>
      <c r="N21" t="s">
        <v>346</v>
      </c>
      <c r="O21" t="s">
        <v>249</v>
      </c>
      <c r="P21">
        <v>9.5234391797531948E-3</v>
      </c>
      <c r="Q21" t="s">
        <v>238</v>
      </c>
      <c r="S21" t="s">
        <v>347</v>
      </c>
      <c r="T21" t="s">
        <v>249</v>
      </c>
      <c r="U21">
        <v>9.7755876684235046E-3</v>
      </c>
      <c r="V21" t="s">
        <v>238</v>
      </c>
      <c r="X21">
        <v>1.0502283105022832E-2</v>
      </c>
      <c r="Y21">
        <v>1.7535572516553546E-2</v>
      </c>
      <c r="Z21" t="s">
        <v>249</v>
      </c>
      <c r="AA21" t="s">
        <v>25</v>
      </c>
      <c r="AC21" t="s">
        <v>22</v>
      </c>
      <c r="AD21" t="s">
        <v>249</v>
      </c>
      <c r="AE21">
        <v>1.2174998159227554E-2</v>
      </c>
      <c r="AG21" t="s">
        <v>97</v>
      </c>
      <c r="AH21" t="s">
        <v>249</v>
      </c>
      <c r="AI21">
        <v>0.2000336310543982</v>
      </c>
    </row>
    <row r="22" spans="5:35" x14ac:dyDescent="0.45">
      <c r="I22" t="s">
        <v>236</v>
      </c>
      <c r="J22" t="s">
        <v>250</v>
      </c>
      <c r="K22">
        <v>2.2157748006930236E-2</v>
      </c>
      <c r="L22" t="s">
        <v>238</v>
      </c>
      <c r="N22" t="s">
        <v>346</v>
      </c>
      <c r="O22" t="s">
        <v>250</v>
      </c>
      <c r="P22">
        <v>9.3649021249454182E-3</v>
      </c>
      <c r="Q22" t="s">
        <v>238</v>
      </c>
      <c r="S22" t="s">
        <v>347</v>
      </c>
      <c r="T22" t="s">
        <v>250</v>
      </c>
      <c r="U22">
        <v>9.7490723075456375E-3</v>
      </c>
      <c r="V22" t="s">
        <v>238</v>
      </c>
      <c r="X22">
        <v>1.0502283105022832E-2</v>
      </c>
      <c r="Y22">
        <v>1.3418525056145329E-2</v>
      </c>
      <c r="Z22" t="s">
        <v>250</v>
      </c>
      <c r="AA22" t="s">
        <v>25</v>
      </c>
      <c r="AC22" t="s">
        <v>22</v>
      </c>
      <c r="AD22" t="s">
        <v>250</v>
      </c>
      <c r="AE22">
        <v>1.2643747780191573E-2</v>
      </c>
      <c r="AG22" t="s">
        <v>97</v>
      </c>
      <c r="AH22" t="s">
        <v>250</v>
      </c>
      <c r="AI22">
        <v>0.19389874730862244</v>
      </c>
    </row>
    <row r="23" spans="5:35" x14ac:dyDescent="0.45">
      <c r="I23" t="s">
        <v>236</v>
      </c>
      <c r="J23" t="s">
        <v>251</v>
      </c>
      <c r="K23">
        <v>0.21001705883791241</v>
      </c>
      <c r="L23" t="s">
        <v>238</v>
      </c>
      <c r="N23" t="s">
        <v>346</v>
      </c>
      <c r="O23" t="s">
        <v>251</v>
      </c>
      <c r="P23">
        <v>6.7740982612904788E-2</v>
      </c>
      <c r="Q23" t="s">
        <v>238</v>
      </c>
      <c r="S23" t="s">
        <v>347</v>
      </c>
      <c r="T23" t="s">
        <v>251</v>
      </c>
      <c r="U23">
        <v>6.6930711870692924E-2</v>
      </c>
      <c r="V23" t="s">
        <v>238</v>
      </c>
      <c r="X23">
        <v>7.3515981735159816E-2</v>
      </c>
      <c r="Y23">
        <v>9.5698480968600078E-2</v>
      </c>
      <c r="Z23" t="s">
        <v>251</v>
      </c>
      <c r="AA23" t="s">
        <v>25</v>
      </c>
      <c r="AC23" t="s">
        <v>22</v>
      </c>
      <c r="AD23" t="s">
        <v>251</v>
      </c>
      <c r="AE23">
        <v>8.7021022755670807E-2</v>
      </c>
      <c r="AG23" t="s">
        <v>97</v>
      </c>
      <c r="AH23" t="s">
        <v>251</v>
      </c>
      <c r="AI23">
        <v>0.20247822779295777</v>
      </c>
    </row>
    <row r="24" spans="5:35" x14ac:dyDescent="0.45">
      <c r="I24" t="s">
        <v>236</v>
      </c>
      <c r="J24" t="s">
        <v>252</v>
      </c>
      <c r="K24">
        <v>2.1783319555425947E-2</v>
      </c>
      <c r="L24" t="s">
        <v>238</v>
      </c>
      <c r="N24" t="s">
        <v>346</v>
      </c>
      <c r="O24" t="s">
        <v>252</v>
      </c>
      <c r="P24">
        <v>9.9304589342821027E-3</v>
      </c>
      <c r="Q24" t="s">
        <v>238</v>
      </c>
      <c r="S24" t="s">
        <v>347</v>
      </c>
      <c r="T24" t="s">
        <v>252</v>
      </c>
      <c r="U24">
        <v>1.0058574075924922E-2</v>
      </c>
      <c r="V24" t="s">
        <v>238</v>
      </c>
      <c r="X24">
        <v>1.0502283105022832E-2</v>
      </c>
      <c r="Y24">
        <v>2.0432754062766744E-2</v>
      </c>
      <c r="Z24" t="s">
        <v>252</v>
      </c>
      <c r="AA24" t="s">
        <v>25</v>
      </c>
      <c r="AC24" t="s">
        <v>22</v>
      </c>
      <c r="AD24" t="s">
        <v>252</v>
      </c>
      <c r="AE24">
        <v>1.2428238751812934E-2</v>
      </c>
      <c r="AG24" t="s">
        <v>97</v>
      </c>
      <c r="AH24" t="s">
        <v>252</v>
      </c>
      <c r="AI24">
        <v>0.21380075008061561</v>
      </c>
    </row>
    <row r="25" spans="5:35" x14ac:dyDescent="0.45">
      <c r="I25" t="s">
        <v>236</v>
      </c>
      <c r="J25" t="s">
        <v>253</v>
      </c>
      <c r="K25">
        <v>1.5835241922002977E-2</v>
      </c>
      <c r="L25" t="s">
        <v>238</v>
      </c>
      <c r="N25" t="s">
        <v>346</v>
      </c>
      <c r="O25" t="s">
        <v>253</v>
      </c>
      <c r="P25">
        <v>9.7268951856563698E-3</v>
      </c>
      <c r="Q25" t="s">
        <v>238</v>
      </c>
      <c r="S25" t="s">
        <v>347</v>
      </c>
      <c r="T25" t="s">
        <v>253</v>
      </c>
      <c r="U25">
        <v>1.0171744478523636E-2</v>
      </c>
      <c r="V25" t="s">
        <v>238</v>
      </c>
      <c r="X25">
        <v>1.0502283105022832E-2</v>
      </c>
      <c r="Y25">
        <v>2.0432754062766744E-2</v>
      </c>
      <c r="Z25" t="s">
        <v>253</v>
      </c>
      <c r="AA25" t="s">
        <v>25</v>
      </c>
      <c r="AC25" t="s">
        <v>22</v>
      </c>
      <c r="AD25" t="s">
        <v>253</v>
      </c>
      <c r="AE25">
        <v>1.2512785086468527E-2</v>
      </c>
      <c r="AG25" t="s">
        <v>97</v>
      </c>
      <c r="AH25" t="s">
        <v>253</v>
      </c>
      <c r="AI25">
        <v>0.211381012992089</v>
      </c>
    </row>
    <row r="26" spans="5:35" x14ac:dyDescent="0.45">
      <c r="I26" t="s">
        <v>236</v>
      </c>
      <c r="J26" t="s">
        <v>254</v>
      </c>
      <c r="K26">
        <v>1.2017929393879136E-2</v>
      </c>
      <c r="L26" t="s">
        <v>238</v>
      </c>
      <c r="N26" t="s">
        <v>346</v>
      </c>
      <c r="O26" t="s">
        <v>254</v>
      </c>
      <c r="P26">
        <v>6.3091175190179774E-2</v>
      </c>
      <c r="Q26" t="s">
        <v>238</v>
      </c>
      <c r="S26" t="s">
        <v>347</v>
      </c>
      <c r="T26" t="s">
        <v>254</v>
      </c>
      <c r="U26">
        <v>6.2884010044582453E-2</v>
      </c>
      <c r="V26" t="s">
        <v>238</v>
      </c>
      <c r="X26">
        <v>6.3013698630136991E-2</v>
      </c>
      <c r="Y26">
        <v>5.5503899095873853E-2</v>
      </c>
      <c r="Z26" t="s">
        <v>254</v>
      </c>
      <c r="AA26" t="s">
        <v>25</v>
      </c>
      <c r="AC26" t="s">
        <v>22</v>
      </c>
      <c r="AD26" t="s">
        <v>254</v>
      </c>
      <c r="AE26">
        <v>6.4729605793992881E-2</v>
      </c>
      <c r="AG26" t="s">
        <v>97</v>
      </c>
      <c r="AH26" t="s">
        <v>254</v>
      </c>
      <c r="AI26">
        <v>0.32204143107577599</v>
      </c>
    </row>
    <row r="27" spans="5:35" x14ac:dyDescent="0.45">
      <c r="I27" t="s">
        <v>236</v>
      </c>
      <c r="J27" t="s">
        <v>328</v>
      </c>
      <c r="K27">
        <v>6.5839550911715814E-3</v>
      </c>
      <c r="L27" t="s">
        <v>238</v>
      </c>
      <c r="N27" t="s">
        <v>346</v>
      </c>
      <c r="O27" t="s">
        <v>328</v>
      </c>
      <c r="P27">
        <v>6.1852165166704706E-2</v>
      </c>
      <c r="Q27" t="s">
        <v>238</v>
      </c>
      <c r="S27" t="s">
        <v>347</v>
      </c>
      <c r="T27" t="s">
        <v>328</v>
      </c>
      <c r="U27">
        <v>6.3544931899746984E-2</v>
      </c>
      <c r="V27" t="s">
        <v>238</v>
      </c>
      <c r="X27">
        <v>8.3561643835616442E-2</v>
      </c>
      <c r="Y27">
        <v>1.7875013466590428E-2</v>
      </c>
      <c r="Z27" t="s">
        <v>328</v>
      </c>
      <c r="AA27" t="s">
        <v>25</v>
      </c>
      <c r="AC27" t="s">
        <v>22</v>
      </c>
      <c r="AD27" t="s">
        <v>328</v>
      </c>
      <c r="AE27">
        <v>5.0093012266144155E-2</v>
      </c>
      <c r="AG27" t="s">
        <v>97</v>
      </c>
      <c r="AH27" t="s">
        <v>328</v>
      </c>
      <c r="AI27">
        <v>0.20863082273118416</v>
      </c>
    </row>
    <row r="28" spans="5:35" x14ac:dyDescent="0.45">
      <c r="I28" t="s">
        <v>236</v>
      </c>
      <c r="J28" t="s">
        <v>329</v>
      </c>
      <c r="K28">
        <v>1.7637313537228475E-2</v>
      </c>
      <c r="L28" t="s">
        <v>238</v>
      </c>
      <c r="N28" t="s">
        <v>346</v>
      </c>
      <c r="O28" t="s">
        <v>329</v>
      </c>
      <c r="P28">
        <v>9.7901113228405119E-3</v>
      </c>
      <c r="Q28" t="s">
        <v>238</v>
      </c>
      <c r="S28" t="s">
        <v>347</v>
      </c>
      <c r="T28" t="s">
        <v>329</v>
      </c>
      <c r="U28">
        <v>1.0598095254781446E-2</v>
      </c>
      <c r="V28" t="s">
        <v>238</v>
      </c>
      <c r="X28">
        <v>1.3926940639269407E-2</v>
      </c>
      <c r="Y28">
        <v>2.0625015538373568E-2</v>
      </c>
      <c r="Z28" t="s">
        <v>329</v>
      </c>
      <c r="AA28" t="s">
        <v>25</v>
      </c>
      <c r="AC28" t="s">
        <v>22</v>
      </c>
      <c r="AD28" t="s">
        <v>329</v>
      </c>
      <c r="AE28">
        <v>1.1785969537362235E-2</v>
      </c>
      <c r="AG28" t="s">
        <v>97</v>
      </c>
      <c r="AH28" t="s">
        <v>329</v>
      </c>
      <c r="AI28">
        <v>0.11463779197929158</v>
      </c>
    </row>
    <row r="29" spans="5:35" x14ac:dyDescent="0.45">
      <c r="I29" t="s">
        <v>236</v>
      </c>
      <c r="J29" t="s">
        <v>330</v>
      </c>
      <c r="K29">
        <v>2.8171095101112924E-2</v>
      </c>
      <c r="L29" t="s">
        <v>238</v>
      </c>
      <c r="N29" t="s">
        <v>346</v>
      </c>
      <c r="O29" t="s">
        <v>330</v>
      </c>
      <c r="P29">
        <v>9.6185838411230028E-3</v>
      </c>
      <c r="Q29" t="s">
        <v>238</v>
      </c>
      <c r="S29" t="s">
        <v>347</v>
      </c>
      <c r="T29" t="s">
        <v>330</v>
      </c>
      <c r="U29">
        <v>1.0707451213733139E-2</v>
      </c>
      <c r="V29" t="s">
        <v>238</v>
      </c>
      <c r="X29">
        <v>1.3926940639269407E-2</v>
      </c>
      <c r="Y29">
        <v>2.3253693989342742E-2</v>
      </c>
      <c r="Z29" t="s">
        <v>330</v>
      </c>
      <c r="AA29" t="s">
        <v>25</v>
      </c>
      <c r="AC29" t="s">
        <v>22</v>
      </c>
      <c r="AD29" t="s">
        <v>330</v>
      </c>
      <c r="AE29">
        <v>1.3080465440906323E-2</v>
      </c>
      <c r="AG29" t="s">
        <v>97</v>
      </c>
      <c r="AH29" t="s">
        <v>330</v>
      </c>
      <c r="AI29">
        <v>0.10824261601165075</v>
      </c>
    </row>
    <row r="30" spans="5:35" x14ac:dyDescent="0.45">
      <c r="I30" t="s">
        <v>236</v>
      </c>
      <c r="J30" t="s">
        <v>331</v>
      </c>
      <c r="K30">
        <v>3.6435888890107751E-2</v>
      </c>
      <c r="L30" t="s">
        <v>238</v>
      </c>
      <c r="N30" t="s">
        <v>346</v>
      </c>
      <c r="O30" t="s">
        <v>331</v>
      </c>
      <c r="P30">
        <v>9.5701218410950348E-3</v>
      </c>
      <c r="Q30" t="s">
        <v>238</v>
      </c>
      <c r="S30" t="s">
        <v>347</v>
      </c>
      <c r="T30" t="s">
        <v>331</v>
      </c>
      <c r="U30">
        <v>1.0811181481550108E-2</v>
      </c>
      <c r="V30" t="s">
        <v>238</v>
      </c>
      <c r="X30">
        <v>1.3926940639269407E-2</v>
      </c>
      <c r="Y30">
        <v>1.7794131052714456E-2</v>
      </c>
      <c r="Z30" t="s">
        <v>331</v>
      </c>
      <c r="AA30" t="s">
        <v>25</v>
      </c>
      <c r="AC30" t="s">
        <v>22</v>
      </c>
      <c r="AD30" t="s">
        <v>331</v>
      </c>
      <c r="AE30">
        <v>1.3934765494576304E-2</v>
      </c>
      <c r="AG30" t="s">
        <v>97</v>
      </c>
      <c r="AH30" t="s">
        <v>331</v>
      </c>
      <c r="AI30">
        <v>8.7572698609882815E-2</v>
      </c>
    </row>
    <row r="31" spans="5:35" x14ac:dyDescent="0.45">
      <c r="I31" t="s">
        <v>236</v>
      </c>
      <c r="J31" t="s">
        <v>332</v>
      </c>
      <c r="K31">
        <v>0.31326075026908867</v>
      </c>
      <c r="L31" t="s">
        <v>238</v>
      </c>
      <c r="N31" t="s">
        <v>346</v>
      </c>
      <c r="O31" t="s">
        <v>332</v>
      </c>
      <c r="P31">
        <v>7.1181923299112659E-2</v>
      </c>
      <c r="Q31" t="s">
        <v>238</v>
      </c>
      <c r="S31" t="s">
        <v>347</v>
      </c>
      <c r="T31" t="s">
        <v>332</v>
      </c>
      <c r="U31">
        <v>7.5471087525926753E-2</v>
      </c>
      <c r="V31" t="s">
        <v>238</v>
      </c>
      <c r="X31">
        <v>9.7488584474885842E-2</v>
      </c>
      <c r="Y31">
        <v>0.12690450737140443</v>
      </c>
      <c r="Z31" t="s">
        <v>332</v>
      </c>
      <c r="AA31" t="s">
        <v>25</v>
      </c>
      <c r="AC31" t="s">
        <v>22</v>
      </c>
      <c r="AD31" t="s">
        <v>332</v>
      </c>
      <c r="AE31">
        <v>9.8332943895781594E-2</v>
      </c>
      <c r="AG31" t="s">
        <v>97</v>
      </c>
      <c r="AH31" t="s">
        <v>332</v>
      </c>
      <c r="AI31">
        <v>0.10172134834238666</v>
      </c>
    </row>
    <row r="32" spans="5:35" x14ac:dyDescent="0.45">
      <c r="I32" t="s">
        <v>236</v>
      </c>
      <c r="J32" t="s">
        <v>333</v>
      </c>
      <c r="K32">
        <v>3.5754804417117897E-2</v>
      </c>
      <c r="L32" t="s">
        <v>238</v>
      </c>
      <c r="N32" t="s">
        <v>346</v>
      </c>
      <c r="O32" t="s">
        <v>333</v>
      </c>
      <c r="P32">
        <v>1.0510624098257612E-2</v>
      </c>
      <c r="Q32" t="s">
        <v>238</v>
      </c>
      <c r="S32" t="s">
        <v>347</v>
      </c>
      <c r="T32" t="s">
        <v>333</v>
      </c>
      <c r="U32">
        <v>1.1216448151207275E-2</v>
      </c>
      <c r="V32" t="s">
        <v>238</v>
      </c>
      <c r="X32">
        <v>1.3926940639269407E-2</v>
      </c>
      <c r="Y32">
        <v>2.7095608648451557E-2</v>
      </c>
      <c r="Z32" t="s">
        <v>333</v>
      </c>
      <c r="AA32" t="s">
        <v>25</v>
      </c>
      <c r="AC32" t="s">
        <v>22</v>
      </c>
      <c r="AD32" t="s">
        <v>333</v>
      </c>
      <c r="AE32">
        <v>1.3896386153591171E-2</v>
      </c>
      <c r="AG32" t="s">
        <v>97</v>
      </c>
      <c r="AH32" t="s">
        <v>333</v>
      </c>
      <c r="AI32">
        <v>7.8951505053118876E-2</v>
      </c>
    </row>
    <row r="33" spans="9:35" x14ac:dyDescent="0.45">
      <c r="I33" t="s">
        <v>236</v>
      </c>
      <c r="J33" t="s">
        <v>334</v>
      </c>
      <c r="K33">
        <v>2.8604412044343754E-2</v>
      </c>
      <c r="L33" t="s">
        <v>238</v>
      </c>
      <c r="N33" t="s">
        <v>346</v>
      </c>
      <c r="O33" t="s">
        <v>334</v>
      </c>
      <c r="P33">
        <v>1.0236707039421273E-2</v>
      </c>
      <c r="Q33" t="s">
        <v>238</v>
      </c>
      <c r="S33" t="s">
        <v>347</v>
      </c>
      <c r="T33" t="s">
        <v>334</v>
      </c>
      <c r="U33">
        <v>1.1184030122853244E-2</v>
      </c>
      <c r="V33" t="s">
        <v>238</v>
      </c>
      <c r="X33">
        <v>1.3926940639269407E-2</v>
      </c>
      <c r="Y33">
        <v>2.7095608648451557E-2</v>
      </c>
      <c r="Z33" t="s">
        <v>334</v>
      </c>
      <c r="AA33" t="s">
        <v>25</v>
      </c>
      <c r="AC33" t="s">
        <v>22</v>
      </c>
      <c r="AD33" t="s">
        <v>334</v>
      </c>
      <c r="AE33">
        <v>1.3876657624539592E-2</v>
      </c>
      <c r="AG33" t="s">
        <v>97</v>
      </c>
      <c r="AH33" t="s">
        <v>334</v>
      </c>
      <c r="AI33">
        <v>7.9807402852031029E-2</v>
      </c>
    </row>
    <row r="34" spans="9:35" x14ac:dyDescent="0.45">
      <c r="I34" t="s">
        <v>236</v>
      </c>
      <c r="J34" t="s">
        <v>335</v>
      </c>
      <c r="K34">
        <v>3.1013581341059825E-2</v>
      </c>
      <c r="L34" t="s">
        <v>238</v>
      </c>
      <c r="N34" t="s">
        <v>346</v>
      </c>
      <c r="O34" t="s">
        <v>335</v>
      </c>
      <c r="P34">
        <v>6.486299979233251E-2</v>
      </c>
      <c r="Q34" t="s">
        <v>238</v>
      </c>
      <c r="S34" t="s">
        <v>347</v>
      </c>
      <c r="T34" t="s">
        <v>335</v>
      </c>
      <c r="U34">
        <v>6.6728784905200136E-2</v>
      </c>
      <c r="V34" t="s">
        <v>238</v>
      </c>
      <c r="X34">
        <v>8.3561643835616442E-2</v>
      </c>
      <c r="Y34">
        <v>7.3602996627137054E-2</v>
      </c>
      <c r="Z34" t="s">
        <v>335</v>
      </c>
      <c r="AA34" t="s">
        <v>25</v>
      </c>
      <c r="AC34" t="s">
        <v>22</v>
      </c>
      <c r="AD34" t="s">
        <v>335</v>
      </c>
      <c r="AE34">
        <v>7.1581920573300956E-2</v>
      </c>
      <c r="AG34" t="s">
        <v>97</v>
      </c>
      <c r="AH34" t="s">
        <v>335</v>
      </c>
      <c r="AI34">
        <v>0.16407526324863331</v>
      </c>
    </row>
    <row r="35" spans="9:35" x14ac:dyDescent="0.45">
      <c r="I35" t="s">
        <v>236</v>
      </c>
      <c r="J35" t="s">
        <v>337</v>
      </c>
      <c r="K35">
        <v>0</v>
      </c>
      <c r="L35" t="s">
        <v>238</v>
      </c>
      <c r="N35" t="s">
        <v>346</v>
      </c>
      <c r="O35" t="s">
        <v>337</v>
      </c>
      <c r="P35">
        <v>2.8909414498237054E-2</v>
      </c>
      <c r="Q35" t="s">
        <v>238</v>
      </c>
      <c r="S35" t="s">
        <v>347</v>
      </c>
      <c r="T35" t="s">
        <v>337</v>
      </c>
      <c r="U35">
        <v>2.9483156555343473E-2</v>
      </c>
      <c r="V35" t="s">
        <v>238</v>
      </c>
      <c r="X35">
        <v>2.1232876712328767E-2</v>
      </c>
      <c r="Y35">
        <v>4.5420116185598634E-3</v>
      </c>
      <c r="Z35" t="s">
        <v>337</v>
      </c>
      <c r="AA35" t="s">
        <v>25</v>
      </c>
      <c r="AC35" t="s">
        <v>22</v>
      </c>
      <c r="AD35" t="s">
        <v>337</v>
      </c>
      <c r="AE35">
        <v>1.3658992641872411E-2</v>
      </c>
      <c r="AG35" t="s">
        <v>97</v>
      </c>
      <c r="AH35" t="s">
        <v>337</v>
      </c>
      <c r="AI35">
        <v>0.23019062309836835</v>
      </c>
    </row>
    <row r="36" spans="9:35" x14ac:dyDescent="0.45">
      <c r="I36" t="s">
        <v>236</v>
      </c>
      <c r="J36" t="s">
        <v>338</v>
      </c>
      <c r="K36">
        <v>5.6033372197025706E-5</v>
      </c>
      <c r="L36" t="s">
        <v>238</v>
      </c>
      <c r="N36" t="s">
        <v>346</v>
      </c>
      <c r="O36" t="s">
        <v>338</v>
      </c>
      <c r="P36">
        <v>4.9863244958236741E-3</v>
      </c>
      <c r="Q36" t="s">
        <v>238</v>
      </c>
      <c r="S36" t="s">
        <v>347</v>
      </c>
      <c r="T36" t="s">
        <v>338</v>
      </c>
      <c r="U36">
        <v>4.9133227358917463E-3</v>
      </c>
      <c r="V36" t="s">
        <v>238</v>
      </c>
      <c r="X36">
        <v>3.5388127853881279E-3</v>
      </c>
      <c r="Y36">
        <v>5.240782636799844E-3</v>
      </c>
      <c r="Z36" t="s">
        <v>338</v>
      </c>
      <c r="AA36" t="s">
        <v>25</v>
      </c>
      <c r="AC36" t="s">
        <v>22</v>
      </c>
      <c r="AD36" t="s">
        <v>338</v>
      </c>
      <c r="AE36">
        <v>3.2857435931835034E-3</v>
      </c>
      <c r="AG36" t="s">
        <v>97</v>
      </c>
      <c r="AH36" t="s">
        <v>338</v>
      </c>
      <c r="AI36">
        <v>0.10280664525087735</v>
      </c>
    </row>
    <row r="37" spans="9:35" x14ac:dyDescent="0.45">
      <c r="I37" t="s">
        <v>236</v>
      </c>
      <c r="J37" t="s">
        <v>339</v>
      </c>
      <c r="K37">
        <v>1.7358161277209615E-3</v>
      </c>
      <c r="L37" t="s">
        <v>238</v>
      </c>
      <c r="N37" t="s">
        <v>346</v>
      </c>
      <c r="O37" t="s">
        <v>339</v>
      </c>
      <c r="P37">
        <v>4.9955176435088934E-3</v>
      </c>
      <c r="Q37" t="s">
        <v>238</v>
      </c>
      <c r="S37" t="s">
        <v>347</v>
      </c>
      <c r="T37" t="s">
        <v>339</v>
      </c>
      <c r="U37">
        <v>4.8688456993293333E-3</v>
      </c>
      <c r="V37" t="s">
        <v>238</v>
      </c>
      <c r="X37">
        <v>3.5388127853881279E-3</v>
      </c>
      <c r="Y37">
        <v>5.9087255218821738E-3</v>
      </c>
      <c r="Z37" t="s">
        <v>339</v>
      </c>
      <c r="AA37" t="s">
        <v>25</v>
      </c>
      <c r="AC37" t="s">
        <v>22</v>
      </c>
      <c r="AD37" t="s">
        <v>339</v>
      </c>
      <c r="AE37">
        <v>3.6228082206538809E-3</v>
      </c>
      <c r="AG37" t="s">
        <v>97</v>
      </c>
      <c r="AH37" t="s">
        <v>339</v>
      </c>
      <c r="AI37">
        <v>9.32355162562164E-2</v>
      </c>
    </row>
    <row r="38" spans="9:35" x14ac:dyDescent="0.45">
      <c r="I38" t="s">
        <v>236</v>
      </c>
      <c r="J38" t="s">
        <v>340</v>
      </c>
      <c r="K38">
        <v>3.8950103412762269E-3</v>
      </c>
      <c r="L38" t="s">
        <v>238</v>
      </c>
      <c r="N38" t="s">
        <v>346</v>
      </c>
      <c r="O38" t="s">
        <v>340</v>
      </c>
      <c r="P38">
        <v>4.839721332818547E-3</v>
      </c>
      <c r="Q38" t="s">
        <v>238</v>
      </c>
      <c r="S38" t="s">
        <v>347</v>
      </c>
      <c r="T38" t="s">
        <v>340</v>
      </c>
      <c r="U38">
        <v>4.8296668167991767E-3</v>
      </c>
      <c r="V38" t="s">
        <v>238</v>
      </c>
      <c r="X38">
        <v>3.5388127853881279E-3</v>
      </c>
      <c r="Y38">
        <v>4.521459529788099E-3</v>
      </c>
      <c r="Z38" t="s">
        <v>340</v>
      </c>
      <c r="AA38" t="s">
        <v>25</v>
      </c>
      <c r="AC38" t="s">
        <v>22</v>
      </c>
      <c r="AD38" t="s">
        <v>340</v>
      </c>
      <c r="AE38">
        <v>3.7377885988180704E-3</v>
      </c>
      <c r="AG38" t="s">
        <v>97</v>
      </c>
      <c r="AH38" t="s">
        <v>340</v>
      </c>
      <c r="AI38">
        <v>6.8577638883885905E-2</v>
      </c>
    </row>
    <row r="39" spans="9:35" x14ac:dyDescent="0.45">
      <c r="I39" t="s">
        <v>236</v>
      </c>
      <c r="J39" t="s">
        <v>341</v>
      </c>
      <c r="K39">
        <v>5.0441372992410624E-2</v>
      </c>
      <c r="L39" t="s">
        <v>238</v>
      </c>
      <c r="N39" t="s">
        <v>346</v>
      </c>
      <c r="O39" t="s">
        <v>341</v>
      </c>
      <c r="P39">
        <v>3.1496325742995851E-2</v>
      </c>
      <c r="Q39" t="s">
        <v>238</v>
      </c>
      <c r="S39" t="s">
        <v>347</v>
      </c>
      <c r="T39" t="s">
        <v>341</v>
      </c>
      <c r="U39">
        <v>3.1768453793188337E-2</v>
      </c>
      <c r="V39" t="s">
        <v>238</v>
      </c>
      <c r="X39">
        <v>2.4771689497716895E-2</v>
      </c>
      <c r="Y39">
        <v>3.2246227282897846E-2</v>
      </c>
      <c r="Z39" t="s">
        <v>341</v>
      </c>
      <c r="AA39" t="s">
        <v>25</v>
      </c>
      <c r="AC39" t="s">
        <v>22</v>
      </c>
      <c r="AD39" t="s">
        <v>341</v>
      </c>
      <c r="AE39">
        <v>2.5727288063926965E-2</v>
      </c>
      <c r="AG39" t="s">
        <v>97</v>
      </c>
      <c r="AH39" t="s">
        <v>341</v>
      </c>
      <c r="AI39">
        <v>7.7407316400293524E-2</v>
      </c>
    </row>
    <row r="40" spans="9:35" x14ac:dyDescent="0.45">
      <c r="I40" t="s">
        <v>236</v>
      </c>
      <c r="J40" t="s">
        <v>342</v>
      </c>
      <c r="K40">
        <v>4.649078766568851E-3</v>
      </c>
      <c r="L40" t="s">
        <v>238</v>
      </c>
      <c r="N40" t="s">
        <v>346</v>
      </c>
      <c r="O40" t="s">
        <v>342</v>
      </c>
      <c r="P40">
        <v>4.629816677073427E-3</v>
      </c>
      <c r="Q40" t="s">
        <v>238</v>
      </c>
      <c r="S40" t="s">
        <v>347</v>
      </c>
      <c r="T40" t="s">
        <v>342</v>
      </c>
      <c r="U40">
        <v>4.6219954078906911E-3</v>
      </c>
      <c r="V40" t="s">
        <v>238</v>
      </c>
      <c r="X40">
        <v>3.5388127853881279E-3</v>
      </c>
      <c r="Y40">
        <v>6.8849497385409693E-3</v>
      </c>
      <c r="Z40" t="s">
        <v>342</v>
      </c>
      <c r="AA40" t="s">
        <v>25</v>
      </c>
      <c r="AC40" t="s">
        <v>22</v>
      </c>
      <c r="AD40" t="s">
        <v>342</v>
      </c>
      <c r="AE40">
        <v>3.6574098191880476E-3</v>
      </c>
      <c r="AG40" t="s">
        <v>97</v>
      </c>
      <c r="AH40" t="s">
        <v>342</v>
      </c>
      <c r="AI40">
        <v>6.6876894440602186E-2</v>
      </c>
    </row>
    <row r="41" spans="9:35" x14ac:dyDescent="0.45">
      <c r="I41" t="s">
        <v>236</v>
      </c>
      <c r="J41" t="s">
        <v>343</v>
      </c>
      <c r="K41">
        <v>1.9055976387654422E-3</v>
      </c>
      <c r="L41" t="s">
        <v>238</v>
      </c>
      <c r="N41" t="s">
        <v>346</v>
      </c>
      <c r="O41" t="s">
        <v>343</v>
      </c>
      <c r="P41">
        <v>4.7588677693370116E-3</v>
      </c>
      <c r="Q41" t="s">
        <v>238</v>
      </c>
      <c r="S41" t="s">
        <v>347</v>
      </c>
      <c r="T41" t="s">
        <v>343</v>
      </c>
      <c r="U41">
        <v>4.6465944418938882E-3</v>
      </c>
      <c r="V41" t="s">
        <v>238</v>
      </c>
      <c r="X41">
        <v>3.5388127853881279E-3</v>
      </c>
      <c r="Y41">
        <v>6.8849497385409693E-3</v>
      </c>
      <c r="Z41" t="s">
        <v>343</v>
      </c>
      <c r="AA41" t="s">
        <v>25</v>
      </c>
      <c r="AC41" t="s">
        <v>22</v>
      </c>
      <c r="AD41" t="s">
        <v>343</v>
      </c>
      <c r="AE41">
        <v>3.699423589177595E-3</v>
      </c>
      <c r="AG41" t="s">
        <v>97</v>
      </c>
      <c r="AH41" t="s">
        <v>343</v>
      </c>
      <c r="AI41">
        <v>7.1760966463736642E-2</v>
      </c>
    </row>
    <row r="42" spans="9:35" x14ac:dyDescent="0.45">
      <c r="I42" t="s">
        <v>236</v>
      </c>
      <c r="J42" t="s">
        <v>344</v>
      </c>
      <c r="K42">
        <v>1.9935928339835554E-4</v>
      </c>
      <c r="L42" t="s">
        <v>238</v>
      </c>
      <c r="N42" t="s">
        <v>346</v>
      </c>
      <c r="O42" t="s">
        <v>344</v>
      </c>
      <c r="P42">
        <v>2.9737143445545507E-2</v>
      </c>
      <c r="Q42" t="s">
        <v>238</v>
      </c>
      <c r="S42" t="s">
        <v>347</v>
      </c>
      <c r="T42" t="s">
        <v>344</v>
      </c>
      <c r="U42">
        <v>2.8928588159273592E-2</v>
      </c>
      <c r="V42" t="s">
        <v>238</v>
      </c>
      <c r="X42">
        <v>2.1232876712328767E-2</v>
      </c>
      <c r="Y42">
        <v>1.8702400782305319E-2</v>
      </c>
      <c r="Z42" t="s">
        <v>344</v>
      </c>
      <c r="AA42" t="s">
        <v>25</v>
      </c>
      <c r="AC42" t="s">
        <v>22</v>
      </c>
      <c r="AD42" t="s">
        <v>344</v>
      </c>
      <c r="AE42">
        <v>1.9077874694617563E-2</v>
      </c>
      <c r="AG42" t="s">
        <v>97</v>
      </c>
      <c r="AH42" t="s">
        <v>344</v>
      </c>
      <c r="AI42">
        <v>0.15890174715492855</v>
      </c>
    </row>
    <row r="43" spans="9:35" x14ac:dyDescent="0.45">
      <c r="I43" t="s">
        <v>236</v>
      </c>
      <c r="J43" t="s">
        <v>703</v>
      </c>
      <c r="K43">
        <v>0</v>
      </c>
      <c r="L43" t="s">
        <v>238</v>
      </c>
      <c r="N43" t="s">
        <v>346</v>
      </c>
      <c r="O43" t="s">
        <v>703</v>
      </c>
      <c r="P43">
        <v>2.3270983243587194E-2</v>
      </c>
      <c r="Q43" t="s">
        <v>238</v>
      </c>
      <c r="S43" t="s">
        <v>347</v>
      </c>
      <c r="T43" t="s">
        <v>703</v>
      </c>
      <c r="U43">
        <v>2.3147017709462602E-2</v>
      </c>
      <c r="V43" t="s">
        <v>238</v>
      </c>
      <c r="X43">
        <v>2.0547945205479451E-2</v>
      </c>
      <c r="Y43">
        <v>4.3954951147353507E-3</v>
      </c>
      <c r="Z43" t="s">
        <v>703</v>
      </c>
      <c r="AA43" t="s">
        <v>25</v>
      </c>
      <c r="AC43" t="s">
        <v>22</v>
      </c>
      <c r="AD43" t="s">
        <v>703</v>
      </c>
      <c r="AE43">
        <v>1.5405648074805758E-2</v>
      </c>
      <c r="AG43" t="s">
        <v>97</v>
      </c>
      <c r="AH43" t="s">
        <v>703</v>
      </c>
      <c r="AI43">
        <v>0.22401999671530937</v>
      </c>
    </row>
    <row r="44" spans="9:35" x14ac:dyDescent="0.45">
      <c r="I44" t="s">
        <v>236</v>
      </c>
      <c r="J44" t="s">
        <v>704</v>
      </c>
      <c r="K44">
        <v>0</v>
      </c>
      <c r="L44" t="s">
        <v>238</v>
      </c>
      <c r="N44" t="s">
        <v>346</v>
      </c>
      <c r="O44" t="s">
        <v>704</v>
      </c>
      <c r="P44">
        <v>3.8521435915883453E-3</v>
      </c>
      <c r="Q44" t="s">
        <v>238</v>
      </c>
      <c r="S44" t="s">
        <v>347</v>
      </c>
      <c r="T44" t="s">
        <v>704</v>
      </c>
      <c r="U44">
        <v>3.7017099285008054E-3</v>
      </c>
      <c r="V44" t="s">
        <v>238</v>
      </c>
      <c r="X44">
        <v>3.4246575342465752E-3</v>
      </c>
      <c r="Y44">
        <v>5.0717251323869452E-3</v>
      </c>
      <c r="Z44" t="s">
        <v>704</v>
      </c>
      <c r="AA44" t="s">
        <v>25</v>
      </c>
      <c r="AC44" t="s">
        <v>22</v>
      </c>
      <c r="AD44" t="s">
        <v>704</v>
      </c>
      <c r="AE44">
        <v>3.6545444845130057E-3</v>
      </c>
      <c r="AG44" t="s">
        <v>97</v>
      </c>
      <c r="AH44" t="s">
        <v>704</v>
      </c>
      <c r="AI44">
        <v>0.11358643172197058</v>
      </c>
    </row>
    <row r="45" spans="9:35" x14ac:dyDescent="0.45">
      <c r="I45" t="s">
        <v>236</v>
      </c>
      <c r="J45" t="s">
        <v>705</v>
      </c>
      <c r="K45">
        <v>1.0476133313176833E-4</v>
      </c>
      <c r="L45" t="s">
        <v>238</v>
      </c>
      <c r="N45" t="s">
        <v>346</v>
      </c>
      <c r="O45" t="s">
        <v>705</v>
      </c>
      <c r="P45">
        <v>3.8484639890142948E-3</v>
      </c>
      <c r="Q45" t="s">
        <v>238</v>
      </c>
      <c r="S45" t="s">
        <v>347</v>
      </c>
      <c r="T45" t="s">
        <v>705</v>
      </c>
      <c r="U45">
        <v>3.7344516712660824E-3</v>
      </c>
      <c r="V45" t="s">
        <v>238</v>
      </c>
      <c r="X45">
        <v>3.4246575342465752E-3</v>
      </c>
      <c r="Y45">
        <v>5.7181214727892006E-3</v>
      </c>
      <c r="Z45" t="s">
        <v>705</v>
      </c>
      <c r="AA45" t="s">
        <v>25</v>
      </c>
      <c r="AC45" t="s">
        <v>22</v>
      </c>
      <c r="AD45" t="s">
        <v>705</v>
      </c>
      <c r="AE45">
        <v>3.8592792079802851E-3</v>
      </c>
      <c r="AG45" t="s">
        <v>97</v>
      </c>
      <c r="AH45" t="s">
        <v>705</v>
      </c>
      <c r="AI45">
        <v>9.6767771206650144E-2</v>
      </c>
    </row>
    <row r="46" spans="9:35" x14ac:dyDescent="0.45">
      <c r="I46" t="s">
        <v>236</v>
      </c>
      <c r="J46" t="s">
        <v>706</v>
      </c>
      <c r="K46">
        <v>1.2538470161843739E-3</v>
      </c>
      <c r="L46" t="s">
        <v>238</v>
      </c>
      <c r="N46" t="s">
        <v>346</v>
      </c>
      <c r="O46" t="s">
        <v>706</v>
      </c>
      <c r="P46">
        <v>3.8119593032673637E-3</v>
      </c>
      <c r="Q46" t="s">
        <v>238</v>
      </c>
      <c r="S46" t="s">
        <v>347</v>
      </c>
      <c r="T46" t="s">
        <v>706</v>
      </c>
      <c r="U46">
        <v>3.7651324667083864E-3</v>
      </c>
      <c r="V46" t="s">
        <v>238</v>
      </c>
      <c r="X46">
        <v>3.4246575342465752E-3</v>
      </c>
      <c r="Y46">
        <v>4.3756059965691279E-3</v>
      </c>
      <c r="Z46" t="s">
        <v>706</v>
      </c>
      <c r="AA46" t="s">
        <v>25</v>
      </c>
      <c r="AC46" t="s">
        <v>22</v>
      </c>
      <c r="AD46" t="s">
        <v>706</v>
      </c>
      <c r="AE46">
        <v>4.0647792252521209E-3</v>
      </c>
      <c r="AG46" t="s">
        <v>97</v>
      </c>
      <c r="AH46" t="s">
        <v>706</v>
      </c>
      <c r="AI46">
        <v>9.8207429969362936E-2</v>
      </c>
    </row>
    <row r="47" spans="9:35" x14ac:dyDescent="0.45">
      <c r="I47" t="s">
        <v>236</v>
      </c>
      <c r="J47" t="s">
        <v>707</v>
      </c>
      <c r="K47">
        <v>2.5855901601051643E-2</v>
      </c>
      <c r="L47" t="s">
        <v>238</v>
      </c>
      <c r="N47" t="s">
        <v>346</v>
      </c>
      <c r="O47" t="s">
        <v>707</v>
      </c>
      <c r="P47">
        <v>2.5019385883697676E-2</v>
      </c>
      <c r="Q47" t="s">
        <v>238</v>
      </c>
      <c r="S47" t="s">
        <v>347</v>
      </c>
      <c r="T47" t="s">
        <v>707</v>
      </c>
      <c r="U47">
        <v>2.6102466249735633E-2</v>
      </c>
      <c r="V47" t="s">
        <v>238</v>
      </c>
      <c r="X47">
        <v>2.3972602739726026E-2</v>
      </c>
      <c r="Y47">
        <v>3.1206026402804371E-2</v>
      </c>
      <c r="Z47" t="s">
        <v>707</v>
      </c>
      <c r="AA47" t="s">
        <v>25</v>
      </c>
      <c r="AC47" t="s">
        <v>22</v>
      </c>
      <c r="AD47" t="s">
        <v>707</v>
      </c>
      <c r="AE47">
        <v>2.8509633447811045E-2</v>
      </c>
      <c r="AG47" t="s">
        <v>97</v>
      </c>
      <c r="AH47" t="s">
        <v>707</v>
      </c>
      <c r="AI47">
        <v>0.10641818007322779</v>
      </c>
    </row>
    <row r="48" spans="9:35" x14ac:dyDescent="0.45">
      <c r="I48" t="s">
        <v>236</v>
      </c>
      <c r="J48" t="s">
        <v>708</v>
      </c>
      <c r="K48">
        <v>1.4138907096779235E-3</v>
      </c>
      <c r="L48" t="s">
        <v>238</v>
      </c>
      <c r="N48" t="s">
        <v>346</v>
      </c>
      <c r="O48" t="s">
        <v>708</v>
      </c>
      <c r="P48">
        <v>3.5428459222883462E-3</v>
      </c>
      <c r="Q48" t="s">
        <v>238</v>
      </c>
      <c r="S48" t="s">
        <v>347</v>
      </c>
      <c r="T48" t="s">
        <v>708</v>
      </c>
      <c r="U48">
        <v>3.666361487071672E-3</v>
      </c>
      <c r="V48" t="s">
        <v>238</v>
      </c>
      <c r="X48">
        <v>3.4246575342465752E-3</v>
      </c>
      <c r="Y48">
        <v>6.662854585684809E-3</v>
      </c>
      <c r="Z48" t="s">
        <v>708</v>
      </c>
      <c r="AA48" t="s">
        <v>25</v>
      </c>
      <c r="AC48" t="s">
        <v>22</v>
      </c>
      <c r="AD48" t="s">
        <v>708</v>
      </c>
      <c r="AE48">
        <v>4.1594520880406842E-3</v>
      </c>
      <c r="AG48" t="s">
        <v>97</v>
      </c>
      <c r="AH48" t="s">
        <v>708</v>
      </c>
      <c r="AI48">
        <v>8.317484755177218E-2</v>
      </c>
    </row>
    <row r="49" spans="9:35" x14ac:dyDescent="0.45">
      <c r="I49" t="s">
        <v>236</v>
      </c>
      <c r="J49" t="s">
        <v>709</v>
      </c>
      <c r="K49">
        <v>8.1893093857031315E-5</v>
      </c>
      <c r="L49" t="s">
        <v>238</v>
      </c>
      <c r="N49" t="s">
        <v>346</v>
      </c>
      <c r="O49" t="s">
        <v>709</v>
      </c>
      <c r="P49">
        <v>3.5743609788995074E-3</v>
      </c>
      <c r="Q49" t="s">
        <v>238</v>
      </c>
      <c r="S49" t="s">
        <v>347</v>
      </c>
      <c r="T49" t="s">
        <v>709</v>
      </c>
      <c r="U49">
        <v>3.6848351928343848E-3</v>
      </c>
      <c r="V49" t="s">
        <v>238</v>
      </c>
      <c r="X49">
        <v>3.4246575342465752E-3</v>
      </c>
      <c r="Y49">
        <v>6.662854585684809E-3</v>
      </c>
      <c r="Z49" t="s">
        <v>709</v>
      </c>
      <c r="AA49" t="s">
        <v>25</v>
      </c>
      <c r="AC49" t="s">
        <v>22</v>
      </c>
      <c r="AD49" t="s">
        <v>709</v>
      </c>
      <c r="AE49">
        <v>4.1914023878137424E-3</v>
      </c>
      <c r="AG49" t="s">
        <v>97</v>
      </c>
      <c r="AH49" t="s">
        <v>709</v>
      </c>
      <c r="AI49">
        <v>8.3920125831570491E-2</v>
      </c>
    </row>
    <row r="50" spans="9:35" x14ac:dyDescent="0.45">
      <c r="I50" t="s">
        <v>236</v>
      </c>
      <c r="J50" t="s">
        <v>710</v>
      </c>
      <c r="K50">
        <v>0</v>
      </c>
      <c r="L50" t="s">
        <v>238</v>
      </c>
      <c r="N50" t="s">
        <v>346</v>
      </c>
      <c r="O50" t="s">
        <v>710</v>
      </c>
      <c r="P50">
        <v>2.1859367861878292E-2</v>
      </c>
      <c r="Q50" t="s">
        <v>238</v>
      </c>
      <c r="S50" t="s">
        <v>347</v>
      </c>
      <c r="T50" t="s">
        <v>710</v>
      </c>
      <c r="U50">
        <v>2.2846534635290027E-2</v>
      </c>
      <c r="V50" t="s">
        <v>238</v>
      </c>
      <c r="X50">
        <v>2.0547945205479451E-2</v>
      </c>
      <c r="Y50">
        <v>1.8099097531263209E-2</v>
      </c>
      <c r="Z50" t="s">
        <v>710</v>
      </c>
      <c r="AA50" t="s">
        <v>25</v>
      </c>
      <c r="AC50" t="s">
        <v>22</v>
      </c>
      <c r="AD50" t="s">
        <v>710</v>
      </c>
      <c r="AE50">
        <v>2.1718542337258902E-2</v>
      </c>
      <c r="AG50" t="s">
        <v>97</v>
      </c>
      <c r="AH50" t="s">
        <v>710</v>
      </c>
      <c r="AI50">
        <v>0.18965932033405553</v>
      </c>
    </row>
    <row r="51" spans="9:35" x14ac:dyDescent="0.45">
      <c r="I51" t="s">
        <v>236</v>
      </c>
      <c r="J51" t="s">
        <v>735</v>
      </c>
      <c r="K51">
        <v>0</v>
      </c>
      <c r="L51" t="s">
        <v>238</v>
      </c>
      <c r="N51" t="s">
        <v>346</v>
      </c>
      <c r="O51" t="s">
        <v>735</v>
      </c>
      <c r="P51">
        <v>3.2736869650750684E-2</v>
      </c>
      <c r="Q51" t="s">
        <v>238</v>
      </c>
      <c r="S51" t="s">
        <v>347</v>
      </c>
      <c r="T51" t="s">
        <v>735</v>
      </c>
      <c r="U51">
        <v>3.0780194376606354E-2</v>
      </c>
      <c r="V51" t="s">
        <v>238</v>
      </c>
      <c r="X51">
        <v>2.1232876712328767E-2</v>
      </c>
      <c r="Y51">
        <v>4.5420116185598634E-3</v>
      </c>
      <c r="Z51" t="s">
        <v>735</v>
      </c>
      <c r="AA51" t="s">
        <v>25</v>
      </c>
      <c r="AC51" t="s">
        <v>22</v>
      </c>
      <c r="AD51" t="s">
        <v>735</v>
      </c>
      <c r="AE51">
        <v>1.6670392473391051E-2</v>
      </c>
      <c r="AG51" t="s">
        <v>97</v>
      </c>
      <c r="AH51" t="s">
        <v>735</v>
      </c>
      <c r="AI51">
        <v>0.238545611948626</v>
      </c>
    </row>
    <row r="52" spans="9:35" x14ac:dyDescent="0.45">
      <c r="I52" t="s">
        <v>236</v>
      </c>
      <c r="J52" t="s">
        <v>736</v>
      </c>
      <c r="K52">
        <v>0</v>
      </c>
      <c r="L52" t="s">
        <v>238</v>
      </c>
      <c r="N52" t="s">
        <v>346</v>
      </c>
      <c r="O52" t="s">
        <v>736</v>
      </c>
      <c r="P52">
        <v>5.6504380713402287E-3</v>
      </c>
      <c r="Q52" t="s">
        <v>238</v>
      </c>
      <c r="S52" t="s">
        <v>347</v>
      </c>
      <c r="T52" t="s">
        <v>736</v>
      </c>
      <c r="U52">
        <v>5.1882266419378802E-3</v>
      </c>
      <c r="V52" t="s">
        <v>238</v>
      </c>
      <c r="X52">
        <v>3.5388127853881279E-3</v>
      </c>
      <c r="Y52">
        <v>5.240782636799844E-3</v>
      </c>
      <c r="Z52" t="s">
        <v>736</v>
      </c>
      <c r="AA52" t="s">
        <v>25</v>
      </c>
      <c r="AC52" t="s">
        <v>22</v>
      </c>
      <c r="AD52" t="s">
        <v>736</v>
      </c>
      <c r="AE52">
        <v>4.0687610115993757E-3</v>
      </c>
      <c r="AG52" t="s">
        <v>97</v>
      </c>
      <c r="AH52" t="s">
        <v>736</v>
      </c>
      <c r="AI52">
        <v>8.8374494449703134E-2</v>
      </c>
    </row>
    <row r="53" spans="9:35" x14ac:dyDescent="0.45">
      <c r="I53" t="s">
        <v>236</v>
      </c>
      <c r="J53" t="s">
        <v>737</v>
      </c>
      <c r="K53">
        <v>0</v>
      </c>
      <c r="L53" t="s">
        <v>238</v>
      </c>
      <c r="N53" t="s">
        <v>346</v>
      </c>
      <c r="O53" t="s">
        <v>737</v>
      </c>
      <c r="P53">
        <v>5.7246561551984381E-3</v>
      </c>
      <c r="Q53" t="s">
        <v>238</v>
      </c>
      <c r="S53" t="s">
        <v>347</v>
      </c>
      <c r="T53" t="s">
        <v>737</v>
      </c>
      <c r="U53">
        <v>5.2072656259497599E-3</v>
      </c>
      <c r="V53" t="s">
        <v>238</v>
      </c>
      <c r="X53">
        <v>3.5388127853881279E-3</v>
      </c>
      <c r="Y53">
        <v>5.9087255218821738E-3</v>
      </c>
      <c r="Z53" t="s">
        <v>737</v>
      </c>
      <c r="AA53" t="s">
        <v>25</v>
      </c>
      <c r="AC53" t="s">
        <v>22</v>
      </c>
      <c r="AD53" t="s">
        <v>737</v>
      </c>
      <c r="AE53">
        <v>4.2038454000450963E-3</v>
      </c>
      <c r="AG53" t="s">
        <v>97</v>
      </c>
      <c r="AH53" t="s">
        <v>737</v>
      </c>
      <c r="AI53">
        <v>6.5091704487547197E-2</v>
      </c>
    </row>
    <row r="54" spans="9:35" x14ac:dyDescent="0.45">
      <c r="I54" t="s">
        <v>236</v>
      </c>
      <c r="J54" t="s">
        <v>738</v>
      </c>
      <c r="K54">
        <v>1.0272097371431923E-3</v>
      </c>
      <c r="L54" t="s">
        <v>238</v>
      </c>
      <c r="N54" t="s">
        <v>346</v>
      </c>
      <c r="O54" t="s">
        <v>738</v>
      </c>
      <c r="P54">
        <v>5.7849962600277742E-3</v>
      </c>
      <c r="Q54" t="s">
        <v>238</v>
      </c>
      <c r="S54" t="s">
        <v>347</v>
      </c>
      <c r="T54" t="s">
        <v>738</v>
      </c>
      <c r="U54">
        <v>5.2610554246647918E-3</v>
      </c>
      <c r="V54" t="s">
        <v>238</v>
      </c>
      <c r="X54">
        <v>3.5388127853881279E-3</v>
      </c>
      <c r="Y54">
        <v>4.521459529788099E-3</v>
      </c>
      <c r="Z54" t="s">
        <v>738</v>
      </c>
      <c r="AA54" t="s">
        <v>25</v>
      </c>
      <c r="AC54" t="s">
        <v>22</v>
      </c>
      <c r="AD54" t="s">
        <v>738</v>
      </c>
      <c r="AE54">
        <v>4.3968656823916716E-3</v>
      </c>
      <c r="AG54" t="s">
        <v>97</v>
      </c>
      <c r="AH54" t="s">
        <v>738</v>
      </c>
      <c r="AI54">
        <v>6.750385296878858E-2</v>
      </c>
    </row>
    <row r="55" spans="9:35" x14ac:dyDescent="0.45">
      <c r="I55" t="s">
        <v>236</v>
      </c>
      <c r="J55" t="s">
        <v>739</v>
      </c>
      <c r="K55">
        <v>3.1282659105564783E-2</v>
      </c>
      <c r="L55" t="s">
        <v>238</v>
      </c>
      <c r="N55" t="s">
        <v>346</v>
      </c>
      <c r="O55" t="s">
        <v>739</v>
      </c>
      <c r="P55">
        <v>3.8357949136617581E-2</v>
      </c>
      <c r="Q55" t="s">
        <v>238</v>
      </c>
      <c r="S55" t="s">
        <v>347</v>
      </c>
      <c r="T55" t="s">
        <v>739</v>
      </c>
      <c r="U55">
        <v>3.5915033947914815E-2</v>
      </c>
      <c r="V55" t="s">
        <v>238</v>
      </c>
      <c r="X55">
        <v>2.4771689497716895E-2</v>
      </c>
      <c r="Y55">
        <v>3.2246227282897846E-2</v>
      </c>
      <c r="Z55" t="s">
        <v>739</v>
      </c>
      <c r="AA55" t="s">
        <v>25</v>
      </c>
      <c r="AC55" t="s">
        <v>22</v>
      </c>
      <c r="AD55" t="s">
        <v>739</v>
      </c>
      <c r="AE55">
        <v>3.0675490343048433E-2</v>
      </c>
      <c r="AG55" t="s">
        <v>97</v>
      </c>
      <c r="AH55" t="s">
        <v>739</v>
      </c>
      <c r="AI55">
        <v>8.5594267559709225E-2</v>
      </c>
    </row>
    <row r="56" spans="9:35" x14ac:dyDescent="0.45">
      <c r="I56" t="s">
        <v>236</v>
      </c>
      <c r="J56" t="s">
        <v>740</v>
      </c>
      <c r="K56">
        <v>1.0104074563618622E-3</v>
      </c>
      <c r="L56" t="s">
        <v>238</v>
      </c>
      <c r="N56" t="s">
        <v>346</v>
      </c>
      <c r="O56" t="s">
        <v>740</v>
      </c>
      <c r="P56">
        <v>5.4775786312612857E-3</v>
      </c>
      <c r="Q56" t="s">
        <v>238</v>
      </c>
      <c r="S56" t="s">
        <v>347</v>
      </c>
      <c r="T56" t="s">
        <v>740</v>
      </c>
      <c r="U56">
        <v>5.123830979424461E-3</v>
      </c>
      <c r="V56" t="s">
        <v>238</v>
      </c>
      <c r="X56">
        <v>3.5388127853881279E-3</v>
      </c>
      <c r="Y56">
        <v>6.8849497385409693E-3</v>
      </c>
      <c r="Z56" t="s">
        <v>740</v>
      </c>
      <c r="AA56" t="s">
        <v>25</v>
      </c>
      <c r="AC56" t="s">
        <v>22</v>
      </c>
      <c r="AD56" t="s">
        <v>740</v>
      </c>
      <c r="AE56">
        <v>4.467192456880929E-3</v>
      </c>
      <c r="AG56" t="s">
        <v>97</v>
      </c>
      <c r="AH56" t="s">
        <v>740</v>
      </c>
      <c r="AI56">
        <v>7.3382032846391221E-2</v>
      </c>
    </row>
    <row r="57" spans="9:35" x14ac:dyDescent="0.45">
      <c r="I57" t="s">
        <v>236</v>
      </c>
      <c r="J57" t="s">
        <v>741</v>
      </c>
      <c r="K57">
        <v>0</v>
      </c>
      <c r="L57" t="s">
        <v>238</v>
      </c>
      <c r="N57" t="s">
        <v>346</v>
      </c>
      <c r="O57" t="s">
        <v>741</v>
      </c>
      <c r="P57">
        <v>5.5579987889586074E-3</v>
      </c>
      <c r="Q57" t="s">
        <v>238</v>
      </c>
      <c r="S57" t="s">
        <v>347</v>
      </c>
      <c r="T57" t="s">
        <v>741</v>
      </c>
      <c r="U57">
        <v>5.0881884999339905E-3</v>
      </c>
      <c r="V57" t="s">
        <v>238</v>
      </c>
      <c r="X57">
        <v>3.5388127853881279E-3</v>
      </c>
      <c r="Y57">
        <v>6.8849497385409693E-3</v>
      </c>
      <c r="Z57" t="s">
        <v>741</v>
      </c>
      <c r="AA57" t="s">
        <v>25</v>
      </c>
      <c r="AC57" t="s">
        <v>22</v>
      </c>
      <c r="AD57" t="s">
        <v>741</v>
      </c>
      <c r="AE57">
        <v>4.4859837159920953E-3</v>
      </c>
      <c r="AG57" t="s">
        <v>97</v>
      </c>
      <c r="AH57" t="s">
        <v>741</v>
      </c>
      <c r="AI57">
        <v>7.2204719550229779E-2</v>
      </c>
    </row>
    <row r="58" spans="9:35" x14ac:dyDescent="0.45">
      <c r="I58" t="s">
        <v>236</v>
      </c>
      <c r="J58" t="s">
        <v>742</v>
      </c>
      <c r="K58">
        <v>0</v>
      </c>
      <c r="L58" t="s">
        <v>238</v>
      </c>
      <c r="N58" t="s">
        <v>346</v>
      </c>
      <c r="O58" t="s">
        <v>742</v>
      </c>
      <c r="P58">
        <v>3.3173230194001944E-2</v>
      </c>
      <c r="Q58" t="s">
        <v>238</v>
      </c>
      <c r="S58" t="s">
        <v>347</v>
      </c>
      <c r="T58" t="s">
        <v>742</v>
      </c>
      <c r="U58">
        <v>3.0508743271377835E-2</v>
      </c>
      <c r="V58" t="s">
        <v>238</v>
      </c>
      <c r="X58">
        <v>2.1232876712328767E-2</v>
      </c>
      <c r="Y58">
        <v>1.8702400782305319E-2</v>
      </c>
      <c r="Z58" t="s">
        <v>742</v>
      </c>
      <c r="AA58" t="s">
        <v>25</v>
      </c>
      <c r="AC58" t="s">
        <v>22</v>
      </c>
      <c r="AD58" t="s">
        <v>742</v>
      </c>
      <c r="AE58">
        <v>2.313533083755422E-2</v>
      </c>
      <c r="AG58" t="s">
        <v>97</v>
      </c>
      <c r="AH58" t="s">
        <v>742</v>
      </c>
      <c r="AI58">
        <v>0.173387686403907</v>
      </c>
    </row>
    <row r="59" spans="9:35" x14ac:dyDescent="0.45">
      <c r="AC59" t="s">
        <v>19</v>
      </c>
      <c r="AD59" t="s">
        <v>237</v>
      </c>
      <c r="AE59">
        <v>3.9707320225947071E-2</v>
      </c>
    </row>
    <row r="60" spans="9:35" x14ac:dyDescent="0.45">
      <c r="AC60" t="s">
        <v>19</v>
      </c>
      <c r="AD60" t="s">
        <v>239</v>
      </c>
      <c r="AE60">
        <v>6.7596278770507834E-3</v>
      </c>
    </row>
    <row r="61" spans="9:35" x14ac:dyDescent="0.45">
      <c r="AC61" t="s">
        <v>19</v>
      </c>
      <c r="AD61" t="s">
        <v>240</v>
      </c>
      <c r="AE61">
        <v>6.7836594249260918E-3</v>
      </c>
    </row>
    <row r="62" spans="9:35" x14ac:dyDescent="0.45">
      <c r="AC62" t="s">
        <v>19</v>
      </c>
      <c r="AD62" t="s">
        <v>241</v>
      </c>
      <c r="AE62">
        <v>6.8029382163175564E-3</v>
      </c>
    </row>
    <row r="63" spans="9:35" x14ac:dyDescent="0.45">
      <c r="AC63" t="s">
        <v>19</v>
      </c>
      <c r="AD63" t="s">
        <v>242</v>
      </c>
      <c r="AE63">
        <v>4.7650057395023968E-2</v>
      </c>
    </row>
    <row r="64" spans="9:35" x14ac:dyDescent="0.45">
      <c r="AC64" t="s">
        <v>19</v>
      </c>
      <c r="AD64" t="s">
        <v>243</v>
      </c>
      <c r="AE64">
        <v>6.8199361796253506E-3</v>
      </c>
    </row>
    <row r="65" spans="29:31" x14ac:dyDescent="0.45">
      <c r="AC65" t="s">
        <v>19</v>
      </c>
      <c r="AD65" t="s">
        <v>244</v>
      </c>
      <c r="AE65">
        <v>6.8223878568565753E-3</v>
      </c>
    </row>
    <row r="66" spans="29:31" x14ac:dyDescent="0.45">
      <c r="AC66" t="s">
        <v>19</v>
      </c>
      <c r="AD66" t="s">
        <v>245</v>
      </c>
      <c r="AE66">
        <v>4.0494564167635499E-2</v>
      </c>
    </row>
    <row r="67" spans="29:31" x14ac:dyDescent="0.45">
      <c r="AC67" t="s">
        <v>19</v>
      </c>
      <c r="AD67" t="s">
        <v>247</v>
      </c>
      <c r="AE67">
        <v>6.2073488554570289E-2</v>
      </c>
    </row>
    <row r="68" spans="29:31" x14ac:dyDescent="0.45">
      <c r="AC68" t="s">
        <v>19</v>
      </c>
      <c r="AD68" t="s">
        <v>248</v>
      </c>
      <c r="AE68">
        <v>1.0524864247628687E-2</v>
      </c>
    </row>
    <row r="69" spans="29:31" x14ac:dyDescent="0.45">
      <c r="AC69" t="s">
        <v>19</v>
      </c>
      <c r="AD69" t="s">
        <v>249</v>
      </c>
      <c r="AE69">
        <v>1.057712142475788E-2</v>
      </c>
    </row>
    <row r="70" spans="29:31" x14ac:dyDescent="0.45">
      <c r="AC70" t="s">
        <v>19</v>
      </c>
      <c r="AD70" t="s">
        <v>250</v>
      </c>
      <c r="AE70">
        <v>1.0603406156264008E-2</v>
      </c>
    </row>
    <row r="71" spans="29:31" x14ac:dyDescent="0.45">
      <c r="AC71" t="s">
        <v>19</v>
      </c>
      <c r="AD71" t="s">
        <v>251</v>
      </c>
      <c r="AE71">
        <v>7.4140561125890375E-2</v>
      </c>
    </row>
    <row r="72" spans="29:31" x14ac:dyDescent="0.45">
      <c r="AC72" t="s">
        <v>19</v>
      </c>
      <c r="AD72" t="s">
        <v>252</v>
      </c>
      <c r="AE72">
        <v>1.0591321673003137E-2</v>
      </c>
    </row>
    <row r="73" spans="29:31" x14ac:dyDescent="0.45">
      <c r="AC73" t="s">
        <v>19</v>
      </c>
      <c r="AD73" t="s">
        <v>253</v>
      </c>
      <c r="AE73">
        <v>1.0596062535943312E-2</v>
      </c>
    </row>
    <row r="74" spans="29:31" x14ac:dyDescent="0.45">
      <c r="AC74" t="s">
        <v>19</v>
      </c>
      <c r="AD74" t="s">
        <v>254</v>
      </c>
      <c r="AE74">
        <v>6.2996170224777284E-2</v>
      </c>
    </row>
    <row r="75" spans="29:31" x14ac:dyDescent="0.45">
      <c r="AC75" t="s">
        <v>19</v>
      </c>
      <c r="AD75" t="s">
        <v>328</v>
      </c>
      <c r="AE75">
        <v>8.2289097923920182E-2</v>
      </c>
    </row>
    <row r="76" spans="29:31" x14ac:dyDescent="0.45">
      <c r="AC76" t="s">
        <v>19</v>
      </c>
      <c r="AD76" t="s">
        <v>329</v>
      </c>
      <c r="AE76">
        <v>1.3907583993380317E-2</v>
      </c>
    </row>
    <row r="77" spans="29:31" x14ac:dyDescent="0.45">
      <c r="AC77" t="s">
        <v>19</v>
      </c>
      <c r="AD77" t="s">
        <v>330</v>
      </c>
      <c r="AE77">
        <v>1.398017173689777E-2</v>
      </c>
    </row>
    <row r="78" spans="29:31" x14ac:dyDescent="0.45">
      <c r="AC78" t="s">
        <v>19</v>
      </c>
      <c r="AD78" t="s">
        <v>331</v>
      </c>
      <c r="AE78">
        <v>1.4028075877044499E-2</v>
      </c>
    </row>
    <row r="79" spans="29:31" x14ac:dyDescent="0.45">
      <c r="AC79" t="s">
        <v>19</v>
      </c>
      <c r="AD79" t="s">
        <v>332</v>
      </c>
      <c r="AE79">
        <v>9.8240806462850994E-2</v>
      </c>
    </row>
    <row r="80" spans="29:31" x14ac:dyDescent="0.45">
      <c r="AC80" t="s">
        <v>19</v>
      </c>
      <c r="AD80" t="s">
        <v>333</v>
      </c>
      <c r="AE80">
        <v>1.4025923788534856E-2</v>
      </c>
    </row>
    <row r="81" spans="29:31" x14ac:dyDescent="0.45">
      <c r="AC81" t="s">
        <v>19</v>
      </c>
      <c r="AD81" t="s">
        <v>334</v>
      </c>
      <c r="AE81">
        <v>1.4024817528250176E-2</v>
      </c>
    </row>
    <row r="82" spans="29:31" x14ac:dyDescent="0.45">
      <c r="AC82" t="s">
        <v>19</v>
      </c>
      <c r="AD82" t="s">
        <v>335</v>
      </c>
      <c r="AE82">
        <v>8.3494069960061396E-2</v>
      </c>
    </row>
    <row r="83" spans="29:31" x14ac:dyDescent="0.45">
      <c r="AC83" t="s">
        <v>19</v>
      </c>
      <c r="AD83" t="s">
        <v>337</v>
      </c>
      <c r="AE83">
        <v>2.0915466787247622E-2</v>
      </c>
    </row>
    <row r="84" spans="29:31" x14ac:dyDescent="0.45">
      <c r="AC84" t="s">
        <v>19</v>
      </c>
      <c r="AD84" t="s">
        <v>338</v>
      </c>
      <c r="AE84">
        <v>3.5425036657276538E-3</v>
      </c>
    </row>
    <row r="85" spans="29:31" x14ac:dyDescent="0.45">
      <c r="AC85" t="s">
        <v>19</v>
      </c>
      <c r="AD85" t="s">
        <v>339</v>
      </c>
      <c r="AE85">
        <v>3.5614042745751909E-3</v>
      </c>
    </row>
    <row r="86" spans="29:31" x14ac:dyDescent="0.45">
      <c r="AC86" t="s">
        <v>19</v>
      </c>
      <c r="AD86" t="s">
        <v>340</v>
      </c>
      <c r="AE86">
        <v>3.5678517003081517E-3</v>
      </c>
    </row>
    <row r="87" spans="29:31" x14ac:dyDescent="0.45">
      <c r="AC87" t="s">
        <v>19</v>
      </c>
      <c r="AD87" t="s">
        <v>341</v>
      </c>
      <c r="AE87">
        <v>2.4950444486950562E-2</v>
      </c>
    </row>
    <row r="88" spans="29:31" x14ac:dyDescent="0.45">
      <c r="AC88" t="s">
        <v>19</v>
      </c>
      <c r="AD88" t="s">
        <v>342</v>
      </c>
      <c r="AE88">
        <v>3.5633445294286949E-3</v>
      </c>
    </row>
    <row r="89" spans="29:31" x14ac:dyDescent="0.45">
      <c r="AC89" t="s">
        <v>19</v>
      </c>
      <c r="AD89" t="s">
        <v>343</v>
      </c>
      <c r="AE89">
        <v>3.5657004154163235E-3</v>
      </c>
    </row>
    <row r="90" spans="29:31" x14ac:dyDescent="0.45">
      <c r="AC90" t="s">
        <v>19</v>
      </c>
      <c r="AD90" t="s">
        <v>344</v>
      </c>
      <c r="AE90">
        <v>2.1219325933900073E-2</v>
      </c>
    </row>
    <row r="91" spans="29:31" x14ac:dyDescent="0.45">
      <c r="AC91" t="s">
        <v>19</v>
      </c>
      <c r="AD91" t="s">
        <v>703</v>
      </c>
      <c r="AE91">
        <v>2.02168593004276E-2</v>
      </c>
    </row>
    <row r="92" spans="29:31" x14ac:dyDescent="0.45">
      <c r="AC92" t="s">
        <v>19</v>
      </c>
      <c r="AD92" t="s">
        <v>704</v>
      </c>
      <c r="AE92">
        <v>3.4304255771300525E-3</v>
      </c>
    </row>
    <row r="93" spans="29:31" x14ac:dyDescent="0.45">
      <c r="AC93" t="s">
        <v>19</v>
      </c>
      <c r="AD93" t="s">
        <v>705</v>
      </c>
      <c r="AE93">
        <v>3.4419059005173051E-3</v>
      </c>
    </row>
    <row r="94" spans="29:31" x14ac:dyDescent="0.45">
      <c r="AC94" t="s">
        <v>19</v>
      </c>
      <c r="AD94" t="s">
        <v>706</v>
      </c>
      <c r="AE94">
        <v>3.4534291370958998E-3</v>
      </c>
    </row>
    <row r="95" spans="29:31" x14ac:dyDescent="0.45">
      <c r="AC95" t="s">
        <v>19</v>
      </c>
      <c r="AD95" t="s">
        <v>707</v>
      </c>
      <c r="AE95">
        <v>2.4177154141507669E-2</v>
      </c>
    </row>
    <row r="96" spans="29:31" x14ac:dyDescent="0.45">
      <c r="AC96" t="s">
        <v>19</v>
      </c>
      <c r="AD96" t="s">
        <v>708</v>
      </c>
      <c r="AE96">
        <v>3.4587378363844373E-3</v>
      </c>
    </row>
    <row r="97" spans="29:31" x14ac:dyDescent="0.45">
      <c r="AC97" t="s">
        <v>19</v>
      </c>
      <c r="AD97" t="s">
        <v>709</v>
      </c>
      <c r="AE97">
        <v>3.4605294219420919E-3</v>
      </c>
    </row>
    <row r="98" spans="29:31" x14ac:dyDescent="0.45">
      <c r="AC98" t="s">
        <v>19</v>
      </c>
      <c r="AD98" t="s">
        <v>710</v>
      </c>
      <c r="AE98">
        <v>2.0570849412193257E-2</v>
      </c>
    </row>
    <row r="99" spans="29:31" x14ac:dyDescent="0.45">
      <c r="AC99" t="s">
        <v>19</v>
      </c>
      <c r="AD99" t="s">
        <v>735</v>
      </c>
      <c r="AE99">
        <v>2.0886124944902419E-2</v>
      </c>
    </row>
    <row r="100" spans="29:31" x14ac:dyDescent="0.45">
      <c r="AC100" t="s">
        <v>19</v>
      </c>
      <c r="AD100" t="s">
        <v>736</v>
      </c>
      <c r="AE100">
        <v>3.5533767775026348E-3</v>
      </c>
    </row>
    <row r="101" spans="29:31" x14ac:dyDescent="0.45">
      <c r="AC101" t="s">
        <v>19</v>
      </c>
      <c r="AD101" t="s">
        <v>737</v>
      </c>
      <c r="AE101">
        <v>3.5609515183070393E-3</v>
      </c>
    </row>
    <row r="102" spans="29:31" x14ac:dyDescent="0.45">
      <c r="AC102" t="s">
        <v>19</v>
      </c>
      <c r="AD102" t="s">
        <v>738</v>
      </c>
      <c r="AE102">
        <v>3.571774964491983E-3</v>
      </c>
    </row>
    <row r="103" spans="29:31" x14ac:dyDescent="0.45">
      <c r="AC103" t="s">
        <v>19</v>
      </c>
      <c r="AD103" t="s">
        <v>739</v>
      </c>
      <c r="AE103">
        <v>2.4996673258739058E-2</v>
      </c>
    </row>
    <row r="104" spans="29:31" x14ac:dyDescent="0.45">
      <c r="AC104" t="s">
        <v>19</v>
      </c>
      <c r="AD104" t="s">
        <v>740</v>
      </c>
      <c r="AE104">
        <v>3.5757184778357179E-3</v>
      </c>
    </row>
    <row r="105" spans="29:31" x14ac:dyDescent="0.45">
      <c r="AC105" t="s">
        <v>19</v>
      </c>
      <c r="AD105" t="s">
        <v>741</v>
      </c>
      <c r="AE105">
        <v>3.5767721815152713E-3</v>
      </c>
    </row>
    <row r="106" spans="29:31" x14ac:dyDescent="0.45">
      <c r="AC106" t="s">
        <v>19</v>
      </c>
      <c r="AD106" t="s">
        <v>742</v>
      </c>
      <c r="AE106">
        <v>2.1248640798795224E-2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AB0A-6327-4E5A-BD44-43FD19423D7A}">
  <dimension ref="A9:AM826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109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235</v>
      </c>
      <c r="L10" t="s">
        <v>30</v>
      </c>
      <c r="N10" t="s">
        <v>13</v>
      </c>
      <c r="O10" t="s">
        <v>134</v>
      </c>
      <c r="P10" t="s">
        <v>235</v>
      </c>
      <c r="Q10" t="s">
        <v>30</v>
      </c>
      <c r="S10" t="s">
        <v>13</v>
      </c>
      <c r="T10" t="s">
        <v>134</v>
      </c>
      <c r="U10" t="s">
        <v>235</v>
      </c>
      <c r="V10" t="s">
        <v>30</v>
      </c>
      <c r="X10" t="s">
        <v>348</v>
      </c>
      <c r="Y10" t="s">
        <v>235</v>
      </c>
      <c r="Z10" t="s">
        <v>134</v>
      </c>
      <c r="AA10" t="s">
        <v>13</v>
      </c>
      <c r="AC10" t="s">
        <v>13</v>
      </c>
      <c r="AD10" t="s">
        <v>134</v>
      </c>
      <c r="AE10" t="s">
        <v>235</v>
      </c>
      <c r="AG10" t="s">
        <v>13</v>
      </c>
      <c r="AH10" t="s">
        <v>134</v>
      </c>
      <c r="AI10" t="s">
        <v>354</v>
      </c>
      <c r="AK10" t="s">
        <v>134</v>
      </c>
      <c r="AL10" t="s">
        <v>355</v>
      </c>
      <c r="AM10" t="s">
        <v>356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1812</v>
      </c>
      <c r="F11" t="s">
        <v>359</v>
      </c>
      <c r="G11" t="s">
        <v>149</v>
      </c>
      <c r="I11" t="s">
        <v>236</v>
      </c>
      <c r="J11" t="s">
        <v>237</v>
      </c>
      <c r="K11">
        <v>0</v>
      </c>
      <c r="L11" t="s">
        <v>238</v>
      </c>
      <c r="N11" t="s">
        <v>346</v>
      </c>
      <c r="O11" t="s">
        <v>237</v>
      </c>
      <c r="P11">
        <v>4.2400541138019908E-2</v>
      </c>
      <c r="Q11" t="s">
        <v>238</v>
      </c>
      <c r="S11" t="s">
        <v>347</v>
      </c>
      <c r="T11" t="s">
        <v>237</v>
      </c>
      <c r="U11">
        <v>4.1175573463018367E-2</v>
      </c>
      <c r="V11" t="s">
        <v>238</v>
      </c>
      <c r="X11">
        <v>3.9041095890410958E-2</v>
      </c>
      <c r="Y11">
        <v>8.3514407179971668E-3</v>
      </c>
      <c r="Z11" t="s">
        <v>237</v>
      </c>
      <c r="AA11" t="s">
        <v>25</v>
      </c>
      <c r="AC11" t="s">
        <v>22</v>
      </c>
      <c r="AD11" t="s">
        <v>237</v>
      </c>
      <c r="AE11">
        <v>3.4981776756942161E-2</v>
      </c>
      <c r="AG11" t="s">
        <v>97</v>
      </c>
      <c r="AH11" t="s">
        <v>237</v>
      </c>
      <c r="AI11">
        <v>0.20864314602791634</v>
      </c>
      <c r="AK11" t="s">
        <v>145</v>
      </c>
      <c r="AL11">
        <v>0.18244762256583461</v>
      </c>
      <c r="AM11" t="s">
        <v>357</v>
      </c>
    </row>
    <row r="12" spans="1:39" x14ac:dyDescent="0.45">
      <c r="C12" t="s">
        <v>150</v>
      </c>
      <c r="D12" t="s">
        <v>149</v>
      </c>
      <c r="E12" t="s">
        <v>1813</v>
      </c>
      <c r="F12" t="s">
        <v>145</v>
      </c>
      <c r="G12" t="s">
        <v>149</v>
      </c>
      <c r="I12" t="s">
        <v>236</v>
      </c>
      <c r="J12" t="s">
        <v>239</v>
      </c>
      <c r="K12">
        <v>0</v>
      </c>
      <c r="L12" t="s">
        <v>238</v>
      </c>
      <c r="N12" t="s">
        <v>346</v>
      </c>
      <c r="O12" t="s">
        <v>239</v>
      </c>
      <c r="P12">
        <v>7.1942427705007674E-3</v>
      </c>
      <c r="Q12" t="s">
        <v>238</v>
      </c>
      <c r="S12" t="s">
        <v>347</v>
      </c>
      <c r="T12" t="s">
        <v>239</v>
      </c>
      <c r="U12">
        <v>6.7908955505041578E-3</v>
      </c>
      <c r="V12" t="s">
        <v>238</v>
      </c>
      <c r="X12">
        <v>6.5068493150684933E-3</v>
      </c>
      <c r="Y12">
        <v>9.6362777515351921E-3</v>
      </c>
      <c r="Z12" t="s">
        <v>239</v>
      </c>
      <c r="AA12" t="s">
        <v>25</v>
      </c>
      <c r="AC12" t="s">
        <v>22</v>
      </c>
      <c r="AD12" t="s">
        <v>239</v>
      </c>
      <c r="AE12">
        <v>8.2516422520326465E-3</v>
      </c>
      <c r="AG12" t="s">
        <v>97</v>
      </c>
      <c r="AH12" t="s">
        <v>239</v>
      </c>
      <c r="AI12">
        <v>8.5255587067302852E-2</v>
      </c>
      <c r="AK12" t="s">
        <v>155</v>
      </c>
      <c r="AL12">
        <v>9.0812180062272416E-2</v>
      </c>
      <c r="AM12" t="s">
        <v>357</v>
      </c>
    </row>
    <row r="13" spans="1:39" x14ac:dyDescent="0.45">
      <c r="C13" t="s">
        <v>152</v>
      </c>
      <c r="D13" t="s">
        <v>153</v>
      </c>
      <c r="E13" t="s">
        <v>1814</v>
      </c>
      <c r="F13" t="s">
        <v>145</v>
      </c>
      <c r="G13" t="s">
        <v>149</v>
      </c>
      <c r="I13" t="s">
        <v>236</v>
      </c>
      <c r="J13" t="s">
        <v>240</v>
      </c>
      <c r="K13">
        <v>2.1283100409942801E-4</v>
      </c>
      <c r="L13" t="s">
        <v>238</v>
      </c>
      <c r="N13" t="s">
        <v>346</v>
      </c>
      <c r="O13" t="s">
        <v>240</v>
      </c>
      <c r="P13">
        <v>7.2018937665760969E-3</v>
      </c>
      <c r="Q13" t="s">
        <v>238</v>
      </c>
      <c r="S13" t="s">
        <v>347</v>
      </c>
      <c r="T13" t="s">
        <v>240</v>
      </c>
      <c r="U13">
        <v>6.7909639145531629E-3</v>
      </c>
      <c r="V13" t="s">
        <v>238</v>
      </c>
      <c r="X13">
        <v>6.5068493150684933E-3</v>
      </c>
      <c r="Y13">
        <v>1.0864430798299482E-2</v>
      </c>
      <c r="Z13" t="s">
        <v>240</v>
      </c>
      <c r="AA13" t="s">
        <v>25</v>
      </c>
      <c r="AC13" t="s">
        <v>22</v>
      </c>
      <c r="AD13" t="s">
        <v>240</v>
      </c>
      <c r="AE13">
        <v>8.6562161116331797E-3</v>
      </c>
      <c r="AG13" t="s">
        <v>97</v>
      </c>
      <c r="AH13" t="s">
        <v>240</v>
      </c>
      <c r="AI13">
        <v>8.6109540444451182E-2</v>
      </c>
      <c r="AK13" t="s">
        <v>150</v>
      </c>
      <c r="AL13">
        <v>0.32525199218956147</v>
      </c>
      <c r="AM13" t="s">
        <v>357</v>
      </c>
    </row>
    <row r="14" spans="1:39" x14ac:dyDescent="0.45">
      <c r="C14" t="s">
        <v>155</v>
      </c>
      <c r="D14" t="s">
        <v>156</v>
      </c>
      <c r="E14" t="s">
        <v>1815</v>
      </c>
      <c r="F14" t="s">
        <v>150</v>
      </c>
      <c r="G14" t="s">
        <v>149</v>
      </c>
      <c r="I14" t="s">
        <v>236</v>
      </c>
      <c r="J14" t="s">
        <v>241</v>
      </c>
      <c r="K14">
        <v>2.4349797393544278E-3</v>
      </c>
      <c r="L14" t="s">
        <v>238</v>
      </c>
      <c r="N14" t="s">
        <v>346</v>
      </c>
      <c r="O14" t="s">
        <v>241</v>
      </c>
      <c r="P14">
        <v>7.1485543623242206E-3</v>
      </c>
      <c r="Q14" t="s">
        <v>238</v>
      </c>
      <c r="S14" t="s">
        <v>347</v>
      </c>
      <c r="T14" t="s">
        <v>241</v>
      </c>
      <c r="U14">
        <v>6.8325885283943644E-3</v>
      </c>
      <c r="V14" t="s">
        <v>238</v>
      </c>
      <c r="X14">
        <v>6.5068493150684933E-3</v>
      </c>
      <c r="Y14">
        <v>8.3136513934813448E-3</v>
      </c>
      <c r="Z14" t="s">
        <v>241</v>
      </c>
      <c r="AA14" t="s">
        <v>25</v>
      </c>
      <c r="AC14" t="s">
        <v>22</v>
      </c>
      <c r="AD14" t="s">
        <v>241</v>
      </c>
      <c r="AE14">
        <v>8.9956826724676767E-3</v>
      </c>
      <c r="AG14" t="s">
        <v>97</v>
      </c>
      <c r="AH14" t="s">
        <v>241</v>
      </c>
      <c r="AI14">
        <v>8.1198983667010616E-2</v>
      </c>
      <c r="AK14" t="s">
        <v>366</v>
      </c>
      <c r="AL14">
        <v>8.4099424771755776E-2</v>
      </c>
      <c r="AM14" t="s">
        <v>357</v>
      </c>
    </row>
    <row r="15" spans="1:39" x14ac:dyDescent="0.45">
      <c r="C15" t="s">
        <v>363</v>
      </c>
      <c r="D15" t="s">
        <v>364</v>
      </c>
      <c r="E15" t="s">
        <v>1816</v>
      </c>
      <c r="F15" t="s">
        <v>150</v>
      </c>
      <c r="G15" t="s">
        <v>149</v>
      </c>
      <c r="I15" t="s">
        <v>236</v>
      </c>
      <c r="J15" t="s">
        <v>242</v>
      </c>
      <c r="K15">
        <v>6.0682640092769101E-2</v>
      </c>
      <c r="L15" t="s">
        <v>238</v>
      </c>
      <c r="N15" t="s">
        <v>346</v>
      </c>
      <c r="O15" t="s">
        <v>242</v>
      </c>
      <c r="P15">
        <v>4.8173154525646689E-2</v>
      </c>
      <c r="Q15" t="s">
        <v>238</v>
      </c>
      <c r="S15" t="s">
        <v>347</v>
      </c>
      <c r="T15" t="s">
        <v>242</v>
      </c>
      <c r="U15">
        <v>4.7575816300961221E-2</v>
      </c>
      <c r="V15" t="s">
        <v>238</v>
      </c>
      <c r="X15">
        <v>4.5547945205479452E-2</v>
      </c>
      <c r="Y15">
        <v>5.9291450165328302E-2</v>
      </c>
      <c r="Z15" t="s">
        <v>242</v>
      </c>
      <c r="AA15" t="s">
        <v>25</v>
      </c>
      <c r="AC15" t="s">
        <v>22</v>
      </c>
      <c r="AD15" t="s">
        <v>242</v>
      </c>
      <c r="AE15">
        <v>6.3510379957798249E-2</v>
      </c>
      <c r="AG15" t="s">
        <v>97</v>
      </c>
      <c r="AH15" t="s">
        <v>242</v>
      </c>
      <c r="AI15">
        <v>8.623539522042023E-2</v>
      </c>
      <c r="AK15" t="s">
        <v>363</v>
      </c>
      <c r="AL15">
        <v>7.4790226397171367E-2</v>
      </c>
      <c r="AM15" t="s">
        <v>357</v>
      </c>
    </row>
    <row r="16" spans="1:39" x14ac:dyDescent="0.45">
      <c r="C16" t="s">
        <v>366</v>
      </c>
      <c r="D16" t="s">
        <v>367</v>
      </c>
      <c r="E16" t="s">
        <v>1817</v>
      </c>
      <c r="F16" t="s">
        <v>150</v>
      </c>
      <c r="G16" t="s">
        <v>149</v>
      </c>
      <c r="I16" t="s">
        <v>236</v>
      </c>
      <c r="J16" t="s">
        <v>243</v>
      </c>
      <c r="K16">
        <v>4.780379511633682E-3</v>
      </c>
      <c r="L16" t="s">
        <v>238</v>
      </c>
      <c r="N16" t="s">
        <v>346</v>
      </c>
      <c r="O16" t="s">
        <v>243</v>
      </c>
      <c r="P16">
        <v>6.832455186469473E-3</v>
      </c>
      <c r="Q16" t="s">
        <v>238</v>
      </c>
      <c r="S16" t="s">
        <v>347</v>
      </c>
      <c r="T16" t="s">
        <v>243</v>
      </c>
      <c r="U16">
        <v>6.8751159830600138E-3</v>
      </c>
      <c r="V16" t="s">
        <v>238</v>
      </c>
      <c r="X16">
        <v>6.5068493150684933E-3</v>
      </c>
      <c r="Y16">
        <v>1.2659423712801134E-2</v>
      </c>
      <c r="Z16" t="s">
        <v>243</v>
      </c>
      <c r="AA16" t="s">
        <v>25</v>
      </c>
      <c r="AC16" t="s">
        <v>22</v>
      </c>
      <c r="AD16" t="s">
        <v>243</v>
      </c>
      <c r="AE16">
        <v>9.2977501562914178E-3</v>
      </c>
      <c r="AG16" t="s">
        <v>97</v>
      </c>
      <c r="AH16" t="s">
        <v>243</v>
      </c>
      <c r="AI16">
        <v>7.9659915054754116E-2</v>
      </c>
      <c r="AK16" t="s">
        <v>152</v>
      </c>
      <c r="AL16">
        <v>0.44259855401340437</v>
      </c>
      <c r="AM16" t="s">
        <v>357</v>
      </c>
    </row>
    <row r="17" spans="4:35" x14ac:dyDescent="0.45">
      <c r="D17" t="s">
        <v>369</v>
      </c>
      <c r="E17" t="s">
        <v>1818</v>
      </c>
      <c r="F17" t="s">
        <v>150</v>
      </c>
      <c r="G17" t="s">
        <v>149</v>
      </c>
      <c r="I17" t="s">
        <v>236</v>
      </c>
      <c r="J17" t="s">
        <v>244</v>
      </c>
      <c r="K17">
        <v>1.7858553812785194E-3</v>
      </c>
      <c r="L17" t="s">
        <v>238</v>
      </c>
      <c r="N17" t="s">
        <v>346</v>
      </c>
      <c r="O17" t="s">
        <v>244</v>
      </c>
      <c r="P17">
        <v>6.9557767660604723E-3</v>
      </c>
      <c r="Q17" t="s">
        <v>238</v>
      </c>
      <c r="S17" t="s">
        <v>347</v>
      </c>
      <c r="T17" t="s">
        <v>244</v>
      </c>
      <c r="U17">
        <v>6.9835144485696924E-3</v>
      </c>
      <c r="V17" t="s">
        <v>238</v>
      </c>
      <c r="X17">
        <v>6.5068493150684933E-3</v>
      </c>
      <c r="Y17">
        <v>1.2659423712801134E-2</v>
      </c>
      <c r="Z17" t="s">
        <v>244</v>
      </c>
      <c r="AA17" t="s">
        <v>25</v>
      </c>
      <c r="AC17" t="s">
        <v>22</v>
      </c>
      <c r="AD17" t="s">
        <v>244</v>
      </c>
      <c r="AE17">
        <v>9.3415295479424183E-3</v>
      </c>
      <c r="AG17" t="s">
        <v>97</v>
      </c>
      <c r="AH17" t="s">
        <v>244</v>
      </c>
      <c r="AI17">
        <v>8.0599580494614464E-2</v>
      </c>
    </row>
    <row r="18" spans="4:35" x14ac:dyDescent="0.45">
      <c r="D18" t="s">
        <v>371</v>
      </c>
      <c r="E18" t="s">
        <v>1819</v>
      </c>
      <c r="F18" t="s">
        <v>150</v>
      </c>
      <c r="G18" t="s">
        <v>149</v>
      </c>
      <c r="I18" t="s">
        <v>236</v>
      </c>
      <c r="J18" t="s">
        <v>245</v>
      </c>
      <c r="K18">
        <v>1.260548737735539E-4</v>
      </c>
      <c r="L18" t="s">
        <v>238</v>
      </c>
      <c r="N18" t="s">
        <v>346</v>
      </c>
      <c r="O18" t="s">
        <v>245</v>
      </c>
      <c r="P18">
        <v>4.2287395099047456E-2</v>
      </c>
      <c r="Q18" t="s">
        <v>238</v>
      </c>
      <c r="S18" t="s">
        <v>347</v>
      </c>
      <c r="T18" t="s">
        <v>245</v>
      </c>
      <c r="U18">
        <v>4.1292897846425855E-2</v>
      </c>
      <c r="V18" t="s">
        <v>238</v>
      </c>
      <c r="X18">
        <v>3.9041095890410958E-2</v>
      </c>
      <c r="Y18">
        <v>3.43882853094001E-2</v>
      </c>
      <c r="Z18" t="s">
        <v>245</v>
      </c>
      <c r="AA18" t="s">
        <v>25</v>
      </c>
      <c r="AC18" t="s">
        <v>22</v>
      </c>
      <c r="AD18" t="s">
        <v>245</v>
      </c>
      <c r="AE18">
        <v>4.8520225437221058E-2</v>
      </c>
      <c r="AG18" t="s">
        <v>97</v>
      </c>
      <c r="AH18" t="s">
        <v>245</v>
      </c>
      <c r="AI18">
        <v>0.18304984156694148</v>
      </c>
    </row>
    <row r="19" spans="4:35" x14ac:dyDescent="0.45">
      <c r="D19" t="s">
        <v>373</v>
      </c>
      <c r="E19" t="s">
        <v>1820</v>
      </c>
      <c r="F19" t="s">
        <v>150</v>
      </c>
      <c r="G19" t="s">
        <v>149</v>
      </c>
      <c r="I19" t="s">
        <v>236</v>
      </c>
      <c r="J19" t="s">
        <v>1938</v>
      </c>
      <c r="K19">
        <v>0</v>
      </c>
      <c r="L19" t="s">
        <v>238</v>
      </c>
      <c r="N19" t="s">
        <v>346</v>
      </c>
      <c r="O19" t="s">
        <v>1938</v>
      </c>
      <c r="P19">
        <v>2.2975112997077691E-5</v>
      </c>
      <c r="Q19" t="s">
        <v>238</v>
      </c>
      <c r="S19" t="s">
        <v>347</v>
      </c>
      <c r="T19" t="s">
        <v>1938</v>
      </c>
      <c r="U19">
        <v>2.5401947705553576E-5</v>
      </c>
      <c r="V19" t="s">
        <v>238</v>
      </c>
      <c r="X19">
        <v>1.1415525114155251E-4</v>
      </c>
      <c r="Y19">
        <v>2.1546544680075254E-5</v>
      </c>
      <c r="Z19" t="s">
        <v>1938</v>
      </c>
      <c r="AA19" t="s">
        <v>25</v>
      </c>
      <c r="AC19" t="s">
        <v>22</v>
      </c>
      <c r="AD19" t="s">
        <v>1938</v>
      </c>
      <c r="AE19">
        <v>9.2709630336976526E-5</v>
      </c>
      <c r="AG19" t="s">
        <v>97</v>
      </c>
      <c r="AH19" t="s">
        <v>1938</v>
      </c>
      <c r="AI19">
        <v>0</v>
      </c>
    </row>
    <row r="20" spans="4:35" x14ac:dyDescent="0.45">
      <c r="D20" t="s">
        <v>375</v>
      </c>
      <c r="E20" t="s">
        <v>1821</v>
      </c>
      <c r="F20" t="s">
        <v>152</v>
      </c>
      <c r="G20" t="s">
        <v>149</v>
      </c>
      <c r="I20" t="s">
        <v>236</v>
      </c>
      <c r="J20" t="s">
        <v>1939</v>
      </c>
      <c r="K20">
        <v>0</v>
      </c>
      <c r="L20" t="s">
        <v>238</v>
      </c>
      <c r="N20" t="s">
        <v>346</v>
      </c>
      <c r="O20" t="s">
        <v>1939</v>
      </c>
      <c r="P20">
        <v>2.0001573095518751E-5</v>
      </c>
      <c r="Q20" t="s">
        <v>238</v>
      </c>
      <c r="S20" t="s">
        <v>347</v>
      </c>
      <c r="T20" t="s">
        <v>1939</v>
      </c>
      <c r="U20">
        <v>1.842532652075491E-5</v>
      </c>
      <c r="V20" t="s">
        <v>238</v>
      </c>
      <c r="X20">
        <v>1.1415525114155251E-4</v>
      </c>
      <c r="Y20">
        <v>1.4916838624667481E-5</v>
      </c>
      <c r="Z20" t="s">
        <v>1939</v>
      </c>
      <c r="AA20" t="s">
        <v>25</v>
      </c>
      <c r="AC20" t="s">
        <v>22</v>
      </c>
      <c r="AD20" t="s">
        <v>1939</v>
      </c>
      <c r="AE20">
        <v>8.8507680084235629E-5</v>
      </c>
      <c r="AG20" t="s">
        <v>97</v>
      </c>
      <c r="AH20" t="s">
        <v>1939</v>
      </c>
      <c r="AI20">
        <v>0</v>
      </c>
    </row>
    <row r="21" spans="4:35" x14ac:dyDescent="0.45">
      <c r="D21" t="s">
        <v>1822</v>
      </c>
      <c r="E21" t="s">
        <v>1823</v>
      </c>
      <c r="F21" t="s">
        <v>152</v>
      </c>
      <c r="G21" t="s">
        <v>149</v>
      </c>
      <c r="I21" t="s">
        <v>236</v>
      </c>
      <c r="J21" t="s">
        <v>1940</v>
      </c>
      <c r="K21">
        <v>0</v>
      </c>
      <c r="L21" t="s">
        <v>238</v>
      </c>
      <c r="N21" t="s">
        <v>346</v>
      </c>
      <c r="O21" t="s">
        <v>1940</v>
      </c>
      <c r="P21">
        <v>1.525100349735321E-5</v>
      </c>
      <c r="Q21" t="s">
        <v>238</v>
      </c>
      <c r="S21" t="s">
        <v>347</v>
      </c>
      <c r="T21" t="s">
        <v>1940</v>
      </c>
      <c r="U21">
        <v>1.3733090057068608E-5</v>
      </c>
      <c r="V21" t="s">
        <v>238</v>
      </c>
      <c r="X21">
        <v>1.1415525114155251E-4</v>
      </c>
      <c r="Y21">
        <v>1.6574265138519424E-5</v>
      </c>
      <c r="Z21" t="s">
        <v>1940</v>
      </c>
      <c r="AA21" t="s">
        <v>25</v>
      </c>
      <c r="AC21" t="s">
        <v>22</v>
      </c>
      <c r="AD21" t="s">
        <v>1940</v>
      </c>
      <c r="AE21">
        <v>8.8218186922211855E-5</v>
      </c>
      <c r="AG21" t="s">
        <v>97</v>
      </c>
      <c r="AH21" t="s">
        <v>1940</v>
      </c>
      <c r="AI21">
        <v>0</v>
      </c>
    </row>
    <row r="22" spans="4:35" x14ac:dyDescent="0.45">
      <c r="D22" t="s">
        <v>1824</v>
      </c>
      <c r="E22" t="s">
        <v>1825</v>
      </c>
      <c r="F22" t="s">
        <v>152</v>
      </c>
      <c r="G22" t="s">
        <v>149</v>
      </c>
      <c r="I22" t="s">
        <v>236</v>
      </c>
      <c r="J22" t="s">
        <v>1941</v>
      </c>
      <c r="K22">
        <v>0</v>
      </c>
      <c r="L22" t="s">
        <v>238</v>
      </c>
      <c r="N22" t="s">
        <v>346</v>
      </c>
      <c r="O22" t="s">
        <v>1941</v>
      </c>
      <c r="P22">
        <v>1.409323635973758E-5</v>
      </c>
      <c r="Q22" t="s">
        <v>238</v>
      </c>
      <c r="S22" t="s">
        <v>347</v>
      </c>
      <c r="T22" t="s">
        <v>1941</v>
      </c>
      <c r="U22">
        <v>1.4820297766746477E-5</v>
      </c>
      <c r="V22" t="s">
        <v>238</v>
      </c>
      <c r="X22">
        <v>1.1415525114155251E-4</v>
      </c>
      <c r="Y22">
        <v>1.4585353321897093E-5</v>
      </c>
      <c r="Z22" t="s">
        <v>1941</v>
      </c>
      <c r="AA22" t="s">
        <v>25</v>
      </c>
      <c r="AC22" t="s">
        <v>22</v>
      </c>
      <c r="AD22" t="s">
        <v>1941</v>
      </c>
      <c r="AE22">
        <v>8.851914515995934E-5</v>
      </c>
      <c r="AG22" t="s">
        <v>97</v>
      </c>
      <c r="AH22" t="s">
        <v>1941</v>
      </c>
      <c r="AI22">
        <v>0</v>
      </c>
    </row>
    <row r="23" spans="4:35" x14ac:dyDescent="0.45">
      <c r="D23" t="s">
        <v>1826</v>
      </c>
      <c r="E23" t="s">
        <v>1827</v>
      </c>
      <c r="F23" t="s">
        <v>152</v>
      </c>
      <c r="G23" t="s">
        <v>149</v>
      </c>
      <c r="I23" t="s">
        <v>236</v>
      </c>
      <c r="J23" t="s">
        <v>1942</v>
      </c>
      <c r="K23">
        <v>0</v>
      </c>
      <c r="L23" t="s">
        <v>238</v>
      </c>
      <c r="N23" t="s">
        <v>346</v>
      </c>
      <c r="O23" t="s">
        <v>1942</v>
      </c>
      <c r="P23">
        <v>1.4221149796995447E-5</v>
      </c>
      <c r="Q23" t="s">
        <v>238</v>
      </c>
      <c r="S23" t="s">
        <v>347</v>
      </c>
      <c r="T23" t="s">
        <v>1942</v>
      </c>
      <c r="U23">
        <v>1.2930459091520704E-5</v>
      </c>
      <c r="V23" t="s">
        <v>238</v>
      </c>
      <c r="X23">
        <v>1.1415525114155251E-4</v>
      </c>
      <c r="Y23">
        <v>2.1215059377304864E-5</v>
      </c>
      <c r="Z23" t="s">
        <v>1942</v>
      </c>
      <c r="AA23" t="s">
        <v>25</v>
      </c>
      <c r="AC23" t="s">
        <v>22</v>
      </c>
      <c r="AD23" t="s">
        <v>1942</v>
      </c>
      <c r="AE23">
        <v>9.7006167464438095E-5</v>
      </c>
      <c r="AG23" t="s">
        <v>97</v>
      </c>
      <c r="AH23" t="s">
        <v>1942</v>
      </c>
      <c r="AI23">
        <v>0</v>
      </c>
    </row>
    <row r="24" spans="4:35" x14ac:dyDescent="0.45">
      <c r="D24" t="s">
        <v>1828</v>
      </c>
      <c r="E24" t="s">
        <v>1829</v>
      </c>
      <c r="F24" t="s">
        <v>155</v>
      </c>
      <c r="G24" t="s">
        <v>149</v>
      </c>
      <c r="I24" t="s">
        <v>236</v>
      </c>
      <c r="J24" t="s">
        <v>1943</v>
      </c>
      <c r="K24">
        <v>0</v>
      </c>
      <c r="L24" t="s">
        <v>238</v>
      </c>
      <c r="N24" t="s">
        <v>346</v>
      </c>
      <c r="O24" t="s">
        <v>1943</v>
      </c>
      <c r="P24">
        <v>1.1219615443426831E-5</v>
      </c>
      <c r="Q24" t="s">
        <v>238</v>
      </c>
      <c r="S24" t="s">
        <v>347</v>
      </c>
      <c r="T24" t="s">
        <v>1943</v>
      </c>
      <c r="U24">
        <v>9.4417727610143832E-6</v>
      </c>
      <c r="V24" t="s">
        <v>238</v>
      </c>
      <c r="X24">
        <v>1.1415525114155251E-4</v>
      </c>
      <c r="Y24">
        <v>5.7678442682047593E-5</v>
      </c>
      <c r="Z24" t="s">
        <v>1943</v>
      </c>
      <c r="AA24" t="s">
        <v>25</v>
      </c>
      <c r="AC24" t="s">
        <v>22</v>
      </c>
      <c r="AD24" t="s">
        <v>1943</v>
      </c>
      <c r="AE24">
        <v>1.2591535590178113E-4</v>
      </c>
      <c r="AG24" t="s">
        <v>97</v>
      </c>
      <c r="AH24" t="s">
        <v>1943</v>
      </c>
      <c r="AI24">
        <v>0</v>
      </c>
    </row>
    <row r="25" spans="4:35" x14ac:dyDescent="0.45">
      <c r="D25" t="s">
        <v>1830</v>
      </c>
      <c r="E25" t="s">
        <v>1831</v>
      </c>
      <c r="F25" t="s">
        <v>363</v>
      </c>
      <c r="G25" t="s">
        <v>149</v>
      </c>
      <c r="I25" t="s">
        <v>236</v>
      </c>
      <c r="J25" t="s">
        <v>1944</v>
      </c>
      <c r="K25">
        <v>0</v>
      </c>
      <c r="L25" t="s">
        <v>238</v>
      </c>
      <c r="N25" t="s">
        <v>346</v>
      </c>
      <c r="O25" t="s">
        <v>1944</v>
      </c>
      <c r="P25">
        <v>9.243382007748528E-6</v>
      </c>
      <c r="Q25" t="s">
        <v>238</v>
      </c>
      <c r="S25" t="s">
        <v>347</v>
      </c>
      <c r="T25" t="s">
        <v>1944</v>
      </c>
      <c r="U25">
        <v>1.1367383662243844E-5</v>
      </c>
      <c r="V25" t="s">
        <v>238</v>
      </c>
      <c r="X25">
        <v>1.1415525114155251E-4</v>
      </c>
      <c r="Y25">
        <v>1.6905750441289813E-4</v>
      </c>
      <c r="Z25" t="s">
        <v>1944</v>
      </c>
      <c r="AA25" t="s">
        <v>25</v>
      </c>
      <c r="AC25" t="s">
        <v>22</v>
      </c>
      <c r="AD25" t="s">
        <v>1944</v>
      </c>
      <c r="AE25">
        <v>1.5180063061699477E-4</v>
      </c>
      <c r="AG25" t="s">
        <v>97</v>
      </c>
      <c r="AH25" t="s">
        <v>1944</v>
      </c>
      <c r="AI25">
        <v>0</v>
      </c>
    </row>
    <row r="26" spans="4:35" x14ac:dyDescent="0.45">
      <c r="D26" t="s">
        <v>1832</v>
      </c>
      <c r="E26" t="s">
        <v>1833</v>
      </c>
      <c r="F26" t="s">
        <v>363</v>
      </c>
      <c r="G26" t="s">
        <v>149</v>
      </c>
      <c r="I26" t="s">
        <v>236</v>
      </c>
      <c r="J26" t="s">
        <v>1945</v>
      </c>
      <c r="K26">
        <v>0</v>
      </c>
      <c r="L26" t="s">
        <v>238</v>
      </c>
      <c r="N26" t="s">
        <v>346</v>
      </c>
      <c r="O26" t="s">
        <v>1945</v>
      </c>
      <c r="P26">
        <v>1.0675746015551502E-5</v>
      </c>
      <c r="Q26" t="s">
        <v>238</v>
      </c>
      <c r="S26" t="s">
        <v>347</v>
      </c>
      <c r="T26" t="s">
        <v>1945</v>
      </c>
      <c r="U26">
        <v>1.4787405810118955E-5</v>
      </c>
      <c r="V26" t="s">
        <v>238</v>
      </c>
      <c r="X26">
        <v>1.1415525114155251E-4</v>
      </c>
      <c r="Y26">
        <v>1.9060404909297337E-4</v>
      </c>
      <c r="Z26" t="s">
        <v>1945</v>
      </c>
      <c r="AA26" t="s">
        <v>25</v>
      </c>
      <c r="AC26" t="s">
        <v>22</v>
      </c>
      <c r="AD26" t="s">
        <v>1945</v>
      </c>
      <c r="AE26">
        <v>1.6318258454171112E-4</v>
      </c>
      <c r="AG26" t="s">
        <v>97</v>
      </c>
      <c r="AH26" t="s">
        <v>1945</v>
      </c>
      <c r="AI26">
        <v>0</v>
      </c>
    </row>
    <row r="27" spans="4:35" x14ac:dyDescent="0.45">
      <c r="E27" t="s">
        <v>1834</v>
      </c>
      <c r="G27" t="s">
        <v>149</v>
      </c>
      <c r="I27" t="s">
        <v>236</v>
      </c>
      <c r="J27" t="s">
        <v>1946</v>
      </c>
      <c r="K27">
        <v>5.1889216195573504E-6</v>
      </c>
      <c r="L27" t="s">
        <v>238</v>
      </c>
      <c r="N27" t="s">
        <v>346</v>
      </c>
      <c r="O27" t="s">
        <v>1946</v>
      </c>
      <c r="P27">
        <v>1.1243054698517063E-5</v>
      </c>
      <c r="Q27" t="s">
        <v>238</v>
      </c>
      <c r="S27" t="s">
        <v>347</v>
      </c>
      <c r="T27" t="s">
        <v>1946</v>
      </c>
      <c r="U27">
        <v>1.6629624834249133E-5</v>
      </c>
      <c r="V27" t="s">
        <v>238</v>
      </c>
      <c r="X27">
        <v>1.1415525114155251E-4</v>
      </c>
      <c r="Y27">
        <v>1.4585353321897094E-4</v>
      </c>
      <c r="Z27" t="s">
        <v>1946</v>
      </c>
      <c r="AA27" t="s">
        <v>25</v>
      </c>
      <c r="AC27" t="s">
        <v>22</v>
      </c>
      <c r="AD27" t="s">
        <v>1946</v>
      </c>
      <c r="AE27">
        <v>1.6554725640972699E-4</v>
      </c>
      <c r="AG27" t="s">
        <v>97</v>
      </c>
      <c r="AH27" t="s">
        <v>1946</v>
      </c>
      <c r="AI27">
        <v>0</v>
      </c>
    </row>
    <row r="28" spans="4:35" x14ac:dyDescent="0.45">
      <c r="E28" t="s">
        <v>1835</v>
      </c>
      <c r="G28" t="s">
        <v>149</v>
      </c>
      <c r="I28" t="s">
        <v>236</v>
      </c>
      <c r="J28" t="s">
        <v>1947</v>
      </c>
      <c r="K28">
        <v>1.660514926702927E-5</v>
      </c>
      <c r="L28" t="s">
        <v>238</v>
      </c>
      <c r="N28" t="s">
        <v>346</v>
      </c>
      <c r="O28" t="s">
        <v>1947</v>
      </c>
      <c r="P28">
        <v>1.3246016414786224E-5</v>
      </c>
      <c r="Q28" t="s">
        <v>238</v>
      </c>
      <c r="S28" t="s">
        <v>347</v>
      </c>
      <c r="T28" t="s">
        <v>1947</v>
      </c>
      <c r="U28">
        <v>2.1775783145791795E-5</v>
      </c>
      <c r="V28" t="s">
        <v>238</v>
      </c>
      <c r="X28">
        <v>1.1415525114155251E-4</v>
      </c>
      <c r="Y28">
        <v>1.4452759200788939E-4</v>
      </c>
      <c r="Z28" t="s">
        <v>1947</v>
      </c>
      <c r="AA28" t="s">
        <v>25</v>
      </c>
      <c r="AC28" t="s">
        <v>22</v>
      </c>
      <c r="AD28" t="s">
        <v>1947</v>
      </c>
      <c r="AE28">
        <v>1.6518897279336095E-4</v>
      </c>
      <c r="AG28" t="s">
        <v>97</v>
      </c>
      <c r="AH28" t="s">
        <v>1947</v>
      </c>
      <c r="AI28">
        <v>0</v>
      </c>
    </row>
    <row r="29" spans="4:35" x14ac:dyDescent="0.45">
      <c r="E29" t="s">
        <v>1836</v>
      </c>
      <c r="G29" t="s">
        <v>149</v>
      </c>
      <c r="I29" t="s">
        <v>236</v>
      </c>
      <c r="J29" t="s">
        <v>1948</v>
      </c>
      <c r="K29">
        <v>3.7670821350103731E-5</v>
      </c>
      <c r="L29" t="s">
        <v>238</v>
      </c>
      <c r="N29" t="s">
        <v>346</v>
      </c>
      <c r="O29" t="s">
        <v>1948</v>
      </c>
      <c r="P29">
        <v>1.0119192285070396E-5</v>
      </c>
      <c r="Q29" t="s">
        <v>238</v>
      </c>
      <c r="S29" t="s">
        <v>347</v>
      </c>
      <c r="T29" t="s">
        <v>1948</v>
      </c>
      <c r="U29">
        <v>1.7313952993559472E-5</v>
      </c>
      <c r="V29" t="s">
        <v>238</v>
      </c>
      <c r="X29">
        <v>1.1415525114155251E-4</v>
      </c>
      <c r="Y29">
        <v>1.408812536774151E-4</v>
      </c>
      <c r="Z29" t="s">
        <v>1948</v>
      </c>
      <c r="AA29" t="s">
        <v>25</v>
      </c>
      <c r="AC29" t="s">
        <v>22</v>
      </c>
      <c r="AD29" t="s">
        <v>1948</v>
      </c>
      <c r="AE29">
        <v>1.6456125989748764E-4</v>
      </c>
      <c r="AG29" t="s">
        <v>97</v>
      </c>
      <c r="AH29" t="s">
        <v>1948</v>
      </c>
      <c r="AI29">
        <v>0</v>
      </c>
    </row>
    <row r="30" spans="4:35" x14ac:dyDescent="0.45">
      <c r="E30" t="s">
        <v>1837</v>
      </c>
      <c r="G30" t="s">
        <v>149</v>
      </c>
      <c r="I30" t="s">
        <v>236</v>
      </c>
      <c r="J30" t="s">
        <v>1949</v>
      </c>
      <c r="K30">
        <v>5.9592621444203295E-5</v>
      </c>
      <c r="L30" t="s">
        <v>238</v>
      </c>
      <c r="N30" t="s">
        <v>346</v>
      </c>
      <c r="O30" t="s">
        <v>1949</v>
      </c>
      <c r="P30">
        <v>1.3257935043155041E-5</v>
      </c>
      <c r="Q30" t="s">
        <v>238</v>
      </c>
      <c r="S30" t="s">
        <v>347</v>
      </c>
      <c r="T30" t="s">
        <v>1949</v>
      </c>
      <c r="U30">
        <v>2.6678550542101505E-5</v>
      </c>
      <c r="V30" t="s">
        <v>238</v>
      </c>
      <c r="X30">
        <v>1.1415525114155251E-4</v>
      </c>
      <c r="Y30">
        <v>1.4054976837464471E-4</v>
      </c>
      <c r="Z30" t="s">
        <v>1949</v>
      </c>
      <c r="AA30" t="s">
        <v>25</v>
      </c>
      <c r="AC30" t="s">
        <v>22</v>
      </c>
      <c r="AD30" t="s">
        <v>1949</v>
      </c>
      <c r="AE30">
        <v>1.6436635361018453E-4</v>
      </c>
      <c r="AG30" t="s">
        <v>97</v>
      </c>
      <c r="AH30" t="s">
        <v>1949</v>
      </c>
      <c r="AI30">
        <v>0</v>
      </c>
    </row>
    <row r="31" spans="4:35" x14ac:dyDescent="0.45">
      <c r="E31" t="s">
        <v>1838</v>
      </c>
      <c r="G31" t="s">
        <v>149</v>
      </c>
      <c r="I31" t="s">
        <v>236</v>
      </c>
      <c r="J31" t="s">
        <v>1950</v>
      </c>
      <c r="K31">
        <v>6.5698068696286663E-5</v>
      </c>
      <c r="L31" t="s">
        <v>238</v>
      </c>
      <c r="N31" t="s">
        <v>346</v>
      </c>
      <c r="O31" t="s">
        <v>1950</v>
      </c>
      <c r="P31">
        <v>2.0790972586596857E-5</v>
      </c>
      <c r="Q31" t="s">
        <v>238</v>
      </c>
      <c r="S31" t="s">
        <v>347</v>
      </c>
      <c r="T31" t="s">
        <v>1950</v>
      </c>
      <c r="U31">
        <v>4.505762942724331E-5</v>
      </c>
      <c r="V31" t="s">
        <v>238</v>
      </c>
      <c r="X31">
        <v>1.1415525114155251E-4</v>
      </c>
      <c r="Y31">
        <v>1.4253868019126702E-4</v>
      </c>
      <c r="Z31" t="s">
        <v>1950</v>
      </c>
      <c r="AA31" t="s">
        <v>25</v>
      </c>
      <c r="AC31" t="s">
        <v>22</v>
      </c>
      <c r="AD31" t="s">
        <v>1950</v>
      </c>
      <c r="AE31">
        <v>1.6377876847934424E-4</v>
      </c>
      <c r="AG31" t="s">
        <v>97</v>
      </c>
      <c r="AH31" t="s">
        <v>1950</v>
      </c>
      <c r="AI31">
        <v>0</v>
      </c>
    </row>
    <row r="32" spans="4:35" x14ac:dyDescent="0.45">
      <c r="E32" t="s">
        <v>1839</v>
      </c>
      <c r="G32" t="s">
        <v>149</v>
      </c>
      <c r="I32" t="s">
        <v>236</v>
      </c>
      <c r="J32" t="s">
        <v>1951</v>
      </c>
      <c r="K32">
        <v>7.5040505818838379E-5</v>
      </c>
      <c r="L32" t="s">
        <v>238</v>
      </c>
      <c r="N32" t="s">
        <v>346</v>
      </c>
      <c r="O32" t="s">
        <v>1951</v>
      </c>
      <c r="P32">
        <v>2.6072044695266901E-5</v>
      </c>
      <c r="Q32" t="s">
        <v>238</v>
      </c>
      <c r="S32" t="s">
        <v>347</v>
      </c>
      <c r="T32" t="s">
        <v>1951</v>
      </c>
      <c r="U32">
        <v>5.7387902716947794E-5</v>
      </c>
      <c r="V32" t="s">
        <v>238</v>
      </c>
      <c r="X32">
        <v>1.1415525114155251E-4</v>
      </c>
      <c r="Y32">
        <v>1.4883690094390442E-4</v>
      </c>
      <c r="Z32" t="s">
        <v>1951</v>
      </c>
      <c r="AA32" t="s">
        <v>25</v>
      </c>
      <c r="AC32" t="s">
        <v>22</v>
      </c>
      <c r="AD32" t="s">
        <v>1951</v>
      </c>
      <c r="AE32">
        <v>1.6171218858014491E-4</v>
      </c>
      <c r="AG32" t="s">
        <v>97</v>
      </c>
      <c r="AH32" t="s">
        <v>1951</v>
      </c>
      <c r="AI32">
        <v>0</v>
      </c>
    </row>
    <row r="33" spans="5:35" x14ac:dyDescent="0.45">
      <c r="E33" t="s">
        <v>1840</v>
      </c>
      <c r="G33" t="s">
        <v>149</v>
      </c>
      <c r="I33" t="s">
        <v>236</v>
      </c>
      <c r="J33" t="s">
        <v>1952</v>
      </c>
      <c r="K33">
        <v>5.6402649402735491E-5</v>
      </c>
      <c r="L33" t="s">
        <v>238</v>
      </c>
      <c r="N33" t="s">
        <v>346</v>
      </c>
      <c r="O33" t="s">
        <v>1952</v>
      </c>
      <c r="P33">
        <v>2.5936087046849797E-5</v>
      </c>
      <c r="Q33" t="s">
        <v>238</v>
      </c>
      <c r="S33" t="s">
        <v>347</v>
      </c>
      <c r="T33" t="s">
        <v>1952</v>
      </c>
      <c r="U33">
        <v>6.7943711982923759E-5</v>
      </c>
      <c r="V33" t="s">
        <v>238</v>
      </c>
      <c r="X33">
        <v>1.1415525114155251E-4</v>
      </c>
      <c r="Y33">
        <v>1.5049432745775637E-4</v>
      </c>
      <c r="Z33" t="s">
        <v>1952</v>
      </c>
      <c r="AA33" t="s">
        <v>25</v>
      </c>
      <c r="AC33" t="s">
        <v>22</v>
      </c>
      <c r="AD33" t="s">
        <v>1952</v>
      </c>
      <c r="AE33">
        <v>1.6273544658848633E-4</v>
      </c>
      <c r="AG33" t="s">
        <v>97</v>
      </c>
      <c r="AH33" t="s">
        <v>1952</v>
      </c>
      <c r="AI33">
        <v>0</v>
      </c>
    </row>
    <row r="34" spans="5:35" x14ac:dyDescent="0.45">
      <c r="E34" t="s">
        <v>1841</v>
      </c>
      <c r="G34" t="s">
        <v>149</v>
      </c>
      <c r="I34" t="s">
        <v>236</v>
      </c>
      <c r="J34" t="s">
        <v>1953</v>
      </c>
      <c r="K34">
        <v>4.1964816299506485E-5</v>
      </c>
      <c r="L34" t="s">
        <v>238</v>
      </c>
      <c r="N34" t="s">
        <v>346</v>
      </c>
      <c r="O34" t="s">
        <v>1953</v>
      </c>
      <c r="P34">
        <v>2.9841116838220367E-5</v>
      </c>
      <c r="Q34" t="s">
        <v>238</v>
      </c>
      <c r="S34" t="s">
        <v>347</v>
      </c>
      <c r="T34" t="s">
        <v>1953</v>
      </c>
      <c r="U34">
        <v>7.4891692304759146E-5</v>
      </c>
      <c r="V34" t="s">
        <v>238</v>
      </c>
      <c r="X34">
        <v>1.1415525114155251E-4</v>
      </c>
      <c r="Y34">
        <v>1.7237235744060203E-4</v>
      </c>
      <c r="Z34" t="s">
        <v>1953</v>
      </c>
      <c r="AA34" t="s">
        <v>25</v>
      </c>
      <c r="AC34" t="s">
        <v>22</v>
      </c>
      <c r="AD34" t="s">
        <v>1953</v>
      </c>
      <c r="AE34">
        <v>1.6458992258679695E-4</v>
      </c>
      <c r="AG34" t="s">
        <v>97</v>
      </c>
      <c r="AH34" t="s">
        <v>1953</v>
      </c>
      <c r="AI34">
        <v>0</v>
      </c>
    </row>
    <row r="35" spans="5:35" x14ac:dyDescent="0.45">
      <c r="E35" t="s">
        <v>358</v>
      </c>
      <c r="G35" t="s">
        <v>153</v>
      </c>
      <c r="I35" t="s">
        <v>236</v>
      </c>
      <c r="J35" t="s">
        <v>1954</v>
      </c>
      <c r="K35">
        <v>1.2823677192868439E-5</v>
      </c>
      <c r="L35" t="s">
        <v>238</v>
      </c>
      <c r="N35" t="s">
        <v>346</v>
      </c>
      <c r="O35" t="s">
        <v>1954</v>
      </c>
      <c r="P35">
        <v>3.5685853171416451E-5</v>
      </c>
      <c r="Q35" t="s">
        <v>238</v>
      </c>
      <c r="S35" t="s">
        <v>347</v>
      </c>
      <c r="T35" t="s">
        <v>1954</v>
      </c>
      <c r="U35">
        <v>7.5410582152328051E-5</v>
      </c>
      <c r="V35" t="s">
        <v>238</v>
      </c>
      <c r="X35">
        <v>1.1415525114155251E-4</v>
      </c>
      <c r="Y35">
        <v>2.2209515285616027E-4</v>
      </c>
      <c r="Z35" t="s">
        <v>1954</v>
      </c>
      <c r="AA35" t="s">
        <v>25</v>
      </c>
      <c r="AC35" t="s">
        <v>22</v>
      </c>
      <c r="AD35" t="s">
        <v>1954</v>
      </c>
      <c r="AE35">
        <v>1.6587401106785282E-4</v>
      </c>
      <c r="AG35" t="s">
        <v>97</v>
      </c>
      <c r="AH35" t="s">
        <v>1954</v>
      </c>
      <c r="AI35">
        <v>0</v>
      </c>
    </row>
    <row r="36" spans="5:35" x14ac:dyDescent="0.45">
      <c r="E36" t="s">
        <v>360</v>
      </c>
      <c r="G36" t="s">
        <v>153</v>
      </c>
      <c r="I36" t="s">
        <v>236</v>
      </c>
      <c r="J36" t="s">
        <v>1955</v>
      </c>
      <c r="K36">
        <v>0</v>
      </c>
      <c r="L36" t="s">
        <v>238</v>
      </c>
      <c r="N36" t="s">
        <v>346</v>
      </c>
      <c r="O36" t="s">
        <v>1955</v>
      </c>
      <c r="P36">
        <v>4.2660173626219482E-5</v>
      </c>
      <c r="Q36" t="s">
        <v>238</v>
      </c>
      <c r="S36" t="s">
        <v>347</v>
      </c>
      <c r="T36" t="s">
        <v>1955</v>
      </c>
      <c r="U36">
        <v>8.0206675914909787E-5</v>
      </c>
      <c r="V36" t="s">
        <v>238</v>
      </c>
      <c r="X36">
        <v>1.1415525114155251E-4</v>
      </c>
      <c r="Y36">
        <v>2.2209515285616027E-4</v>
      </c>
      <c r="Z36" t="s">
        <v>1955</v>
      </c>
      <c r="AA36" t="s">
        <v>25</v>
      </c>
      <c r="AC36" t="s">
        <v>22</v>
      </c>
      <c r="AD36" t="s">
        <v>1955</v>
      </c>
      <c r="AE36">
        <v>1.6584534837854354E-4</v>
      </c>
      <c r="AG36" t="s">
        <v>97</v>
      </c>
      <c r="AH36" t="s">
        <v>1955</v>
      </c>
      <c r="AI36">
        <v>0</v>
      </c>
    </row>
    <row r="37" spans="5:35" x14ac:dyDescent="0.45">
      <c r="E37" t="s">
        <v>361</v>
      </c>
      <c r="G37" t="s">
        <v>153</v>
      </c>
      <c r="I37" t="s">
        <v>236</v>
      </c>
      <c r="J37" t="s">
        <v>1956</v>
      </c>
      <c r="K37">
        <v>0</v>
      </c>
      <c r="L37" t="s">
        <v>238</v>
      </c>
      <c r="N37" t="s">
        <v>346</v>
      </c>
      <c r="O37" t="s">
        <v>1956</v>
      </c>
      <c r="P37">
        <v>5.0385921520136565E-5</v>
      </c>
      <c r="Q37" t="s">
        <v>238</v>
      </c>
      <c r="S37" t="s">
        <v>347</v>
      </c>
      <c r="T37" t="s">
        <v>1956</v>
      </c>
      <c r="U37">
        <v>9.2589063930771244E-5</v>
      </c>
      <c r="V37" t="s">
        <v>238</v>
      </c>
      <c r="X37">
        <v>1.1415525114155251E-4</v>
      </c>
      <c r="Y37">
        <v>1.7237235744060203E-4</v>
      </c>
      <c r="Z37" t="s">
        <v>1956</v>
      </c>
      <c r="AA37" t="s">
        <v>25</v>
      </c>
      <c r="AC37" t="s">
        <v>22</v>
      </c>
      <c r="AD37" t="s">
        <v>1956</v>
      </c>
      <c r="AE37">
        <v>1.664787938122787E-4</v>
      </c>
      <c r="AG37" t="s">
        <v>97</v>
      </c>
      <c r="AH37" t="s">
        <v>1956</v>
      </c>
      <c r="AI37">
        <v>0</v>
      </c>
    </row>
    <row r="38" spans="5:35" x14ac:dyDescent="0.45">
      <c r="E38" t="s">
        <v>362</v>
      </c>
      <c r="G38" t="s">
        <v>153</v>
      </c>
      <c r="I38" t="s">
        <v>236</v>
      </c>
      <c r="J38" t="s">
        <v>1957</v>
      </c>
      <c r="K38">
        <v>0</v>
      </c>
      <c r="L38" t="s">
        <v>238</v>
      </c>
      <c r="N38" t="s">
        <v>346</v>
      </c>
      <c r="O38" t="s">
        <v>1957</v>
      </c>
      <c r="P38">
        <v>5.5971634767699243E-5</v>
      </c>
      <c r="Q38" t="s">
        <v>238</v>
      </c>
      <c r="S38" t="s">
        <v>347</v>
      </c>
      <c r="T38" t="s">
        <v>1957</v>
      </c>
      <c r="U38">
        <v>1.037955362086E-4</v>
      </c>
      <c r="V38" t="s">
        <v>238</v>
      </c>
      <c r="X38">
        <v>1.1415525114155251E-4</v>
      </c>
      <c r="Y38">
        <v>1.5579809230208258E-4</v>
      </c>
      <c r="Z38" t="s">
        <v>1957</v>
      </c>
      <c r="AA38" t="s">
        <v>25</v>
      </c>
      <c r="AC38" t="s">
        <v>22</v>
      </c>
      <c r="AD38" t="s">
        <v>1957</v>
      </c>
      <c r="AE38">
        <v>1.6163479931900984E-4</v>
      </c>
      <c r="AG38" t="s">
        <v>97</v>
      </c>
      <c r="AH38" t="s">
        <v>1957</v>
      </c>
      <c r="AI38">
        <v>0</v>
      </c>
    </row>
    <row r="39" spans="5:35" x14ac:dyDescent="0.45">
      <c r="E39" t="s">
        <v>365</v>
      </c>
      <c r="G39" t="s">
        <v>153</v>
      </c>
      <c r="I39" t="s">
        <v>236</v>
      </c>
      <c r="J39" t="s">
        <v>1958</v>
      </c>
      <c r="K39">
        <v>0</v>
      </c>
      <c r="L39" t="s">
        <v>238</v>
      </c>
      <c r="N39" t="s">
        <v>346</v>
      </c>
      <c r="O39" t="s">
        <v>1958</v>
      </c>
      <c r="P39">
        <v>6.7846733458687422E-5</v>
      </c>
      <c r="Q39" t="s">
        <v>238</v>
      </c>
      <c r="S39" t="s">
        <v>347</v>
      </c>
      <c r="T39" t="s">
        <v>1958</v>
      </c>
      <c r="U39">
        <v>1.1520021578720001E-4</v>
      </c>
      <c r="V39" t="s">
        <v>238</v>
      </c>
      <c r="X39">
        <v>1.1415525114155251E-4</v>
      </c>
      <c r="Y39">
        <v>1.093901499142282E-4</v>
      </c>
      <c r="Z39" t="s">
        <v>1958</v>
      </c>
      <c r="AA39" t="s">
        <v>25</v>
      </c>
      <c r="AC39" t="s">
        <v>22</v>
      </c>
      <c r="AD39" t="s">
        <v>1958</v>
      </c>
      <c r="AE39">
        <v>1.4622287127740824E-4</v>
      </c>
      <c r="AG39" t="s">
        <v>97</v>
      </c>
      <c r="AH39" t="s">
        <v>1958</v>
      </c>
      <c r="AI39">
        <v>0</v>
      </c>
    </row>
    <row r="40" spans="5:35" x14ac:dyDescent="0.45">
      <c r="E40" t="s">
        <v>368</v>
      </c>
      <c r="G40" t="s">
        <v>153</v>
      </c>
      <c r="I40" t="s">
        <v>236</v>
      </c>
      <c r="J40" t="s">
        <v>1959</v>
      </c>
      <c r="K40">
        <v>0</v>
      </c>
      <c r="L40" t="s">
        <v>238</v>
      </c>
      <c r="N40" t="s">
        <v>346</v>
      </c>
      <c r="O40" t="s">
        <v>1959</v>
      </c>
      <c r="P40">
        <v>7.8273812921976005E-5</v>
      </c>
      <c r="Q40" t="s">
        <v>238</v>
      </c>
      <c r="S40" t="s">
        <v>347</v>
      </c>
      <c r="T40" t="s">
        <v>1959</v>
      </c>
      <c r="U40">
        <v>1.2345228825980001E-4</v>
      </c>
      <c r="V40" t="s">
        <v>238</v>
      </c>
      <c r="X40">
        <v>1.1415525114155251E-4</v>
      </c>
      <c r="Y40">
        <v>7.9556472664893237E-5</v>
      </c>
      <c r="Z40" t="s">
        <v>1959</v>
      </c>
      <c r="AA40" t="s">
        <v>25</v>
      </c>
      <c r="AC40" t="s">
        <v>22</v>
      </c>
      <c r="AD40" t="s">
        <v>1959</v>
      </c>
      <c r="AE40">
        <v>1.3595302969789211E-4</v>
      </c>
      <c r="AG40" t="s">
        <v>97</v>
      </c>
      <c r="AH40" t="s">
        <v>1959</v>
      </c>
      <c r="AI40">
        <v>0</v>
      </c>
    </row>
    <row r="41" spans="5:35" x14ac:dyDescent="0.45">
      <c r="E41" t="s">
        <v>370</v>
      </c>
      <c r="G41" t="s">
        <v>153</v>
      </c>
      <c r="I41" t="s">
        <v>236</v>
      </c>
      <c r="J41" t="s">
        <v>1960</v>
      </c>
      <c r="K41">
        <v>0</v>
      </c>
      <c r="L41" t="s">
        <v>238</v>
      </c>
      <c r="N41" t="s">
        <v>346</v>
      </c>
      <c r="O41" t="s">
        <v>1960</v>
      </c>
      <c r="P41">
        <v>7.7039480074934198E-5</v>
      </c>
      <c r="Q41" t="s">
        <v>238</v>
      </c>
      <c r="S41" t="s">
        <v>347</v>
      </c>
      <c r="T41" t="s">
        <v>1960</v>
      </c>
      <c r="U41">
        <v>1.1018684403140001E-4</v>
      </c>
      <c r="V41" t="s">
        <v>238</v>
      </c>
      <c r="X41">
        <v>1.1415525114155251E-4</v>
      </c>
      <c r="Y41">
        <v>5.6352501470966035E-5</v>
      </c>
      <c r="Z41" t="s">
        <v>1960</v>
      </c>
      <c r="AA41" t="s">
        <v>25</v>
      </c>
      <c r="AC41" t="s">
        <v>22</v>
      </c>
      <c r="AD41" t="s">
        <v>1960</v>
      </c>
      <c r="AE41">
        <v>1.2821983612224747E-4</v>
      </c>
      <c r="AG41" t="s">
        <v>97</v>
      </c>
      <c r="AH41" t="s">
        <v>1960</v>
      </c>
      <c r="AI41">
        <v>0</v>
      </c>
    </row>
    <row r="42" spans="5:35" x14ac:dyDescent="0.45">
      <c r="E42" t="s">
        <v>372</v>
      </c>
      <c r="G42" t="s">
        <v>153</v>
      </c>
      <c r="I42" t="s">
        <v>236</v>
      </c>
      <c r="J42" t="s">
        <v>1961</v>
      </c>
      <c r="K42">
        <v>0</v>
      </c>
      <c r="L42" t="s">
        <v>238</v>
      </c>
      <c r="N42" t="s">
        <v>346</v>
      </c>
      <c r="O42" t="s">
        <v>1961</v>
      </c>
      <c r="P42">
        <v>8.1752042235606938E-5</v>
      </c>
      <c r="Q42" t="s">
        <v>238</v>
      </c>
      <c r="S42" t="s">
        <v>347</v>
      </c>
      <c r="T42" t="s">
        <v>1961</v>
      </c>
      <c r="U42">
        <v>1.2286616446100001E-4</v>
      </c>
      <c r="V42" t="s">
        <v>238</v>
      </c>
      <c r="X42">
        <v>1.1415525114155251E-4</v>
      </c>
      <c r="Y42">
        <v>2.9833677249334962E-5</v>
      </c>
      <c r="Z42" t="s">
        <v>1961</v>
      </c>
      <c r="AA42" t="s">
        <v>25</v>
      </c>
      <c r="AC42" t="s">
        <v>22</v>
      </c>
      <c r="AD42" t="s">
        <v>1961</v>
      </c>
      <c r="AE42">
        <v>1.0008454029625508E-4</v>
      </c>
      <c r="AG42" t="s">
        <v>97</v>
      </c>
      <c r="AH42" t="s">
        <v>1961</v>
      </c>
      <c r="AI42">
        <v>0</v>
      </c>
    </row>
    <row r="43" spans="5:35" x14ac:dyDescent="0.45">
      <c r="E43" t="s">
        <v>374</v>
      </c>
      <c r="G43" t="s">
        <v>153</v>
      </c>
      <c r="I43" t="s">
        <v>236</v>
      </c>
      <c r="J43" t="s">
        <v>1962</v>
      </c>
      <c r="K43">
        <v>0</v>
      </c>
      <c r="L43" t="s">
        <v>238</v>
      </c>
      <c r="N43" t="s">
        <v>346</v>
      </c>
      <c r="O43" t="s">
        <v>1962</v>
      </c>
      <c r="P43">
        <v>2.7729086311139997E-4</v>
      </c>
      <c r="Q43" t="s">
        <v>238</v>
      </c>
      <c r="S43" t="s">
        <v>347</v>
      </c>
      <c r="T43" t="s">
        <v>1962</v>
      </c>
      <c r="U43">
        <v>1.837780645452E-4</v>
      </c>
      <c r="V43" t="s">
        <v>238</v>
      </c>
      <c r="X43">
        <v>1.1415525114155251E-4</v>
      </c>
      <c r="Y43">
        <v>2.1546544680075254E-5</v>
      </c>
      <c r="Z43" t="s">
        <v>1962</v>
      </c>
      <c r="AA43" t="s">
        <v>25</v>
      </c>
      <c r="AC43" t="s">
        <v>22</v>
      </c>
      <c r="AD43" t="s">
        <v>1962</v>
      </c>
      <c r="AE43">
        <v>9.2709630336976554E-5</v>
      </c>
      <c r="AG43" t="s">
        <v>97</v>
      </c>
      <c r="AH43" t="s">
        <v>1962</v>
      </c>
      <c r="AI43">
        <v>0</v>
      </c>
    </row>
    <row r="44" spans="5:35" x14ac:dyDescent="0.45">
      <c r="E44" t="s">
        <v>376</v>
      </c>
      <c r="G44" t="s">
        <v>153</v>
      </c>
      <c r="I44" t="s">
        <v>236</v>
      </c>
      <c r="J44" t="s">
        <v>1963</v>
      </c>
      <c r="K44">
        <v>0</v>
      </c>
      <c r="L44" t="s">
        <v>238</v>
      </c>
      <c r="N44" t="s">
        <v>346</v>
      </c>
      <c r="O44" t="s">
        <v>1963</v>
      </c>
      <c r="P44">
        <v>2.7622229075149998E-4</v>
      </c>
      <c r="Q44" t="s">
        <v>238</v>
      </c>
      <c r="S44" t="s">
        <v>347</v>
      </c>
      <c r="T44" t="s">
        <v>1963</v>
      </c>
      <c r="U44">
        <v>1.365242800594E-4</v>
      </c>
      <c r="V44" t="s">
        <v>238</v>
      </c>
      <c r="X44">
        <v>1.1415525114155251E-4</v>
      </c>
      <c r="Y44">
        <v>1.4916838624667481E-5</v>
      </c>
      <c r="Z44" t="s">
        <v>1963</v>
      </c>
      <c r="AA44" t="s">
        <v>25</v>
      </c>
      <c r="AC44" t="s">
        <v>22</v>
      </c>
      <c r="AD44" t="s">
        <v>1963</v>
      </c>
      <c r="AE44">
        <v>8.8507680084235656E-5</v>
      </c>
      <c r="AG44" t="s">
        <v>97</v>
      </c>
      <c r="AH44" t="s">
        <v>1963</v>
      </c>
      <c r="AI44">
        <v>0</v>
      </c>
    </row>
    <row r="45" spans="5:35" x14ac:dyDescent="0.45">
      <c r="E45" t="s">
        <v>377</v>
      </c>
      <c r="G45" t="s">
        <v>153</v>
      </c>
      <c r="I45" t="s">
        <v>236</v>
      </c>
      <c r="J45" t="s">
        <v>1964</v>
      </c>
      <c r="K45">
        <v>0</v>
      </c>
      <c r="L45" t="s">
        <v>238</v>
      </c>
      <c r="N45" t="s">
        <v>346</v>
      </c>
      <c r="O45" t="s">
        <v>1964</v>
      </c>
      <c r="P45">
        <v>2.7622229075149998E-4</v>
      </c>
      <c r="Q45" t="s">
        <v>238</v>
      </c>
      <c r="S45" t="s">
        <v>347</v>
      </c>
      <c r="T45" t="s">
        <v>1964</v>
      </c>
      <c r="U45">
        <v>1.6814186236610001E-4</v>
      </c>
      <c r="V45" t="s">
        <v>238</v>
      </c>
      <c r="X45">
        <v>1.1415525114155251E-4</v>
      </c>
      <c r="Y45">
        <v>1.6574265138519424E-5</v>
      </c>
      <c r="Z45" t="s">
        <v>1964</v>
      </c>
      <c r="AA45" t="s">
        <v>25</v>
      </c>
      <c r="AC45" t="s">
        <v>22</v>
      </c>
      <c r="AD45" t="s">
        <v>1964</v>
      </c>
      <c r="AE45">
        <v>8.8218186922211882E-5</v>
      </c>
      <c r="AG45" t="s">
        <v>97</v>
      </c>
      <c r="AH45" t="s">
        <v>1964</v>
      </c>
      <c r="AI45">
        <v>0</v>
      </c>
    </row>
    <row r="46" spans="5:35" x14ac:dyDescent="0.45">
      <c r="E46" t="s">
        <v>378</v>
      </c>
      <c r="G46" t="s">
        <v>153</v>
      </c>
      <c r="I46" t="s">
        <v>236</v>
      </c>
      <c r="J46" t="s">
        <v>1965</v>
      </c>
      <c r="K46">
        <v>0</v>
      </c>
      <c r="L46" t="s">
        <v>238</v>
      </c>
      <c r="N46" t="s">
        <v>346</v>
      </c>
      <c r="O46" t="s">
        <v>1965</v>
      </c>
      <c r="P46">
        <v>2.7557127380149998E-4</v>
      </c>
      <c r="Q46" t="s">
        <v>238</v>
      </c>
      <c r="S46" t="s">
        <v>347</v>
      </c>
      <c r="T46" t="s">
        <v>1965</v>
      </c>
      <c r="U46">
        <v>1.699560261652E-4</v>
      </c>
      <c r="V46" t="s">
        <v>238</v>
      </c>
      <c r="X46">
        <v>1.1415525114155251E-4</v>
      </c>
      <c r="Y46">
        <v>1.4585353321897093E-5</v>
      </c>
      <c r="Z46" t="s">
        <v>1965</v>
      </c>
      <c r="AA46" t="s">
        <v>25</v>
      </c>
      <c r="AC46" t="s">
        <v>22</v>
      </c>
      <c r="AD46" t="s">
        <v>1965</v>
      </c>
      <c r="AE46">
        <v>8.8218186922211882E-5</v>
      </c>
      <c r="AG46" t="s">
        <v>97</v>
      </c>
      <c r="AH46" t="s">
        <v>1965</v>
      </c>
      <c r="AI46">
        <v>0</v>
      </c>
    </row>
    <row r="47" spans="5:35" x14ac:dyDescent="0.45">
      <c r="E47" t="s">
        <v>379</v>
      </c>
      <c r="G47" t="s">
        <v>153</v>
      </c>
      <c r="I47" t="s">
        <v>236</v>
      </c>
      <c r="J47" t="s">
        <v>1966</v>
      </c>
      <c r="K47">
        <v>0</v>
      </c>
      <c r="L47" t="s">
        <v>238</v>
      </c>
      <c r="N47" t="s">
        <v>346</v>
      </c>
      <c r="O47" t="s">
        <v>1966</v>
      </c>
      <c r="P47">
        <v>2.7557127380149998E-4</v>
      </c>
      <c r="Q47" t="s">
        <v>238</v>
      </c>
      <c r="S47" t="s">
        <v>347</v>
      </c>
      <c r="T47" t="s">
        <v>1966</v>
      </c>
      <c r="U47">
        <v>1.9319761373500001E-4</v>
      </c>
      <c r="V47" t="s">
        <v>238</v>
      </c>
      <c r="X47">
        <v>1.1415525114155251E-4</v>
      </c>
      <c r="Y47">
        <v>2.1215059377304864E-5</v>
      </c>
      <c r="Z47" t="s">
        <v>1966</v>
      </c>
      <c r="AA47" t="s">
        <v>25</v>
      </c>
      <c r="AC47" t="s">
        <v>22</v>
      </c>
      <c r="AD47" t="s">
        <v>1966</v>
      </c>
      <c r="AE47">
        <v>9.5902653926030707E-5</v>
      </c>
      <c r="AG47" t="s">
        <v>97</v>
      </c>
      <c r="AH47" t="s">
        <v>1966</v>
      </c>
      <c r="AI47">
        <v>0</v>
      </c>
    </row>
    <row r="48" spans="5:35" x14ac:dyDescent="0.45">
      <c r="E48" t="s">
        <v>380</v>
      </c>
      <c r="G48" t="s">
        <v>153</v>
      </c>
      <c r="I48" t="s">
        <v>236</v>
      </c>
      <c r="J48" t="s">
        <v>1967</v>
      </c>
      <c r="K48">
        <v>0</v>
      </c>
      <c r="L48" t="s">
        <v>238</v>
      </c>
      <c r="N48" t="s">
        <v>346</v>
      </c>
      <c r="O48" t="s">
        <v>1967</v>
      </c>
      <c r="P48">
        <v>2.7586692060550003E-4</v>
      </c>
      <c r="Q48" t="s">
        <v>238</v>
      </c>
      <c r="S48" t="s">
        <v>347</v>
      </c>
      <c r="T48" t="s">
        <v>1967</v>
      </c>
      <c r="U48">
        <v>2.086513126725E-4</v>
      </c>
      <c r="V48" t="s">
        <v>238</v>
      </c>
      <c r="X48">
        <v>1.1415525114155251E-4</v>
      </c>
      <c r="Y48">
        <v>5.7678442682047593E-5</v>
      </c>
      <c r="Z48" t="s">
        <v>1967</v>
      </c>
      <c r="AA48" t="s">
        <v>25</v>
      </c>
      <c r="AC48" t="s">
        <v>22</v>
      </c>
      <c r="AD48" t="s">
        <v>1967</v>
      </c>
      <c r="AE48">
        <v>1.2241277526818674E-4</v>
      </c>
      <c r="AG48" t="s">
        <v>97</v>
      </c>
      <c r="AH48" t="s">
        <v>1967</v>
      </c>
      <c r="AI48">
        <v>0</v>
      </c>
    </row>
    <row r="49" spans="5:35" x14ac:dyDescent="0.45">
      <c r="E49" t="s">
        <v>381</v>
      </c>
      <c r="G49" t="s">
        <v>153</v>
      </c>
      <c r="I49" t="s">
        <v>236</v>
      </c>
      <c r="J49" t="s">
        <v>1968</v>
      </c>
      <c r="K49">
        <v>0</v>
      </c>
      <c r="L49" t="s">
        <v>238</v>
      </c>
      <c r="N49" t="s">
        <v>346</v>
      </c>
      <c r="O49" t="s">
        <v>1968</v>
      </c>
      <c r="P49">
        <v>2.7371071034830002E-4</v>
      </c>
      <c r="Q49" t="s">
        <v>238</v>
      </c>
      <c r="S49" t="s">
        <v>347</v>
      </c>
      <c r="T49" t="s">
        <v>1968</v>
      </c>
      <c r="U49">
        <v>2.232422076204E-4</v>
      </c>
      <c r="V49" t="s">
        <v>238</v>
      </c>
      <c r="X49">
        <v>1.1415525114155251E-4</v>
      </c>
      <c r="Y49">
        <v>1.6905750441289813E-4</v>
      </c>
      <c r="Z49" t="s">
        <v>1968</v>
      </c>
      <c r="AA49" t="s">
        <v>25</v>
      </c>
      <c r="AC49" t="s">
        <v>22</v>
      </c>
      <c r="AD49" t="s">
        <v>1968</v>
      </c>
      <c r="AE49">
        <v>1.474066403458817E-4</v>
      </c>
      <c r="AG49" t="s">
        <v>97</v>
      </c>
      <c r="AH49" t="s">
        <v>1968</v>
      </c>
      <c r="AI49">
        <v>0</v>
      </c>
    </row>
    <row r="50" spans="5:35" x14ac:dyDescent="0.45">
      <c r="E50" t="s">
        <v>382</v>
      </c>
      <c r="G50" t="s">
        <v>153</v>
      </c>
      <c r="I50" t="s">
        <v>236</v>
      </c>
      <c r="J50" t="s">
        <v>1969</v>
      </c>
      <c r="K50">
        <v>0</v>
      </c>
      <c r="L50" t="s">
        <v>238</v>
      </c>
      <c r="N50" t="s">
        <v>346</v>
      </c>
      <c r="O50" t="s">
        <v>1969</v>
      </c>
      <c r="P50">
        <v>2.7348289802580001E-4</v>
      </c>
      <c r="Q50" t="s">
        <v>238</v>
      </c>
      <c r="S50" t="s">
        <v>347</v>
      </c>
      <c r="T50" t="s">
        <v>1969</v>
      </c>
      <c r="U50">
        <v>2.232422076204E-4</v>
      </c>
      <c r="V50" t="s">
        <v>238</v>
      </c>
      <c r="X50">
        <v>1.1415525114155251E-4</v>
      </c>
      <c r="Y50">
        <v>1.9060404909297337E-4</v>
      </c>
      <c r="Z50" t="s">
        <v>1969</v>
      </c>
      <c r="AA50" t="s">
        <v>25</v>
      </c>
      <c r="AC50" t="s">
        <v>22</v>
      </c>
      <c r="AD50" t="s">
        <v>1969</v>
      </c>
      <c r="AE50">
        <v>1.600182236419663E-4</v>
      </c>
      <c r="AG50" t="s">
        <v>97</v>
      </c>
      <c r="AH50" t="s">
        <v>1969</v>
      </c>
      <c r="AI50">
        <v>0</v>
      </c>
    </row>
    <row r="51" spans="5:35" x14ac:dyDescent="0.45">
      <c r="E51" t="s">
        <v>383</v>
      </c>
      <c r="G51" t="s">
        <v>153</v>
      </c>
      <c r="I51" t="s">
        <v>236</v>
      </c>
      <c r="J51" t="s">
        <v>1970</v>
      </c>
      <c r="K51">
        <v>7.4700989692661428E-5</v>
      </c>
      <c r="L51" t="s">
        <v>238</v>
      </c>
      <c r="N51" t="s">
        <v>346</v>
      </c>
      <c r="O51" t="s">
        <v>1970</v>
      </c>
      <c r="P51">
        <v>2.7157582901690002E-4</v>
      </c>
      <c r="Q51" t="s">
        <v>238</v>
      </c>
      <c r="S51" t="s">
        <v>347</v>
      </c>
      <c r="T51" t="s">
        <v>1970</v>
      </c>
      <c r="U51">
        <v>2.1801267162719999E-4</v>
      </c>
      <c r="V51" t="s">
        <v>238</v>
      </c>
      <c r="X51">
        <v>1.1415525114155251E-4</v>
      </c>
      <c r="Y51">
        <v>1.4585353321897094E-4</v>
      </c>
      <c r="Z51" t="s">
        <v>1970</v>
      </c>
      <c r="AA51" t="s">
        <v>25</v>
      </c>
      <c r="AC51" t="s">
        <v>22</v>
      </c>
      <c r="AD51" t="s">
        <v>1970</v>
      </c>
      <c r="AE51">
        <v>1.619959492043068E-4</v>
      </c>
      <c r="AG51" t="s">
        <v>97</v>
      </c>
      <c r="AH51" t="s">
        <v>1970</v>
      </c>
      <c r="AI51">
        <v>0</v>
      </c>
    </row>
    <row r="52" spans="5:35" x14ac:dyDescent="0.45">
      <c r="E52" t="s">
        <v>384</v>
      </c>
      <c r="G52" t="s">
        <v>153</v>
      </c>
      <c r="I52" t="s">
        <v>236</v>
      </c>
      <c r="J52" t="s">
        <v>1971</v>
      </c>
      <c r="K52">
        <v>1.7061969582189999E-4</v>
      </c>
      <c r="L52" t="s">
        <v>238</v>
      </c>
      <c r="N52" t="s">
        <v>346</v>
      </c>
      <c r="O52" t="s">
        <v>1971</v>
      </c>
      <c r="P52">
        <v>2.7321120085920002E-4</v>
      </c>
      <c r="Q52" t="s">
        <v>238</v>
      </c>
      <c r="S52" t="s">
        <v>347</v>
      </c>
      <c r="T52" t="s">
        <v>1971</v>
      </c>
      <c r="U52">
        <v>2.2274873564990001E-4</v>
      </c>
      <c r="V52" t="s">
        <v>238</v>
      </c>
      <c r="X52">
        <v>1.1415525114155251E-4</v>
      </c>
      <c r="Y52">
        <v>1.4452759200788939E-4</v>
      </c>
      <c r="Z52" t="s">
        <v>1971</v>
      </c>
      <c r="AA52" t="s">
        <v>25</v>
      </c>
      <c r="AC52" t="s">
        <v>22</v>
      </c>
      <c r="AD52" t="s">
        <v>1971</v>
      </c>
      <c r="AE52">
        <v>1.6164053185687173E-4</v>
      </c>
      <c r="AG52" t="s">
        <v>97</v>
      </c>
      <c r="AH52" t="s">
        <v>1971</v>
      </c>
      <c r="AI52">
        <v>0</v>
      </c>
    </row>
    <row r="53" spans="5:35" x14ac:dyDescent="0.45">
      <c r="E53" t="s">
        <v>385</v>
      </c>
      <c r="G53" t="s">
        <v>153</v>
      </c>
      <c r="I53" t="s">
        <v>236</v>
      </c>
      <c r="J53" t="s">
        <v>1972</v>
      </c>
      <c r="K53">
        <v>2.216945556211E-4</v>
      </c>
      <c r="L53" t="s">
        <v>238</v>
      </c>
      <c r="N53" t="s">
        <v>346</v>
      </c>
      <c r="O53" t="s">
        <v>1972</v>
      </c>
      <c r="P53">
        <v>2.7604780601309998E-4</v>
      </c>
      <c r="Q53" t="s">
        <v>238</v>
      </c>
      <c r="S53" t="s">
        <v>347</v>
      </c>
      <c r="T53" t="s">
        <v>1972</v>
      </c>
      <c r="U53">
        <v>2.2314558077870001E-4</v>
      </c>
      <c r="V53" t="s">
        <v>238</v>
      </c>
      <c r="X53">
        <v>1.1415525114155251E-4</v>
      </c>
      <c r="Y53">
        <v>1.408812536774151E-4</v>
      </c>
      <c r="Z53" t="s">
        <v>1972</v>
      </c>
      <c r="AA53" t="s">
        <v>25</v>
      </c>
      <c r="AC53" t="s">
        <v>22</v>
      </c>
      <c r="AD53" t="s">
        <v>1972</v>
      </c>
      <c r="AE53">
        <v>1.6164626439473358E-4</v>
      </c>
      <c r="AG53" t="s">
        <v>97</v>
      </c>
      <c r="AH53" t="s">
        <v>1972</v>
      </c>
      <c r="AI53">
        <v>0</v>
      </c>
    </row>
    <row r="54" spans="5:35" x14ac:dyDescent="0.45">
      <c r="E54" t="s">
        <v>386</v>
      </c>
      <c r="G54" t="s">
        <v>153</v>
      </c>
      <c r="I54" t="s">
        <v>236</v>
      </c>
      <c r="J54" t="s">
        <v>1973</v>
      </c>
      <c r="K54">
        <v>2.560316561682E-4</v>
      </c>
      <c r="L54" t="s">
        <v>238</v>
      </c>
      <c r="N54" t="s">
        <v>346</v>
      </c>
      <c r="O54" t="s">
        <v>1973</v>
      </c>
      <c r="P54">
        <v>2.7762880185370001E-4</v>
      </c>
      <c r="Q54" t="s">
        <v>238</v>
      </c>
      <c r="S54" t="s">
        <v>347</v>
      </c>
      <c r="T54" t="s">
        <v>1973</v>
      </c>
      <c r="U54">
        <v>2.231698256223E-4</v>
      </c>
      <c r="V54" t="s">
        <v>238</v>
      </c>
      <c r="X54">
        <v>1.1415525114155251E-4</v>
      </c>
      <c r="Y54">
        <v>1.4054976837464471E-4</v>
      </c>
      <c r="Z54" t="s">
        <v>1973</v>
      </c>
      <c r="AA54" t="s">
        <v>25</v>
      </c>
      <c r="AC54" t="s">
        <v>22</v>
      </c>
      <c r="AD54" t="s">
        <v>1973</v>
      </c>
      <c r="AE54">
        <v>1.6148861960353251E-4</v>
      </c>
      <c r="AG54" t="s">
        <v>97</v>
      </c>
      <c r="AH54" t="s">
        <v>1973</v>
      </c>
      <c r="AI54">
        <v>0</v>
      </c>
    </row>
    <row r="55" spans="5:35" x14ac:dyDescent="0.45">
      <c r="E55" t="s">
        <v>387</v>
      </c>
      <c r="G55" t="s">
        <v>153</v>
      </c>
      <c r="I55" t="s">
        <v>236</v>
      </c>
      <c r="J55" t="s">
        <v>1974</v>
      </c>
      <c r="K55">
        <v>2.378572844844E-4</v>
      </c>
      <c r="L55" t="s">
        <v>238</v>
      </c>
      <c r="N55" t="s">
        <v>346</v>
      </c>
      <c r="O55" t="s">
        <v>1974</v>
      </c>
      <c r="P55">
        <v>2.7833053423410002E-4</v>
      </c>
      <c r="Q55" t="s">
        <v>238</v>
      </c>
      <c r="S55" t="s">
        <v>347</v>
      </c>
      <c r="T55" t="s">
        <v>1974</v>
      </c>
      <c r="U55">
        <v>2.2322072986999999E-4</v>
      </c>
      <c r="V55" t="s">
        <v>238</v>
      </c>
      <c r="X55">
        <v>1.1415525114155251E-4</v>
      </c>
      <c r="Y55">
        <v>1.4253868019126702E-4</v>
      </c>
      <c r="Z55" t="s">
        <v>1974</v>
      </c>
      <c r="AA55" t="s">
        <v>25</v>
      </c>
      <c r="AC55" t="s">
        <v>22</v>
      </c>
      <c r="AD55" t="s">
        <v>1974</v>
      </c>
      <c r="AE55">
        <v>1.6171218858014493E-4</v>
      </c>
      <c r="AG55" t="s">
        <v>97</v>
      </c>
      <c r="AH55" t="s">
        <v>1974</v>
      </c>
      <c r="AI55">
        <v>0</v>
      </c>
    </row>
    <row r="56" spans="5:35" x14ac:dyDescent="0.45">
      <c r="E56" t="s">
        <v>388</v>
      </c>
      <c r="G56" t="s">
        <v>153</v>
      </c>
      <c r="I56" t="s">
        <v>236</v>
      </c>
      <c r="J56" t="s">
        <v>1975</v>
      </c>
      <c r="K56">
        <v>2.3886955538609999E-4</v>
      </c>
      <c r="L56" t="s">
        <v>238</v>
      </c>
      <c r="N56" t="s">
        <v>346</v>
      </c>
      <c r="O56" t="s">
        <v>1975</v>
      </c>
      <c r="P56">
        <v>2.783589245441E-4</v>
      </c>
      <c r="Q56" t="s">
        <v>238</v>
      </c>
      <c r="S56" t="s">
        <v>347</v>
      </c>
      <c r="T56" t="s">
        <v>1975</v>
      </c>
      <c r="U56">
        <v>2.231861998809E-4</v>
      </c>
      <c r="V56" t="s">
        <v>238</v>
      </c>
      <c r="X56">
        <v>1.1415525114155251E-4</v>
      </c>
      <c r="Y56">
        <v>1.4883690094390442E-4</v>
      </c>
      <c r="Z56" t="s">
        <v>1975</v>
      </c>
      <c r="AA56" t="s">
        <v>25</v>
      </c>
      <c r="AC56" t="s">
        <v>22</v>
      </c>
      <c r="AD56" t="s">
        <v>1975</v>
      </c>
      <c r="AE56">
        <v>1.6171218858014493E-4</v>
      </c>
      <c r="AG56" t="s">
        <v>97</v>
      </c>
      <c r="AH56" t="s">
        <v>1975</v>
      </c>
      <c r="AI56">
        <v>0</v>
      </c>
    </row>
    <row r="57" spans="5:35" x14ac:dyDescent="0.45">
      <c r="E57" t="s">
        <v>389</v>
      </c>
      <c r="G57" t="s">
        <v>153</v>
      </c>
      <c r="I57" t="s">
        <v>236</v>
      </c>
      <c r="J57" t="s">
        <v>1976</v>
      </c>
      <c r="K57">
        <v>2.351733013595E-4</v>
      </c>
      <c r="L57" t="s">
        <v>238</v>
      </c>
      <c r="N57" t="s">
        <v>346</v>
      </c>
      <c r="O57" t="s">
        <v>1976</v>
      </c>
      <c r="P57">
        <v>2.7845313831310003E-4</v>
      </c>
      <c r="Q57" t="s">
        <v>238</v>
      </c>
      <c r="S57" t="s">
        <v>347</v>
      </c>
      <c r="T57" t="s">
        <v>1976</v>
      </c>
      <c r="U57">
        <v>2.2319321874119999E-4</v>
      </c>
      <c r="V57" t="s">
        <v>238</v>
      </c>
      <c r="X57">
        <v>1.1415525114155251E-4</v>
      </c>
      <c r="Y57">
        <v>1.5049432745775637E-4</v>
      </c>
      <c r="Z57" t="s">
        <v>1976</v>
      </c>
      <c r="AA57" t="s">
        <v>25</v>
      </c>
      <c r="AC57" t="s">
        <v>22</v>
      </c>
      <c r="AD57" t="s">
        <v>1976</v>
      </c>
      <c r="AE57">
        <v>1.6148861960353251E-4</v>
      </c>
      <c r="AG57" t="s">
        <v>97</v>
      </c>
      <c r="AH57" t="s">
        <v>1976</v>
      </c>
      <c r="AI57">
        <v>0</v>
      </c>
    </row>
    <row r="58" spans="5:35" x14ac:dyDescent="0.45">
      <c r="E58" t="s">
        <v>390</v>
      </c>
      <c r="G58" t="s">
        <v>153</v>
      </c>
      <c r="I58" t="s">
        <v>236</v>
      </c>
      <c r="J58" t="s">
        <v>1977</v>
      </c>
      <c r="K58">
        <v>1.628116654072E-4</v>
      </c>
      <c r="L58" t="s">
        <v>238</v>
      </c>
      <c r="N58" t="s">
        <v>346</v>
      </c>
      <c r="O58" t="s">
        <v>1977</v>
      </c>
      <c r="P58">
        <v>2.7859729984660003E-4</v>
      </c>
      <c r="Q58" t="s">
        <v>238</v>
      </c>
      <c r="S58" t="s">
        <v>347</v>
      </c>
      <c r="T58" t="s">
        <v>1977</v>
      </c>
      <c r="U58">
        <v>2.231208565233E-4</v>
      </c>
      <c r="V58" t="s">
        <v>238</v>
      </c>
      <c r="X58">
        <v>1.1415525114155251E-4</v>
      </c>
      <c r="Y58">
        <v>1.7237235744060203E-4</v>
      </c>
      <c r="Z58" t="s">
        <v>1977</v>
      </c>
      <c r="AA58" t="s">
        <v>25</v>
      </c>
      <c r="AC58" t="s">
        <v>22</v>
      </c>
      <c r="AD58" t="s">
        <v>1977</v>
      </c>
      <c r="AE58">
        <v>1.6148861960353251E-4</v>
      </c>
      <c r="AG58" t="s">
        <v>97</v>
      </c>
      <c r="AH58" t="s">
        <v>1977</v>
      </c>
      <c r="AI58">
        <v>0</v>
      </c>
    </row>
    <row r="59" spans="5:35" x14ac:dyDescent="0.45">
      <c r="E59" t="s">
        <v>1842</v>
      </c>
      <c r="G59" t="s">
        <v>156</v>
      </c>
      <c r="I59" t="s">
        <v>236</v>
      </c>
      <c r="J59" t="s">
        <v>1978</v>
      </c>
      <c r="K59">
        <v>9.1246756020698437E-5</v>
      </c>
      <c r="L59" t="s">
        <v>238</v>
      </c>
      <c r="N59" t="s">
        <v>346</v>
      </c>
      <c r="O59" t="s">
        <v>1978</v>
      </c>
      <c r="P59">
        <v>2.7840606492499998E-4</v>
      </c>
      <c r="Q59" t="s">
        <v>238</v>
      </c>
      <c r="S59" t="s">
        <v>347</v>
      </c>
      <c r="T59" t="s">
        <v>1978</v>
      </c>
      <c r="U59">
        <v>2.231086973268E-4</v>
      </c>
      <c r="V59" t="s">
        <v>238</v>
      </c>
      <c r="X59">
        <v>1.1415525114155251E-4</v>
      </c>
      <c r="Y59">
        <v>2.2209515285616027E-4</v>
      </c>
      <c r="Z59" t="s">
        <v>1978</v>
      </c>
      <c r="AA59" t="s">
        <v>25</v>
      </c>
      <c r="AC59" t="s">
        <v>22</v>
      </c>
      <c r="AD59" t="s">
        <v>1978</v>
      </c>
      <c r="AE59">
        <v>1.6273544658848633E-4</v>
      </c>
      <c r="AG59" t="s">
        <v>97</v>
      </c>
      <c r="AH59" t="s">
        <v>1978</v>
      </c>
      <c r="AI59">
        <v>0</v>
      </c>
    </row>
    <row r="60" spans="5:35" x14ac:dyDescent="0.45">
      <c r="E60" t="s">
        <v>1843</v>
      </c>
      <c r="G60" t="s">
        <v>156</v>
      </c>
      <c r="I60" t="s">
        <v>236</v>
      </c>
      <c r="J60" t="s">
        <v>1979</v>
      </c>
      <c r="K60">
        <v>2.038341182099642E-5</v>
      </c>
      <c r="L60" t="s">
        <v>238</v>
      </c>
      <c r="N60" t="s">
        <v>346</v>
      </c>
      <c r="O60" t="s">
        <v>1979</v>
      </c>
      <c r="P60">
        <v>2.785998089831E-4</v>
      </c>
      <c r="Q60" t="s">
        <v>238</v>
      </c>
      <c r="S60" t="s">
        <v>347</v>
      </c>
      <c r="T60" t="s">
        <v>1979</v>
      </c>
      <c r="U60">
        <v>2.2322751108430001E-4</v>
      </c>
      <c r="V60" t="s">
        <v>238</v>
      </c>
      <c r="X60">
        <v>1.1415525114155251E-4</v>
      </c>
      <c r="Y60">
        <v>2.2209515285616027E-4</v>
      </c>
      <c r="Z60" t="s">
        <v>1979</v>
      </c>
      <c r="AA60" t="s">
        <v>25</v>
      </c>
      <c r="AC60" t="s">
        <v>22</v>
      </c>
      <c r="AD60" t="s">
        <v>1979</v>
      </c>
      <c r="AE60">
        <v>1.6270678389917705E-4</v>
      </c>
      <c r="AG60" t="s">
        <v>97</v>
      </c>
      <c r="AH60" t="s">
        <v>1979</v>
      </c>
      <c r="AI60">
        <v>0</v>
      </c>
    </row>
    <row r="61" spans="5:35" x14ac:dyDescent="0.45">
      <c r="E61" t="s">
        <v>1844</v>
      </c>
      <c r="G61" t="s">
        <v>156</v>
      </c>
      <c r="I61" t="s">
        <v>236</v>
      </c>
      <c r="J61" t="s">
        <v>1980</v>
      </c>
      <c r="K61">
        <v>0</v>
      </c>
      <c r="L61" t="s">
        <v>238</v>
      </c>
      <c r="N61" t="s">
        <v>346</v>
      </c>
      <c r="O61" t="s">
        <v>1980</v>
      </c>
      <c r="P61">
        <v>2.7857798016139997E-4</v>
      </c>
      <c r="Q61" t="s">
        <v>238</v>
      </c>
      <c r="S61" t="s">
        <v>347</v>
      </c>
      <c r="T61" t="s">
        <v>1980</v>
      </c>
      <c r="U61">
        <v>2.2321249606549999E-4</v>
      </c>
      <c r="V61" t="s">
        <v>238</v>
      </c>
      <c r="X61">
        <v>1.1415525114155251E-4</v>
      </c>
      <c r="Y61">
        <v>1.7237235744060203E-4</v>
      </c>
      <c r="Z61" t="s">
        <v>1980</v>
      </c>
      <c r="AA61" t="s">
        <v>25</v>
      </c>
      <c r="AC61" t="s">
        <v>22</v>
      </c>
      <c r="AD61" t="s">
        <v>1980</v>
      </c>
      <c r="AE61">
        <v>1.6270678389917705E-4</v>
      </c>
      <c r="AG61" t="s">
        <v>97</v>
      </c>
      <c r="AH61" t="s">
        <v>1980</v>
      </c>
      <c r="AI61">
        <v>0</v>
      </c>
    </row>
    <row r="62" spans="5:35" x14ac:dyDescent="0.45">
      <c r="E62" t="s">
        <v>1845</v>
      </c>
      <c r="G62" t="s">
        <v>156</v>
      </c>
      <c r="I62" t="s">
        <v>236</v>
      </c>
      <c r="J62" t="s">
        <v>1981</v>
      </c>
      <c r="K62">
        <v>0</v>
      </c>
      <c r="L62" t="s">
        <v>238</v>
      </c>
      <c r="N62" t="s">
        <v>346</v>
      </c>
      <c r="O62" t="s">
        <v>1981</v>
      </c>
      <c r="P62">
        <v>2.7857254403860002E-4</v>
      </c>
      <c r="Q62" t="s">
        <v>238</v>
      </c>
      <c r="S62" t="s">
        <v>347</v>
      </c>
      <c r="T62" t="s">
        <v>1981</v>
      </c>
      <c r="U62">
        <v>2.2321398432690001E-4</v>
      </c>
      <c r="V62" t="s">
        <v>238</v>
      </c>
      <c r="X62">
        <v>1.1415525114155251E-4</v>
      </c>
      <c r="Y62">
        <v>1.5579809230208258E-4</v>
      </c>
      <c r="Z62" t="s">
        <v>1981</v>
      </c>
      <c r="AA62" t="s">
        <v>25</v>
      </c>
      <c r="AC62" t="s">
        <v>22</v>
      </c>
      <c r="AD62" t="s">
        <v>1981</v>
      </c>
      <c r="AE62">
        <v>1.5833859004844229E-4</v>
      </c>
      <c r="AG62" t="s">
        <v>97</v>
      </c>
      <c r="AH62" t="s">
        <v>1981</v>
      </c>
      <c r="AI62">
        <v>0</v>
      </c>
    </row>
    <row r="63" spans="5:35" x14ac:dyDescent="0.45">
      <c r="E63" t="s">
        <v>1846</v>
      </c>
      <c r="G63" t="s">
        <v>156</v>
      </c>
      <c r="I63" t="s">
        <v>236</v>
      </c>
      <c r="J63" t="s">
        <v>1982</v>
      </c>
      <c r="K63">
        <v>0</v>
      </c>
      <c r="L63" t="s">
        <v>238</v>
      </c>
      <c r="N63" t="s">
        <v>346</v>
      </c>
      <c r="O63" t="s">
        <v>1982</v>
      </c>
      <c r="P63">
        <v>2.7844618372200003E-4</v>
      </c>
      <c r="Q63" t="s">
        <v>238</v>
      </c>
      <c r="S63" t="s">
        <v>347</v>
      </c>
      <c r="T63" t="s">
        <v>1982</v>
      </c>
      <c r="U63">
        <v>2.23163927041E-4</v>
      </c>
      <c r="V63" t="s">
        <v>238</v>
      </c>
      <c r="X63">
        <v>1.1415525114155251E-4</v>
      </c>
      <c r="Y63">
        <v>1.093901499142282E-4</v>
      </c>
      <c r="Z63" t="s">
        <v>1982</v>
      </c>
      <c r="AA63" t="s">
        <v>25</v>
      </c>
      <c r="AC63" t="s">
        <v>22</v>
      </c>
      <c r="AD63" t="s">
        <v>1982</v>
      </c>
      <c r="AE63">
        <v>1.4356010744057587E-4</v>
      </c>
      <c r="AG63" t="s">
        <v>97</v>
      </c>
      <c r="AH63" t="s">
        <v>1982</v>
      </c>
      <c r="AI63">
        <v>0</v>
      </c>
    </row>
    <row r="64" spans="5:35" x14ac:dyDescent="0.45">
      <c r="E64" t="s">
        <v>1847</v>
      </c>
      <c r="G64" t="s">
        <v>156</v>
      </c>
      <c r="I64" t="s">
        <v>236</v>
      </c>
      <c r="J64" t="s">
        <v>1983</v>
      </c>
      <c r="K64">
        <v>0</v>
      </c>
      <c r="L64" t="s">
        <v>238</v>
      </c>
      <c r="N64" t="s">
        <v>346</v>
      </c>
      <c r="O64" t="s">
        <v>1983</v>
      </c>
      <c r="P64">
        <v>2.7744010759789999E-4</v>
      </c>
      <c r="Q64" t="s">
        <v>238</v>
      </c>
      <c r="S64" t="s">
        <v>347</v>
      </c>
      <c r="T64" t="s">
        <v>1983</v>
      </c>
      <c r="U64">
        <v>2.2313177786429999E-4</v>
      </c>
      <c r="V64" t="s">
        <v>238</v>
      </c>
      <c r="X64">
        <v>1.1415525114155251E-4</v>
      </c>
      <c r="Y64">
        <v>7.9556472664893237E-5</v>
      </c>
      <c r="Z64" t="s">
        <v>1983</v>
      </c>
      <c r="AA64" t="s">
        <v>25</v>
      </c>
      <c r="AC64" t="s">
        <v>22</v>
      </c>
      <c r="AD64" t="s">
        <v>1983</v>
      </c>
      <c r="AE64">
        <v>1.3318994644847721E-4</v>
      </c>
      <c r="AG64" t="s">
        <v>97</v>
      </c>
      <c r="AH64" t="s">
        <v>1983</v>
      </c>
      <c r="AI64">
        <v>0</v>
      </c>
    </row>
    <row r="65" spans="5:35" x14ac:dyDescent="0.45">
      <c r="E65" t="s">
        <v>1848</v>
      </c>
      <c r="G65" t="s">
        <v>156</v>
      </c>
      <c r="I65" t="s">
        <v>236</v>
      </c>
      <c r="J65" t="s">
        <v>1984</v>
      </c>
      <c r="K65">
        <v>0</v>
      </c>
      <c r="L65" t="s">
        <v>238</v>
      </c>
      <c r="N65" t="s">
        <v>346</v>
      </c>
      <c r="O65" t="s">
        <v>1984</v>
      </c>
      <c r="P65">
        <v>2.757774100191E-4</v>
      </c>
      <c r="Q65" t="s">
        <v>238</v>
      </c>
      <c r="S65" t="s">
        <v>347</v>
      </c>
      <c r="T65" t="s">
        <v>1984</v>
      </c>
      <c r="U65">
        <v>2.230915564535E-4</v>
      </c>
      <c r="V65" t="s">
        <v>238</v>
      </c>
      <c r="X65">
        <v>1.1415525114155251E-4</v>
      </c>
      <c r="Y65">
        <v>5.6352501470966035E-5</v>
      </c>
      <c r="Z65" t="s">
        <v>1984</v>
      </c>
      <c r="AA65" t="s">
        <v>25</v>
      </c>
      <c r="AC65" t="s">
        <v>22</v>
      </c>
      <c r="AD65" t="s">
        <v>1984</v>
      </c>
      <c r="AE65">
        <v>1.2433890798977057E-4</v>
      </c>
      <c r="AG65" t="s">
        <v>97</v>
      </c>
      <c r="AH65" t="s">
        <v>1984</v>
      </c>
      <c r="AI65">
        <v>0</v>
      </c>
    </row>
    <row r="66" spans="5:35" x14ac:dyDescent="0.45">
      <c r="E66" t="s">
        <v>1849</v>
      </c>
      <c r="G66" t="s">
        <v>156</v>
      </c>
      <c r="I66" t="s">
        <v>236</v>
      </c>
      <c r="J66" t="s">
        <v>1985</v>
      </c>
      <c r="K66">
        <v>0</v>
      </c>
      <c r="L66" t="s">
        <v>238</v>
      </c>
      <c r="N66" t="s">
        <v>346</v>
      </c>
      <c r="O66" t="s">
        <v>1985</v>
      </c>
      <c r="P66">
        <v>2.7373347002850002E-4</v>
      </c>
      <c r="Q66" t="s">
        <v>238</v>
      </c>
      <c r="S66" t="s">
        <v>347</v>
      </c>
      <c r="T66" t="s">
        <v>1985</v>
      </c>
      <c r="U66">
        <v>2.2277101012439999E-4</v>
      </c>
      <c r="V66" t="s">
        <v>238</v>
      </c>
      <c r="X66">
        <v>1.1415525114155251E-4</v>
      </c>
      <c r="Y66">
        <v>2.9833677249334962E-5</v>
      </c>
      <c r="Z66" t="s">
        <v>1985</v>
      </c>
      <c r="AA66" t="s">
        <v>25</v>
      </c>
      <c r="AC66" t="s">
        <v>22</v>
      </c>
      <c r="AD66" t="s">
        <v>1985</v>
      </c>
      <c r="AE66">
        <v>9.7009033733369023E-5</v>
      </c>
      <c r="AG66" t="s">
        <v>97</v>
      </c>
      <c r="AH66" t="s">
        <v>1985</v>
      </c>
      <c r="AI66">
        <v>0</v>
      </c>
    </row>
    <row r="67" spans="5:35" x14ac:dyDescent="0.45">
      <c r="E67" t="s">
        <v>1850</v>
      </c>
      <c r="G67" t="s">
        <v>156</v>
      </c>
      <c r="I67" t="s">
        <v>236</v>
      </c>
      <c r="J67" t="s">
        <v>247</v>
      </c>
      <c r="K67">
        <v>1.7390279363962665E-3</v>
      </c>
      <c r="L67" t="s">
        <v>238</v>
      </c>
      <c r="N67" t="s">
        <v>346</v>
      </c>
      <c r="O67" t="s">
        <v>247</v>
      </c>
      <c r="P67">
        <v>5.5701789277822246E-2</v>
      </c>
      <c r="Q67" t="s">
        <v>238</v>
      </c>
      <c r="S67" t="s">
        <v>347</v>
      </c>
      <c r="T67" t="s">
        <v>247</v>
      </c>
      <c r="U67">
        <v>5.6154822556148586E-2</v>
      </c>
      <c r="V67" t="s">
        <v>238</v>
      </c>
      <c r="X67">
        <v>5.8904109589041097E-2</v>
      </c>
      <c r="Y67">
        <v>1.2600419328908005E-2</v>
      </c>
      <c r="Z67" t="s">
        <v>247</v>
      </c>
      <c r="AA67" t="s">
        <v>25</v>
      </c>
      <c r="AC67" t="s">
        <v>22</v>
      </c>
      <c r="AD67" t="s">
        <v>247</v>
      </c>
      <c r="AE67">
        <v>4.4552253424132195E-2</v>
      </c>
      <c r="AG67" t="s">
        <v>97</v>
      </c>
      <c r="AH67" t="s">
        <v>247</v>
      </c>
      <c r="AI67">
        <v>0.34358040880383123</v>
      </c>
    </row>
    <row r="68" spans="5:35" x14ac:dyDescent="0.45">
      <c r="E68" t="s">
        <v>1851</v>
      </c>
      <c r="G68" t="s">
        <v>156</v>
      </c>
      <c r="I68" t="s">
        <v>236</v>
      </c>
      <c r="J68" t="s">
        <v>248</v>
      </c>
      <c r="K68">
        <v>7.060136834010535E-3</v>
      </c>
      <c r="L68" t="s">
        <v>238</v>
      </c>
      <c r="N68" t="s">
        <v>346</v>
      </c>
      <c r="O68" t="s">
        <v>248</v>
      </c>
      <c r="P68">
        <v>8.825645541535778E-3</v>
      </c>
      <c r="Q68" t="s">
        <v>238</v>
      </c>
      <c r="S68" t="s">
        <v>347</v>
      </c>
      <c r="T68" t="s">
        <v>248</v>
      </c>
      <c r="U68">
        <v>8.9033630277739369E-3</v>
      </c>
      <c r="V68" t="s">
        <v>238</v>
      </c>
      <c r="X68">
        <v>9.8173515981735161E-3</v>
      </c>
      <c r="Y68">
        <v>1.4538945379509238E-2</v>
      </c>
      <c r="Z68" t="s">
        <v>248</v>
      </c>
      <c r="AA68" t="s">
        <v>25</v>
      </c>
      <c r="AC68" t="s">
        <v>22</v>
      </c>
      <c r="AD68" t="s">
        <v>248</v>
      </c>
      <c r="AE68">
        <v>1.0383012078616733E-2</v>
      </c>
      <c r="AG68" t="s">
        <v>97</v>
      </c>
      <c r="AH68" t="s">
        <v>248</v>
      </c>
      <c r="AI68">
        <v>0.22858663389980349</v>
      </c>
    </row>
    <row r="69" spans="5:35" x14ac:dyDescent="0.45">
      <c r="E69" t="s">
        <v>1852</v>
      </c>
      <c r="G69" t="s">
        <v>156</v>
      </c>
      <c r="I69" t="s">
        <v>236</v>
      </c>
      <c r="J69" t="s">
        <v>249</v>
      </c>
      <c r="K69">
        <v>1.395872430756845E-2</v>
      </c>
      <c r="L69" t="s">
        <v>238</v>
      </c>
      <c r="N69" t="s">
        <v>346</v>
      </c>
      <c r="O69" t="s">
        <v>249</v>
      </c>
      <c r="P69">
        <v>8.4282442924272557E-3</v>
      </c>
      <c r="Q69" t="s">
        <v>238</v>
      </c>
      <c r="S69" t="s">
        <v>347</v>
      </c>
      <c r="T69" t="s">
        <v>249</v>
      </c>
      <c r="U69">
        <v>8.8069385387504525E-3</v>
      </c>
      <c r="V69" t="s">
        <v>238</v>
      </c>
      <c r="X69">
        <v>9.8173515981735161E-3</v>
      </c>
      <c r="Y69">
        <v>1.6391948221995706E-2</v>
      </c>
      <c r="Z69" t="s">
        <v>249</v>
      </c>
      <c r="AA69" t="s">
        <v>25</v>
      </c>
      <c r="AC69" t="s">
        <v>22</v>
      </c>
      <c r="AD69" t="s">
        <v>249</v>
      </c>
      <c r="AE69">
        <v>1.1247438660419683E-2</v>
      </c>
      <c r="AG69" t="s">
        <v>97</v>
      </c>
      <c r="AH69" t="s">
        <v>249</v>
      </c>
      <c r="AI69">
        <v>0.20816161630845342</v>
      </c>
    </row>
    <row r="70" spans="5:35" x14ac:dyDescent="0.45">
      <c r="E70" t="s">
        <v>1853</v>
      </c>
      <c r="G70" t="s">
        <v>156</v>
      </c>
      <c r="I70" t="s">
        <v>236</v>
      </c>
      <c r="J70" t="s">
        <v>250</v>
      </c>
      <c r="K70">
        <v>2.0611803222306636E-2</v>
      </c>
      <c r="L70" t="s">
        <v>238</v>
      </c>
      <c r="N70" t="s">
        <v>346</v>
      </c>
      <c r="O70" t="s">
        <v>250</v>
      </c>
      <c r="P70">
        <v>8.2998736011429177E-3</v>
      </c>
      <c r="Q70" t="s">
        <v>238</v>
      </c>
      <c r="S70" t="s">
        <v>347</v>
      </c>
      <c r="T70" t="s">
        <v>250</v>
      </c>
      <c r="U70">
        <v>8.7869498202184596E-3</v>
      </c>
      <c r="V70" t="s">
        <v>238</v>
      </c>
      <c r="X70">
        <v>9.8173515981735161E-3</v>
      </c>
      <c r="Y70">
        <v>1.2543403856831503E-2</v>
      </c>
      <c r="Z70" t="s">
        <v>250</v>
      </c>
      <c r="AA70" t="s">
        <v>25</v>
      </c>
      <c r="AC70" t="s">
        <v>22</v>
      </c>
      <c r="AD70" t="s">
        <v>250</v>
      </c>
      <c r="AE70">
        <v>1.1688884203547675E-2</v>
      </c>
      <c r="AG70" t="s">
        <v>97</v>
      </c>
      <c r="AH70" t="s">
        <v>250</v>
      </c>
      <c r="AI70">
        <v>0.20159954968272698</v>
      </c>
    </row>
    <row r="71" spans="5:35" x14ac:dyDescent="0.45">
      <c r="E71" t="s">
        <v>1854</v>
      </c>
      <c r="G71" t="s">
        <v>156</v>
      </c>
      <c r="I71" t="s">
        <v>236</v>
      </c>
      <c r="J71" t="s">
        <v>251</v>
      </c>
      <c r="K71">
        <v>0.19467379459249093</v>
      </c>
      <c r="L71" t="s">
        <v>238</v>
      </c>
      <c r="N71" t="s">
        <v>346</v>
      </c>
      <c r="O71" t="s">
        <v>251</v>
      </c>
      <c r="P71">
        <v>6.0554670821405365E-2</v>
      </c>
      <c r="Q71" t="s">
        <v>238</v>
      </c>
      <c r="S71" t="s">
        <v>347</v>
      </c>
      <c r="T71" t="s">
        <v>251</v>
      </c>
      <c r="U71">
        <v>6.0282851791825867E-2</v>
      </c>
      <c r="V71" t="s">
        <v>238</v>
      </c>
      <c r="X71">
        <v>6.8721461187214616E-2</v>
      </c>
      <c r="Y71">
        <v>8.9457275688039198E-2</v>
      </c>
      <c r="Z71" t="s">
        <v>251</v>
      </c>
      <c r="AA71" t="s">
        <v>25</v>
      </c>
      <c r="AC71" t="s">
        <v>22</v>
      </c>
      <c r="AD71" t="s">
        <v>251</v>
      </c>
      <c r="AE71">
        <v>8.0493736833264926E-2</v>
      </c>
      <c r="AG71" t="s">
        <v>97</v>
      </c>
      <c r="AH71" t="s">
        <v>251</v>
      </c>
      <c r="AI71">
        <v>0.20977465528891726</v>
      </c>
    </row>
    <row r="72" spans="5:35" x14ac:dyDescent="0.45">
      <c r="E72" t="s">
        <v>1855</v>
      </c>
      <c r="G72" t="s">
        <v>156</v>
      </c>
      <c r="I72" t="s">
        <v>236</v>
      </c>
      <c r="J72" t="s">
        <v>252</v>
      </c>
      <c r="K72">
        <v>2.0234082500744849E-2</v>
      </c>
      <c r="L72" t="s">
        <v>238</v>
      </c>
      <c r="N72" t="s">
        <v>346</v>
      </c>
      <c r="O72" t="s">
        <v>252</v>
      </c>
      <c r="P72">
        <v>8.8537816847682263E-3</v>
      </c>
      <c r="Q72" t="s">
        <v>238</v>
      </c>
      <c r="S72" t="s">
        <v>347</v>
      </c>
      <c r="T72" t="s">
        <v>252</v>
      </c>
      <c r="U72">
        <v>9.095363566945543E-3</v>
      </c>
      <c r="V72" t="s">
        <v>238</v>
      </c>
      <c r="X72">
        <v>9.8173515981735161E-3</v>
      </c>
      <c r="Y72">
        <v>1.9100183145629779E-2</v>
      </c>
      <c r="Z72" t="s">
        <v>252</v>
      </c>
      <c r="AA72" t="s">
        <v>25</v>
      </c>
      <c r="AC72" t="s">
        <v>22</v>
      </c>
      <c r="AD72" t="s">
        <v>252</v>
      </c>
      <c r="AE72">
        <v>1.1488918951581462E-2</v>
      </c>
      <c r="AG72" t="s">
        <v>97</v>
      </c>
      <c r="AH72" t="s">
        <v>252</v>
      </c>
      <c r="AI72">
        <v>0.22161732033898218</v>
      </c>
    </row>
    <row r="73" spans="5:35" x14ac:dyDescent="0.45">
      <c r="E73" t="s">
        <v>1856</v>
      </c>
      <c r="G73" t="s">
        <v>156</v>
      </c>
      <c r="I73" t="s">
        <v>236</v>
      </c>
      <c r="J73" t="s">
        <v>253</v>
      </c>
      <c r="K73">
        <v>1.4776201714726725E-2</v>
      </c>
      <c r="L73" t="s">
        <v>238</v>
      </c>
      <c r="N73" t="s">
        <v>346</v>
      </c>
      <c r="O73" t="s">
        <v>253</v>
      </c>
      <c r="P73">
        <v>8.6186301728219655E-3</v>
      </c>
      <c r="Q73" t="s">
        <v>238</v>
      </c>
      <c r="S73" t="s">
        <v>347</v>
      </c>
      <c r="T73" t="s">
        <v>253</v>
      </c>
      <c r="U73">
        <v>9.2085248612847372E-3</v>
      </c>
      <c r="V73" t="s">
        <v>238</v>
      </c>
      <c r="X73">
        <v>9.8173515981735161E-3</v>
      </c>
      <c r="Y73">
        <v>1.9100183145629779E-2</v>
      </c>
      <c r="Z73" t="s">
        <v>253</v>
      </c>
      <c r="AA73" t="s">
        <v>25</v>
      </c>
      <c r="AC73" t="s">
        <v>22</v>
      </c>
      <c r="AD73" t="s">
        <v>253</v>
      </c>
      <c r="AE73">
        <v>1.1562622190871352E-2</v>
      </c>
      <c r="AG73" t="s">
        <v>97</v>
      </c>
      <c r="AH73" t="s">
        <v>253</v>
      </c>
      <c r="AI73">
        <v>0.21948759363292392</v>
      </c>
    </row>
    <row r="74" spans="5:35" x14ac:dyDescent="0.45">
      <c r="E74" t="s">
        <v>1857</v>
      </c>
      <c r="G74" t="s">
        <v>156</v>
      </c>
      <c r="I74" t="s">
        <v>236</v>
      </c>
      <c r="J74" t="s">
        <v>254</v>
      </c>
      <c r="K74">
        <v>1.155017638189419E-2</v>
      </c>
      <c r="L74" t="s">
        <v>238</v>
      </c>
      <c r="N74" t="s">
        <v>346</v>
      </c>
      <c r="O74" t="s">
        <v>254</v>
      </c>
      <c r="P74">
        <v>5.630882649975074E-2</v>
      </c>
      <c r="Q74" t="s">
        <v>238</v>
      </c>
      <c r="S74" t="s">
        <v>347</v>
      </c>
      <c r="T74" t="s">
        <v>254</v>
      </c>
      <c r="U74">
        <v>5.7218553560496141E-2</v>
      </c>
      <c r="V74" t="s">
        <v>238</v>
      </c>
      <c r="X74">
        <v>5.8904109589041097E-2</v>
      </c>
      <c r="Y74">
        <v>5.1884079589621199E-2</v>
      </c>
      <c r="Z74" t="s">
        <v>254</v>
      </c>
      <c r="AA74" t="s">
        <v>25</v>
      </c>
      <c r="AC74" t="s">
        <v>22</v>
      </c>
      <c r="AD74" t="s">
        <v>254</v>
      </c>
      <c r="AE74">
        <v>5.9749323080402456E-2</v>
      </c>
      <c r="AG74" t="s">
        <v>97</v>
      </c>
      <c r="AH74" t="s">
        <v>254</v>
      </c>
      <c r="AI74">
        <v>0.33112010180749474</v>
      </c>
    </row>
    <row r="75" spans="5:35" x14ac:dyDescent="0.45">
      <c r="E75" t="s">
        <v>1858</v>
      </c>
      <c r="G75" t="s">
        <v>156</v>
      </c>
      <c r="I75" t="s">
        <v>236</v>
      </c>
      <c r="J75" t="s">
        <v>1986</v>
      </c>
      <c r="K75">
        <v>0</v>
      </c>
      <c r="L75" t="s">
        <v>238</v>
      </c>
      <c r="N75" t="s">
        <v>346</v>
      </c>
      <c r="O75" t="s">
        <v>1986</v>
      </c>
      <c r="P75">
        <v>2.050091559587E-4</v>
      </c>
      <c r="Q75" t="s">
        <v>238</v>
      </c>
      <c r="S75" t="s">
        <v>347</v>
      </c>
      <c r="T75" t="s">
        <v>1986</v>
      </c>
      <c r="U75">
        <v>2.0125488784050001E-4</v>
      </c>
      <c r="V75" t="s">
        <v>238</v>
      </c>
      <c r="X75">
        <v>1.1415525114155251E-4</v>
      </c>
      <c r="Y75">
        <v>2.1546544680075254E-5</v>
      </c>
      <c r="Z75" t="s">
        <v>1986</v>
      </c>
      <c r="AA75" t="s">
        <v>25</v>
      </c>
      <c r="AC75" t="s">
        <v>22</v>
      </c>
      <c r="AD75" t="s">
        <v>1986</v>
      </c>
      <c r="AE75">
        <v>9.5998244167868837E-5</v>
      </c>
      <c r="AG75" t="s">
        <v>97</v>
      </c>
      <c r="AH75" t="s">
        <v>1986</v>
      </c>
      <c r="AI75">
        <v>0</v>
      </c>
    </row>
    <row r="76" spans="5:35" x14ac:dyDescent="0.45">
      <c r="E76" t="s">
        <v>1859</v>
      </c>
      <c r="G76" t="s">
        <v>156</v>
      </c>
      <c r="I76" t="s">
        <v>236</v>
      </c>
      <c r="J76" t="s">
        <v>1987</v>
      </c>
      <c r="K76">
        <v>0</v>
      </c>
      <c r="L76" t="s">
        <v>238</v>
      </c>
      <c r="N76" t="s">
        <v>346</v>
      </c>
      <c r="O76" t="s">
        <v>1987</v>
      </c>
      <c r="P76">
        <v>2.11464927654E-4</v>
      </c>
      <c r="Q76" t="s">
        <v>238</v>
      </c>
      <c r="S76" t="s">
        <v>347</v>
      </c>
      <c r="T76" t="s">
        <v>1987</v>
      </c>
      <c r="U76">
        <v>2.0454271233399999E-4</v>
      </c>
      <c r="V76" t="s">
        <v>238</v>
      </c>
      <c r="X76">
        <v>1.1415525114155251E-4</v>
      </c>
      <c r="Y76">
        <v>1.4916838624667481E-5</v>
      </c>
      <c r="Z76" t="s">
        <v>1987</v>
      </c>
      <c r="AA76" t="s">
        <v>25</v>
      </c>
      <c r="AC76" t="s">
        <v>22</v>
      </c>
      <c r="AD76" t="s">
        <v>1987</v>
      </c>
      <c r="AE76">
        <v>9.4995050042043908E-5</v>
      </c>
      <c r="AG76" t="s">
        <v>97</v>
      </c>
      <c r="AH76" t="s">
        <v>1987</v>
      </c>
      <c r="AI76">
        <v>0</v>
      </c>
    </row>
    <row r="77" spans="5:35" x14ac:dyDescent="0.45">
      <c r="E77" t="s">
        <v>1860</v>
      </c>
      <c r="G77" t="s">
        <v>156</v>
      </c>
      <c r="I77" t="s">
        <v>236</v>
      </c>
      <c r="J77" t="s">
        <v>1988</v>
      </c>
      <c r="K77">
        <v>0</v>
      </c>
      <c r="L77" t="s">
        <v>238</v>
      </c>
      <c r="N77" t="s">
        <v>346</v>
      </c>
      <c r="O77" t="s">
        <v>1988</v>
      </c>
      <c r="P77">
        <v>2.165274999966E-4</v>
      </c>
      <c r="Q77" t="s">
        <v>238</v>
      </c>
      <c r="S77" t="s">
        <v>347</v>
      </c>
      <c r="T77" t="s">
        <v>1988</v>
      </c>
      <c r="U77">
        <v>2.087827017601E-4</v>
      </c>
      <c r="V77" t="s">
        <v>238</v>
      </c>
      <c r="X77">
        <v>1.1415525114155251E-4</v>
      </c>
      <c r="Y77">
        <v>1.6574265138519424E-5</v>
      </c>
      <c r="Z77" t="s">
        <v>1988</v>
      </c>
      <c r="AA77" t="s">
        <v>25</v>
      </c>
      <c r="AC77" t="s">
        <v>22</v>
      </c>
      <c r="AD77" t="s">
        <v>1988</v>
      </c>
      <c r="AE77">
        <v>9.4705556880020147E-5</v>
      </c>
      <c r="AG77" t="s">
        <v>97</v>
      </c>
      <c r="AH77" t="s">
        <v>1988</v>
      </c>
      <c r="AI77">
        <v>0</v>
      </c>
    </row>
    <row r="78" spans="5:35" x14ac:dyDescent="0.45">
      <c r="E78" t="s">
        <v>1861</v>
      </c>
      <c r="G78" t="s">
        <v>156</v>
      </c>
      <c r="I78" t="s">
        <v>236</v>
      </c>
      <c r="J78" t="s">
        <v>1989</v>
      </c>
      <c r="K78">
        <v>0</v>
      </c>
      <c r="L78" t="s">
        <v>238</v>
      </c>
      <c r="N78" t="s">
        <v>346</v>
      </c>
      <c r="O78" t="s">
        <v>1989</v>
      </c>
      <c r="P78">
        <v>2.18495033627E-4</v>
      </c>
      <c r="Q78" t="s">
        <v>238</v>
      </c>
      <c r="S78" t="s">
        <v>347</v>
      </c>
      <c r="T78" t="s">
        <v>1989</v>
      </c>
      <c r="U78">
        <v>2.106927446088E-4</v>
      </c>
      <c r="V78" t="s">
        <v>238</v>
      </c>
      <c r="X78">
        <v>1.1415525114155251E-4</v>
      </c>
      <c r="Y78">
        <v>1.4585353321897093E-5</v>
      </c>
      <c r="Z78" t="s">
        <v>1989</v>
      </c>
      <c r="AA78" t="s">
        <v>25</v>
      </c>
      <c r="AC78" t="s">
        <v>22</v>
      </c>
      <c r="AD78" t="s">
        <v>1989</v>
      </c>
      <c r="AE78">
        <v>9.4705556880020147E-5</v>
      </c>
      <c r="AG78" t="s">
        <v>97</v>
      </c>
      <c r="AH78" t="s">
        <v>1989</v>
      </c>
      <c r="AI78">
        <v>0</v>
      </c>
    </row>
    <row r="79" spans="5:35" x14ac:dyDescent="0.45">
      <c r="E79" t="s">
        <v>1862</v>
      </c>
      <c r="G79" t="s">
        <v>156</v>
      </c>
      <c r="I79" t="s">
        <v>236</v>
      </c>
      <c r="J79" t="s">
        <v>1990</v>
      </c>
      <c r="K79">
        <v>0</v>
      </c>
      <c r="L79" t="s">
        <v>238</v>
      </c>
      <c r="N79" t="s">
        <v>346</v>
      </c>
      <c r="O79" t="s">
        <v>1990</v>
      </c>
      <c r="P79">
        <v>2.2540674284860001E-4</v>
      </c>
      <c r="Q79" t="s">
        <v>238</v>
      </c>
      <c r="S79" t="s">
        <v>347</v>
      </c>
      <c r="T79" t="s">
        <v>1990</v>
      </c>
      <c r="U79">
        <v>2.135786498747E-4</v>
      </c>
      <c r="V79" t="s">
        <v>238</v>
      </c>
      <c r="X79">
        <v>1.1415525114155251E-4</v>
      </c>
      <c r="Y79">
        <v>2.1215059377304864E-5</v>
      </c>
      <c r="Z79" t="s">
        <v>1990</v>
      </c>
      <c r="AA79" t="s">
        <v>25</v>
      </c>
      <c r="AC79" t="s">
        <v>22</v>
      </c>
      <c r="AD79" t="s">
        <v>1990</v>
      </c>
      <c r="AE79">
        <v>1.0431042406756096E-4</v>
      </c>
      <c r="AG79" t="s">
        <v>97</v>
      </c>
      <c r="AH79" t="s">
        <v>1990</v>
      </c>
      <c r="AI79">
        <v>0</v>
      </c>
    </row>
    <row r="80" spans="5:35" x14ac:dyDescent="0.45">
      <c r="E80" t="s">
        <v>1863</v>
      </c>
      <c r="G80" t="s">
        <v>156</v>
      </c>
      <c r="I80" t="s">
        <v>236</v>
      </c>
      <c r="J80" t="s">
        <v>1991</v>
      </c>
      <c r="K80">
        <v>0</v>
      </c>
      <c r="L80" t="s">
        <v>238</v>
      </c>
      <c r="N80" t="s">
        <v>346</v>
      </c>
      <c r="O80" t="s">
        <v>1991</v>
      </c>
      <c r="P80">
        <v>2.345331718762E-4</v>
      </c>
      <c r="Q80" t="s">
        <v>238</v>
      </c>
      <c r="S80" t="s">
        <v>347</v>
      </c>
      <c r="T80" t="s">
        <v>1991</v>
      </c>
      <c r="U80">
        <v>2.166886439617E-4</v>
      </c>
      <c r="V80" t="s">
        <v>238</v>
      </c>
      <c r="X80">
        <v>1.1415525114155251E-4</v>
      </c>
      <c r="Y80">
        <v>5.7678442682047593E-5</v>
      </c>
      <c r="Z80" t="s">
        <v>1991</v>
      </c>
      <c r="AA80" t="s">
        <v>25</v>
      </c>
      <c r="AC80" t="s">
        <v>22</v>
      </c>
      <c r="AD80" t="s">
        <v>1991</v>
      </c>
      <c r="AE80">
        <v>1.362463924959643E-4</v>
      </c>
      <c r="AG80" t="s">
        <v>97</v>
      </c>
      <c r="AH80" t="s">
        <v>1991</v>
      </c>
      <c r="AI80">
        <v>0</v>
      </c>
    </row>
    <row r="81" spans="5:35" x14ac:dyDescent="0.45">
      <c r="E81" t="s">
        <v>1864</v>
      </c>
      <c r="G81" t="s">
        <v>156</v>
      </c>
      <c r="I81" t="s">
        <v>236</v>
      </c>
      <c r="J81" t="s">
        <v>1992</v>
      </c>
      <c r="K81">
        <v>0</v>
      </c>
      <c r="L81" t="s">
        <v>238</v>
      </c>
      <c r="N81" t="s">
        <v>346</v>
      </c>
      <c r="O81" t="s">
        <v>1992</v>
      </c>
      <c r="P81">
        <v>2.4497417055709998E-4</v>
      </c>
      <c r="Q81" t="s">
        <v>238</v>
      </c>
      <c r="S81" t="s">
        <v>347</v>
      </c>
      <c r="T81" t="s">
        <v>1992</v>
      </c>
      <c r="U81">
        <v>2.194072564524E-4</v>
      </c>
      <c r="V81" t="s">
        <v>238</v>
      </c>
      <c r="X81">
        <v>1.1415525114155251E-4</v>
      </c>
      <c r="Y81">
        <v>1.6905750441289813E-4</v>
      </c>
      <c r="Z81" t="s">
        <v>1992</v>
      </c>
      <c r="AA81" t="s">
        <v>25</v>
      </c>
      <c r="AC81" t="s">
        <v>22</v>
      </c>
      <c r="AD81" t="s">
        <v>1992</v>
      </c>
      <c r="AE81">
        <v>1.5853736597179385E-4</v>
      </c>
      <c r="AG81" t="s">
        <v>97</v>
      </c>
      <c r="AH81" t="s">
        <v>1992</v>
      </c>
      <c r="AI81">
        <v>0</v>
      </c>
    </row>
    <row r="82" spans="5:35" x14ac:dyDescent="0.45">
      <c r="E82" t="s">
        <v>1865</v>
      </c>
      <c r="G82" t="s">
        <v>156</v>
      </c>
      <c r="I82" t="s">
        <v>236</v>
      </c>
      <c r="J82" t="s">
        <v>1993</v>
      </c>
      <c r="K82">
        <v>8.7141246751231831E-5</v>
      </c>
      <c r="L82" t="s">
        <v>238</v>
      </c>
      <c r="N82" t="s">
        <v>346</v>
      </c>
      <c r="O82" t="s">
        <v>1993</v>
      </c>
      <c r="P82">
        <v>2.5061156335210003E-4</v>
      </c>
      <c r="Q82" t="s">
        <v>238</v>
      </c>
      <c r="S82" t="s">
        <v>347</v>
      </c>
      <c r="T82" t="s">
        <v>1993</v>
      </c>
      <c r="U82">
        <v>2.2064111361789999E-4</v>
      </c>
      <c r="V82" t="s">
        <v>238</v>
      </c>
      <c r="X82">
        <v>1.1415525114155251E-4</v>
      </c>
      <c r="Y82">
        <v>1.9060404909297337E-4</v>
      </c>
      <c r="Z82" t="s">
        <v>1993</v>
      </c>
      <c r="AA82" t="s">
        <v>25</v>
      </c>
      <c r="AC82" t="s">
        <v>22</v>
      </c>
      <c r="AD82" t="s">
        <v>1993</v>
      </c>
      <c r="AE82">
        <v>1.6522723765658053E-4</v>
      </c>
      <c r="AG82" t="s">
        <v>97</v>
      </c>
      <c r="AH82" t="s">
        <v>1993</v>
      </c>
      <c r="AI82">
        <v>0</v>
      </c>
    </row>
    <row r="83" spans="5:35" x14ac:dyDescent="0.45">
      <c r="E83" t="s">
        <v>1866</v>
      </c>
      <c r="G83" t="s">
        <v>364</v>
      </c>
      <c r="I83" t="s">
        <v>236</v>
      </c>
      <c r="J83" t="s">
        <v>1994</v>
      </c>
      <c r="K83">
        <v>1.7292825209110001E-4</v>
      </c>
      <c r="L83" t="s">
        <v>238</v>
      </c>
      <c r="N83" t="s">
        <v>346</v>
      </c>
      <c r="O83" t="s">
        <v>1994</v>
      </c>
      <c r="P83">
        <v>2.4941707017449999E-4</v>
      </c>
      <c r="Q83" t="s">
        <v>238</v>
      </c>
      <c r="S83" t="s">
        <v>347</v>
      </c>
      <c r="T83" t="s">
        <v>1994</v>
      </c>
      <c r="U83">
        <v>2.2177081979570001E-4</v>
      </c>
      <c r="V83" t="s">
        <v>238</v>
      </c>
      <c r="X83">
        <v>1.1415525114155251E-4</v>
      </c>
      <c r="Y83">
        <v>1.4585353321897094E-4</v>
      </c>
      <c r="Z83" t="s">
        <v>1994</v>
      </c>
      <c r="AA83" t="s">
        <v>25</v>
      </c>
      <c r="AC83" t="s">
        <v>22</v>
      </c>
      <c r="AD83" t="s">
        <v>1994</v>
      </c>
      <c r="AE83">
        <v>1.6635081507750444E-4</v>
      </c>
      <c r="AG83" t="s">
        <v>97</v>
      </c>
      <c r="AH83" t="s">
        <v>1994</v>
      </c>
      <c r="AI83">
        <v>0</v>
      </c>
    </row>
    <row r="84" spans="5:35" x14ac:dyDescent="0.45">
      <c r="E84" t="s">
        <v>1867</v>
      </c>
      <c r="G84" t="s">
        <v>364</v>
      </c>
      <c r="I84" t="s">
        <v>236</v>
      </c>
      <c r="J84" t="s">
        <v>1995</v>
      </c>
      <c r="K84">
        <v>2.5933366286539999E-4</v>
      </c>
      <c r="L84" t="s">
        <v>238</v>
      </c>
      <c r="N84" t="s">
        <v>346</v>
      </c>
      <c r="O84" t="s">
        <v>1995</v>
      </c>
      <c r="P84">
        <v>2.3459516828130001E-4</v>
      </c>
      <c r="Q84" t="s">
        <v>238</v>
      </c>
      <c r="S84" t="s">
        <v>347</v>
      </c>
      <c r="T84" t="s">
        <v>1995</v>
      </c>
      <c r="U84">
        <v>2.187620771026E-4</v>
      </c>
      <c r="V84" t="s">
        <v>238</v>
      </c>
      <c r="X84">
        <v>1.1415525114155251E-4</v>
      </c>
      <c r="Y84">
        <v>1.4452759200788939E-4</v>
      </c>
      <c r="Z84" t="s">
        <v>1995</v>
      </c>
      <c r="AA84" t="s">
        <v>25</v>
      </c>
      <c r="AC84" t="s">
        <v>22</v>
      </c>
      <c r="AD84" t="s">
        <v>1995</v>
      </c>
      <c r="AE84">
        <v>1.6464825133253301E-4</v>
      </c>
      <c r="AG84" t="s">
        <v>97</v>
      </c>
      <c r="AH84" t="s">
        <v>1995</v>
      </c>
      <c r="AI84">
        <v>0</v>
      </c>
    </row>
    <row r="85" spans="5:35" x14ac:dyDescent="0.45">
      <c r="E85" t="s">
        <v>1868</v>
      </c>
      <c r="G85" t="s">
        <v>364</v>
      </c>
      <c r="I85" t="s">
        <v>236</v>
      </c>
      <c r="J85" t="s">
        <v>1996</v>
      </c>
      <c r="K85">
        <v>3.2269767254959999E-4</v>
      </c>
      <c r="L85" t="s">
        <v>238</v>
      </c>
      <c r="N85" t="s">
        <v>346</v>
      </c>
      <c r="O85" t="s">
        <v>1996</v>
      </c>
      <c r="P85">
        <v>2.3194588012119999E-4</v>
      </c>
      <c r="Q85" t="s">
        <v>238</v>
      </c>
      <c r="S85" t="s">
        <v>347</v>
      </c>
      <c r="T85" t="s">
        <v>1996</v>
      </c>
      <c r="U85">
        <v>2.1874904420520001E-4</v>
      </c>
      <c r="V85" t="s">
        <v>238</v>
      </c>
      <c r="X85">
        <v>1.1415525114155251E-4</v>
      </c>
      <c r="Y85">
        <v>1.408812536774151E-4</v>
      </c>
      <c r="Z85" t="s">
        <v>1996</v>
      </c>
      <c r="AA85" t="s">
        <v>25</v>
      </c>
      <c r="AC85" t="s">
        <v>22</v>
      </c>
      <c r="AD85" t="s">
        <v>1996</v>
      </c>
      <c r="AE85">
        <v>1.6174185463657169E-4</v>
      </c>
      <c r="AG85" t="s">
        <v>97</v>
      </c>
      <c r="AH85" t="s">
        <v>1996</v>
      </c>
      <c r="AI85">
        <v>0</v>
      </c>
    </row>
    <row r="86" spans="5:35" x14ac:dyDescent="0.45">
      <c r="E86" t="s">
        <v>1869</v>
      </c>
      <c r="G86" t="s">
        <v>364</v>
      </c>
      <c r="I86" t="s">
        <v>236</v>
      </c>
      <c r="J86" t="s">
        <v>1997</v>
      </c>
      <c r="K86">
        <v>3.4133508105100002E-4</v>
      </c>
      <c r="L86" t="s">
        <v>238</v>
      </c>
      <c r="N86" t="s">
        <v>346</v>
      </c>
      <c r="O86" t="s">
        <v>1997</v>
      </c>
      <c r="P86">
        <v>2.3370393681960001E-4</v>
      </c>
      <c r="Q86" t="s">
        <v>238</v>
      </c>
      <c r="S86" t="s">
        <v>347</v>
      </c>
      <c r="T86" t="s">
        <v>1997</v>
      </c>
      <c r="U86">
        <v>2.1924264852459999E-4</v>
      </c>
      <c r="V86" t="s">
        <v>238</v>
      </c>
      <c r="X86">
        <v>1.1415525114155251E-4</v>
      </c>
      <c r="Y86">
        <v>1.4054976837464471E-4</v>
      </c>
      <c r="Z86" t="s">
        <v>1997</v>
      </c>
      <c r="AA86" t="s">
        <v>25</v>
      </c>
      <c r="AC86" t="s">
        <v>22</v>
      </c>
      <c r="AD86" t="s">
        <v>1997</v>
      </c>
      <c r="AE86">
        <v>1.5930839231421355E-4</v>
      </c>
      <c r="AG86" t="s">
        <v>97</v>
      </c>
      <c r="AH86" t="s">
        <v>1997</v>
      </c>
      <c r="AI86">
        <v>0</v>
      </c>
    </row>
    <row r="87" spans="5:35" x14ac:dyDescent="0.45">
      <c r="E87" t="s">
        <v>1870</v>
      </c>
      <c r="G87" t="s">
        <v>364</v>
      </c>
      <c r="I87" t="s">
        <v>236</v>
      </c>
      <c r="J87" t="s">
        <v>1998</v>
      </c>
      <c r="K87">
        <v>3.1107054392030001E-4</v>
      </c>
      <c r="L87" t="s">
        <v>238</v>
      </c>
      <c r="N87" t="s">
        <v>346</v>
      </c>
      <c r="O87" t="s">
        <v>1998</v>
      </c>
      <c r="P87">
        <v>2.3727212681229999E-4</v>
      </c>
      <c r="Q87" t="s">
        <v>238</v>
      </c>
      <c r="S87" t="s">
        <v>347</v>
      </c>
      <c r="T87" t="s">
        <v>1998</v>
      </c>
      <c r="U87">
        <v>2.2046810956730001E-4</v>
      </c>
      <c r="V87" t="s">
        <v>238</v>
      </c>
      <c r="X87">
        <v>1.1415525114155251E-4</v>
      </c>
      <c r="Y87">
        <v>1.4253868019126702E-4</v>
      </c>
      <c r="Z87" t="s">
        <v>1998</v>
      </c>
      <c r="AA87" t="s">
        <v>25</v>
      </c>
      <c r="AC87" t="s">
        <v>22</v>
      </c>
      <c r="AD87" t="s">
        <v>1998</v>
      </c>
      <c r="AE87">
        <v>1.5764022379641327E-4</v>
      </c>
      <c r="AG87" t="s">
        <v>97</v>
      </c>
      <c r="AH87" t="s">
        <v>1998</v>
      </c>
      <c r="AI87">
        <v>0</v>
      </c>
    </row>
    <row r="88" spans="5:35" x14ac:dyDescent="0.45">
      <c r="E88" t="s">
        <v>1871</v>
      </c>
      <c r="G88" t="s">
        <v>364</v>
      </c>
      <c r="I88" t="s">
        <v>236</v>
      </c>
      <c r="J88" t="s">
        <v>1999</v>
      </c>
      <c r="K88">
        <v>3.1585030314390002E-4</v>
      </c>
      <c r="L88" t="s">
        <v>238</v>
      </c>
      <c r="N88" t="s">
        <v>346</v>
      </c>
      <c r="O88" t="s">
        <v>1999</v>
      </c>
      <c r="P88">
        <v>2.4137889180330001E-4</v>
      </c>
      <c r="Q88" t="s">
        <v>238</v>
      </c>
      <c r="S88" t="s">
        <v>347</v>
      </c>
      <c r="T88" t="s">
        <v>1999</v>
      </c>
      <c r="U88">
        <v>2.2116442895980001E-4</v>
      </c>
      <c r="V88" t="s">
        <v>238</v>
      </c>
      <c r="X88">
        <v>1.1415525114155251E-4</v>
      </c>
      <c r="Y88">
        <v>1.4883690094390442E-4</v>
      </c>
      <c r="Z88" t="s">
        <v>1999</v>
      </c>
      <c r="AA88" t="s">
        <v>25</v>
      </c>
      <c r="AC88" t="s">
        <v>22</v>
      </c>
      <c r="AD88" t="s">
        <v>1999</v>
      </c>
      <c r="AE88">
        <v>1.5706410374129667E-4</v>
      </c>
      <c r="AG88" t="s">
        <v>97</v>
      </c>
      <c r="AH88" t="s">
        <v>1999</v>
      </c>
      <c r="AI88">
        <v>0</v>
      </c>
    </row>
    <row r="89" spans="5:35" x14ac:dyDescent="0.45">
      <c r="E89" t="s">
        <v>1872</v>
      </c>
      <c r="G89" t="s">
        <v>364</v>
      </c>
      <c r="I89" t="s">
        <v>236</v>
      </c>
      <c r="J89" t="s">
        <v>2000</v>
      </c>
      <c r="K89">
        <v>3.3024840053470002E-4</v>
      </c>
      <c r="L89" t="s">
        <v>238</v>
      </c>
      <c r="N89" t="s">
        <v>346</v>
      </c>
      <c r="O89" t="s">
        <v>2000</v>
      </c>
      <c r="P89">
        <v>2.4791652335870001E-4</v>
      </c>
      <c r="Q89" t="s">
        <v>238</v>
      </c>
      <c r="S89" t="s">
        <v>347</v>
      </c>
      <c r="T89" t="s">
        <v>2000</v>
      </c>
      <c r="U89">
        <v>2.222968262168E-4</v>
      </c>
      <c r="V89" t="s">
        <v>238</v>
      </c>
      <c r="X89">
        <v>1.1415525114155251E-4</v>
      </c>
      <c r="Y89">
        <v>1.5049432745775637E-4</v>
      </c>
      <c r="Z89" t="s">
        <v>2000</v>
      </c>
      <c r="AA89" t="s">
        <v>25</v>
      </c>
      <c r="AC89" t="s">
        <v>22</v>
      </c>
      <c r="AD89" t="s">
        <v>2000</v>
      </c>
      <c r="AE89">
        <v>1.5666855862882858E-4</v>
      </c>
      <c r="AG89" t="s">
        <v>97</v>
      </c>
      <c r="AH89" t="s">
        <v>2000</v>
      </c>
      <c r="AI89">
        <v>0</v>
      </c>
    </row>
    <row r="90" spans="5:35" x14ac:dyDescent="0.45">
      <c r="E90" t="s">
        <v>1873</v>
      </c>
      <c r="G90" t="s">
        <v>364</v>
      </c>
      <c r="I90" t="s">
        <v>236</v>
      </c>
      <c r="J90" t="s">
        <v>2001</v>
      </c>
      <c r="K90">
        <v>2.7531394125149998E-4</v>
      </c>
      <c r="L90" t="s">
        <v>238</v>
      </c>
      <c r="N90" t="s">
        <v>346</v>
      </c>
      <c r="O90" t="s">
        <v>2001</v>
      </c>
      <c r="P90">
        <v>2.4800740722110001E-4</v>
      </c>
      <c r="Q90" t="s">
        <v>238</v>
      </c>
      <c r="S90" t="s">
        <v>347</v>
      </c>
      <c r="T90" t="s">
        <v>2001</v>
      </c>
      <c r="U90">
        <v>2.2209926669999999E-4</v>
      </c>
      <c r="V90" t="s">
        <v>238</v>
      </c>
      <c r="X90">
        <v>1.1415525114155251E-4</v>
      </c>
      <c r="Y90">
        <v>1.7237235744060203E-4</v>
      </c>
      <c r="Z90" t="s">
        <v>2001</v>
      </c>
      <c r="AA90" t="s">
        <v>25</v>
      </c>
      <c r="AC90" t="s">
        <v>22</v>
      </c>
      <c r="AD90" t="s">
        <v>2001</v>
      </c>
      <c r="AE90">
        <v>1.5739372466835343E-4</v>
      </c>
      <c r="AG90" t="s">
        <v>97</v>
      </c>
      <c r="AH90" t="s">
        <v>2001</v>
      </c>
      <c r="AI90">
        <v>0</v>
      </c>
    </row>
    <row r="91" spans="5:35" x14ac:dyDescent="0.45">
      <c r="E91" t="s">
        <v>1874</v>
      </c>
      <c r="G91" t="s">
        <v>364</v>
      </c>
      <c r="I91" t="s">
        <v>236</v>
      </c>
      <c r="J91" t="s">
        <v>2002</v>
      </c>
      <c r="K91">
        <v>2.098193489816E-4</v>
      </c>
      <c r="L91" t="s">
        <v>238</v>
      </c>
      <c r="N91" t="s">
        <v>346</v>
      </c>
      <c r="O91" t="s">
        <v>2002</v>
      </c>
      <c r="P91">
        <v>2.5718354329820002E-4</v>
      </c>
      <c r="Q91" t="s">
        <v>238</v>
      </c>
      <c r="S91" t="s">
        <v>347</v>
      </c>
      <c r="T91" t="s">
        <v>2002</v>
      </c>
      <c r="U91">
        <v>2.2291339652959999E-4</v>
      </c>
      <c r="V91" t="s">
        <v>238</v>
      </c>
      <c r="X91">
        <v>1.1415525114155251E-4</v>
      </c>
      <c r="Y91">
        <v>2.2209515285616027E-4</v>
      </c>
      <c r="Z91" t="s">
        <v>2002</v>
      </c>
      <c r="AA91" t="s">
        <v>25</v>
      </c>
      <c r="AC91" t="s">
        <v>22</v>
      </c>
      <c r="AD91" t="s">
        <v>2002</v>
      </c>
      <c r="AE91">
        <v>1.585144358203464E-4</v>
      </c>
      <c r="AG91" t="s">
        <v>97</v>
      </c>
      <c r="AH91" t="s">
        <v>2002</v>
      </c>
      <c r="AI91">
        <v>0</v>
      </c>
    </row>
    <row r="92" spans="5:35" x14ac:dyDescent="0.45">
      <c r="E92" t="s">
        <v>1875</v>
      </c>
      <c r="G92" t="s">
        <v>364</v>
      </c>
      <c r="I92" t="s">
        <v>236</v>
      </c>
      <c r="J92" t="s">
        <v>2003</v>
      </c>
      <c r="K92">
        <v>1.17527865454E-4</v>
      </c>
      <c r="L92" t="s">
        <v>238</v>
      </c>
      <c r="N92" t="s">
        <v>346</v>
      </c>
      <c r="O92" t="s">
        <v>2003</v>
      </c>
      <c r="P92">
        <v>2.6277462613319999E-4</v>
      </c>
      <c r="Q92" t="s">
        <v>238</v>
      </c>
      <c r="S92" t="s">
        <v>347</v>
      </c>
      <c r="T92" t="s">
        <v>2003</v>
      </c>
      <c r="U92">
        <v>2.229669889984E-4</v>
      </c>
      <c r="V92" t="s">
        <v>238</v>
      </c>
      <c r="X92">
        <v>1.1415525114155251E-4</v>
      </c>
      <c r="Y92">
        <v>2.2209515285616027E-4</v>
      </c>
      <c r="Z92" t="s">
        <v>2003</v>
      </c>
      <c r="AA92" t="s">
        <v>25</v>
      </c>
      <c r="AC92" t="s">
        <v>22</v>
      </c>
      <c r="AD92" t="s">
        <v>2003</v>
      </c>
      <c r="AE92">
        <v>1.6074725931753957E-4</v>
      </c>
      <c r="AG92" t="s">
        <v>97</v>
      </c>
      <c r="AH92" t="s">
        <v>2003</v>
      </c>
      <c r="AI92">
        <v>0</v>
      </c>
    </row>
    <row r="93" spans="5:35" x14ac:dyDescent="0.45">
      <c r="E93" t="s">
        <v>1876</v>
      </c>
      <c r="G93" t="s">
        <v>364</v>
      </c>
      <c r="I93" t="s">
        <v>236</v>
      </c>
      <c r="J93" t="s">
        <v>2004</v>
      </c>
      <c r="K93">
        <v>2.4555360125495987E-5</v>
      </c>
      <c r="L93" t="s">
        <v>238</v>
      </c>
      <c r="N93" t="s">
        <v>346</v>
      </c>
      <c r="O93" t="s">
        <v>2004</v>
      </c>
      <c r="P93">
        <v>2.664764449485E-4</v>
      </c>
      <c r="Q93" t="s">
        <v>238</v>
      </c>
      <c r="S93" t="s">
        <v>347</v>
      </c>
      <c r="T93" t="s">
        <v>2004</v>
      </c>
      <c r="U93">
        <v>2.2300121195289999E-4</v>
      </c>
      <c r="V93" t="s">
        <v>238</v>
      </c>
      <c r="X93">
        <v>1.1415525114155251E-4</v>
      </c>
      <c r="Y93">
        <v>1.7237235744060203E-4</v>
      </c>
      <c r="Z93" t="s">
        <v>2004</v>
      </c>
      <c r="AA93" t="s">
        <v>25</v>
      </c>
      <c r="AC93" t="s">
        <v>22</v>
      </c>
      <c r="AD93" t="s">
        <v>2004</v>
      </c>
      <c r="AE93">
        <v>1.6250141590326767E-4</v>
      </c>
      <c r="AG93" t="s">
        <v>97</v>
      </c>
      <c r="AH93" t="s">
        <v>2004</v>
      </c>
      <c r="AI93">
        <v>0</v>
      </c>
    </row>
    <row r="94" spans="5:35" x14ac:dyDescent="0.45">
      <c r="E94" t="s">
        <v>1877</v>
      </c>
      <c r="G94" t="s">
        <v>364</v>
      </c>
      <c r="I94" t="s">
        <v>236</v>
      </c>
      <c r="J94" t="s">
        <v>2005</v>
      </c>
      <c r="K94">
        <v>0</v>
      </c>
      <c r="L94" t="s">
        <v>238</v>
      </c>
      <c r="N94" t="s">
        <v>346</v>
      </c>
      <c r="O94" t="s">
        <v>2005</v>
      </c>
      <c r="P94">
        <v>2.685383810558E-4</v>
      </c>
      <c r="Q94" t="s">
        <v>238</v>
      </c>
      <c r="S94" t="s">
        <v>347</v>
      </c>
      <c r="T94" t="s">
        <v>2005</v>
      </c>
      <c r="U94">
        <v>2.2296451802699999E-4</v>
      </c>
      <c r="V94" t="s">
        <v>238</v>
      </c>
      <c r="X94">
        <v>1.1415525114155251E-4</v>
      </c>
      <c r="Y94">
        <v>1.5579809230208258E-4</v>
      </c>
      <c r="Z94" t="s">
        <v>2005</v>
      </c>
      <c r="AA94" t="s">
        <v>25</v>
      </c>
      <c r="AC94" t="s">
        <v>22</v>
      </c>
      <c r="AD94" t="s">
        <v>2005</v>
      </c>
      <c r="AE94">
        <v>1.5843418029028042E-4</v>
      </c>
      <c r="AG94" t="s">
        <v>97</v>
      </c>
      <c r="AH94" t="s">
        <v>2005</v>
      </c>
      <c r="AI94">
        <v>0</v>
      </c>
    </row>
    <row r="95" spans="5:35" x14ac:dyDescent="0.45">
      <c r="E95" t="s">
        <v>1878</v>
      </c>
      <c r="G95" t="s">
        <v>364</v>
      </c>
      <c r="I95" t="s">
        <v>236</v>
      </c>
      <c r="J95" t="s">
        <v>2006</v>
      </c>
      <c r="K95">
        <v>0</v>
      </c>
      <c r="L95" t="s">
        <v>238</v>
      </c>
      <c r="N95" t="s">
        <v>346</v>
      </c>
      <c r="O95" t="s">
        <v>2006</v>
      </c>
      <c r="P95">
        <v>2.684374495608E-4</v>
      </c>
      <c r="Q95" t="s">
        <v>238</v>
      </c>
      <c r="S95" t="s">
        <v>347</v>
      </c>
      <c r="T95" t="s">
        <v>2006</v>
      </c>
      <c r="U95">
        <v>2.2286676911160001E-4</v>
      </c>
      <c r="V95" t="s">
        <v>238</v>
      </c>
      <c r="X95">
        <v>1.1415525114155251E-4</v>
      </c>
      <c r="Y95">
        <v>1.093901499142282E-4</v>
      </c>
      <c r="Z95" t="s">
        <v>2006</v>
      </c>
      <c r="AA95" t="s">
        <v>25</v>
      </c>
      <c r="AC95" t="s">
        <v>22</v>
      </c>
      <c r="AD95" t="s">
        <v>2006</v>
      </c>
      <c r="AE95">
        <v>1.4365569768241398E-4</v>
      </c>
      <c r="AG95" t="s">
        <v>97</v>
      </c>
      <c r="AH95" t="s">
        <v>2006</v>
      </c>
      <c r="AI95">
        <v>0</v>
      </c>
    </row>
    <row r="96" spans="5:35" x14ac:dyDescent="0.45">
      <c r="E96" t="s">
        <v>1879</v>
      </c>
      <c r="G96" t="s">
        <v>364</v>
      </c>
      <c r="I96" t="s">
        <v>236</v>
      </c>
      <c r="J96" t="s">
        <v>2007</v>
      </c>
      <c r="K96">
        <v>0</v>
      </c>
      <c r="L96" t="s">
        <v>238</v>
      </c>
      <c r="N96" t="s">
        <v>346</v>
      </c>
      <c r="O96" t="s">
        <v>2007</v>
      </c>
      <c r="P96">
        <v>2.6836641699199998E-4</v>
      </c>
      <c r="Q96" t="s">
        <v>238</v>
      </c>
      <c r="S96" t="s">
        <v>347</v>
      </c>
      <c r="T96" t="s">
        <v>2007</v>
      </c>
      <c r="U96">
        <v>2.228515059334E-4</v>
      </c>
      <c r="V96" t="s">
        <v>238</v>
      </c>
      <c r="X96">
        <v>1.1415525114155251E-4</v>
      </c>
      <c r="Y96">
        <v>7.9556472664893237E-5</v>
      </c>
      <c r="Z96" t="s">
        <v>2007</v>
      </c>
      <c r="AA96" t="s">
        <v>25</v>
      </c>
      <c r="AC96" t="s">
        <v>22</v>
      </c>
      <c r="AD96" t="s">
        <v>2007</v>
      </c>
      <c r="AE96">
        <v>1.3328553669031531E-4</v>
      </c>
      <c r="AG96" t="s">
        <v>97</v>
      </c>
      <c r="AH96" t="s">
        <v>2007</v>
      </c>
      <c r="AI96">
        <v>0</v>
      </c>
    </row>
    <row r="97" spans="5:35" x14ac:dyDescent="0.45">
      <c r="E97" t="s">
        <v>1880</v>
      </c>
      <c r="G97" t="s">
        <v>364</v>
      </c>
      <c r="I97" t="s">
        <v>236</v>
      </c>
      <c r="J97" t="s">
        <v>2008</v>
      </c>
      <c r="K97">
        <v>0</v>
      </c>
      <c r="L97" t="s">
        <v>238</v>
      </c>
      <c r="N97" t="s">
        <v>346</v>
      </c>
      <c r="O97" t="s">
        <v>2008</v>
      </c>
      <c r="P97">
        <v>2.6472843106490002E-4</v>
      </c>
      <c r="Q97" t="s">
        <v>238</v>
      </c>
      <c r="S97" t="s">
        <v>347</v>
      </c>
      <c r="T97" t="s">
        <v>2008</v>
      </c>
      <c r="U97">
        <v>2.2252249142020001E-4</v>
      </c>
      <c r="V97" t="s">
        <v>238</v>
      </c>
      <c r="X97">
        <v>1.1415525114155251E-4</v>
      </c>
      <c r="Y97">
        <v>5.6352501470966035E-5</v>
      </c>
      <c r="Z97" t="s">
        <v>2008</v>
      </c>
      <c r="AA97" t="s">
        <v>25</v>
      </c>
      <c r="AC97" t="s">
        <v>22</v>
      </c>
      <c r="AD97" t="s">
        <v>2008</v>
      </c>
      <c r="AE97">
        <v>1.2831542636408563E-4</v>
      </c>
      <c r="AG97" t="s">
        <v>97</v>
      </c>
      <c r="AH97" t="s">
        <v>2008</v>
      </c>
      <c r="AI97">
        <v>0</v>
      </c>
    </row>
    <row r="98" spans="5:35" x14ac:dyDescent="0.45">
      <c r="E98" t="s">
        <v>1881</v>
      </c>
      <c r="G98" t="s">
        <v>364</v>
      </c>
      <c r="I98" t="s">
        <v>236</v>
      </c>
      <c r="J98" t="s">
        <v>2009</v>
      </c>
      <c r="K98">
        <v>0</v>
      </c>
      <c r="L98" t="s">
        <v>238</v>
      </c>
      <c r="N98" t="s">
        <v>346</v>
      </c>
      <c r="O98" t="s">
        <v>2009</v>
      </c>
      <c r="P98">
        <v>2.6553701120430001E-4</v>
      </c>
      <c r="Q98" t="s">
        <v>238</v>
      </c>
      <c r="S98" t="s">
        <v>347</v>
      </c>
      <c r="T98" t="s">
        <v>2009</v>
      </c>
      <c r="U98">
        <v>2.2249412515969999E-4</v>
      </c>
      <c r="V98" t="s">
        <v>238</v>
      </c>
      <c r="X98">
        <v>1.1415525114155251E-4</v>
      </c>
      <c r="Y98">
        <v>2.9833677249334962E-5</v>
      </c>
      <c r="Z98" t="s">
        <v>2009</v>
      </c>
      <c r="AA98" t="s">
        <v>25</v>
      </c>
      <c r="AC98" t="s">
        <v>22</v>
      </c>
      <c r="AD98" t="s">
        <v>2009</v>
      </c>
      <c r="AE98">
        <v>1.0018013053809327E-4</v>
      </c>
      <c r="AG98" t="s">
        <v>97</v>
      </c>
      <c r="AH98" t="s">
        <v>2009</v>
      </c>
      <c r="AI98">
        <v>0</v>
      </c>
    </row>
    <row r="99" spans="5:35" x14ac:dyDescent="0.45">
      <c r="E99" t="s">
        <v>1882</v>
      </c>
      <c r="G99" t="s">
        <v>364</v>
      </c>
      <c r="I99" t="s">
        <v>236</v>
      </c>
      <c r="J99" t="s">
        <v>2010</v>
      </c>
      <c r="K99">
        <v>0</v>
      </c>
      <c r="L99" t="s">
        <v>238</v>
      </c>
      <c r="N99" t="s">
        <v>346</v>
      </c>
      <c r="O99" t="s">
        <v>2010</v>
      </c>
      <c r="P99">
        <v>2.6589343472619998E-4</v>
      </c>
      <c r="Q99" t="s">
        <v>238</v>
      </c>
      <c r="S99" t="s">
        <v>347</v>
      </c>
      <c r="T99" t="s">
        <v>2010</v>
      </c>
      <c r="U99">
        <v>2.2230937731599999E-4</v>
      </c>
      <c r="V99" t="s">
        <v>238</v>
      </c>
      <c r="X99">
        <v>1.1415525114155251E-4</v>
      </c>
      <c r="Y99">
        <v>2.1546544680075254E-5</v>
      </c>
      <c r="Z99" t="s">
        <v>2010</v>
      </c>
      <c r="AA99" t="s">
        <v>25</v>
      </c>
      <c r="AC99" t="s">
        <v>22</v>
      </c>
      <c r="AD99" t="s">
        <v>2010</v>
      </c>
      <c r="AE99">
        <v>9.3891536503636506E-5</v>
      </c>
      <c r="AG99" t="s">
        <v>97</v>
      </c>
      <c r="AH99" t="s">
        <v>2010</v>
      </c>
      <c r="AI99">
        <v>0</v>
      </c>
    </row>
    <row r="100" spans="5:35" x14ac:dyDescent="0.45">
      <c r="E100" t="s">
        <v>1883</v>
      </c>
      <c r="G100" t="s">
        <v>364</v>
      </c>
      <c r="I100" t="s">
        <v>236</v>
      </c>
      <c r="J100" t="s">
        <v>2011</v>
      </c>
      <c r="K100">
        <v>0</v>
      </c>
      <c r="L100" t="s">
        <v>238</v>
      </c>
      <c r="N100" t="s">
        <v>346</v>
      </c>
      <c r="O100" t="s">
        <v>2011</v>
      </c>
      <c r="P100">
        <v>2.6509332335219999E-4</v>
      </c>
      <c r="Q100" t="s">
        <v>238</v>
      </c>
      <c r="S100" t="s">
        <v>347</v>
      </c>
      <c r="T100" t="s">
        <v>2011</v>
      </c>
      <c r="U100">
        <v>2.2207663024849999E-4</v>
      </c>
      <c r="V100" t="s">
        <v>238</v>
      </c>
      <c r="X100">
        <v>1.1415525114155251E-4</v>
      </c>
      <c r="Y100">
        <v>1.4916838624667481E-5</v>
      </c>
      <c r="Z100" t="s">
        <v>2011</v>
      </c>
      <c r="AA100" t="s">
        <v>25</v>
      </c>
      <c r="AC100" t="s">
        <v>22</v>
      </c>
      <c r="AD100" t="s">
        <v>2011</v>
      </c>
      <c r="AE100">
        <v>9.0168253162360631E-5</v>
      </c>
      <c r="AG100" t="s">
        <v>97</v>
      </c>
      <c r="AH100" t="s">
        <v>2011</v>
      </c>
      <c r="AI100">
        <v>0</v>
      </c>
    </row>
    <row r="101" spans="5:35" x14ac:dyDescent="0.45">
      <c r="E101" t="s">
        <v>1884</v>
      </c>
      <c r="G101" t="s">
        <v>364</v>
      </c>
      <c r="I101" t="s">
        <v>236</v>
      </c>
      <c r="J101" t="s">
        <v>2012</v>
      </c>
      <c r="K101">
        <v>0</v>
      </c>
      <c r="L101" t="s">
        <v>238</v>
      </c>
      <c r="N101" t="s">
        <v>346</v>
      </c>
      <c r="O101" t="s">
        <v>2012</v>
      </c>
      <c r="P101">
        <v>2.6316663944859998E-4</v>
      </c>
      <c r="Q101" t="s">
        <v>238</v>
      </c>
      <c r="S101" t="s">
        <v>347</v>
      </c>
      <c r="T101" t="s">
        <v>2012</v>
      </c>
      <c r="U101">
        <v>2.2184092088209999E-4</v>
      </c>
      <c r="V101" t="s">
        <v>238</v>
      </c>
      <c r="X101">
        <v>1.1415525114155251E-4</v>
      </c>
      <c r="Y101">
        <v>1.6574265138519424E-5</v>
      </c>
      <c r="Z101" t="s">
        <v>2012</v>
      </c>
      <c r="AA101" t="s">
        <v>25</v>
      </c>
      <c r="AC101" t="s">
        <v>22</v>
      </c>
      <c r="AD101" t="s">
        <v>2012</v>
      </c>
      <c r="AE101">
        <v>9.0884820395092713E-5</v>
      </c>
      <c r="AG101" t="s">
        <v>97</v>
      </c>
      <c r="AH101" t="s">
        <v>2012</v>
      </c>
      <c r="AI101">
        <v>0</v>
      </c>
    </row>
    <row r="102" spans="5:35" x14ac:dyDescent="0.45">
      <c r="E102" t="s">
        <v>1885</v>
      </c>
      <c r="G102" t="s">
        <v>364</v>
      </c>
      <c r="I102" t="s">
        <v>236</v>
      </c>
      <c r="J102" t="s">
        <v>2013</v>
      </c>
      <c r="K102">
        <v>0</v>
      </c>
      <c r="L102" t="s">
        <v>238</v>
      </c>
      <c r="N102" t="s">
        <v>346</v>
      </c>
      <c r="O102" t="s">
        <v>2013</v>
      </c>
      <c r="P102">
        <v>2.6131663745509998E-4</v>
      </c>
      <c r="Q102" t="s">
        <v>238</v>
      </c>
      <c r="S102" t="s">
        <v>347</v>
      </c>
      <c r="T102" t="s">
        <v>2013</v>
      </c>
      <c r="U102">
        <v>2.2113769208330001E-4</v>
      </c>
      <c r="V102" t="s">
        <v>238</v>
      </c>
      <c r="X102">
        <v>1.1415525114155251E-4</v>
      </c>
      <c r="Y102">
        <v>1.4585353321897093E-5</v>
      </c>
      <c r="Z102" t="s">
        <v>2013</v>
      </c>
      <c r="AA102" t="s">
        <v>25</v>
      </c>
      <c r="AC102" t="s">
        <v>22</v>
      </c>
      <c r="AD102" t="s">
        <v>2013</v>
      </c>
      <c r="AE102">
        <v>9.1982601395638246E-5</v>
      </c>
      <c r="AG102" t="s">
        <v>97</v>
      </c>
      <c r="AH102" t="s">
        <v>2013</v>
      </c>
      <c r="AI102">
        <v>0</v>
      </c>
    </row>
    <row r="103" spans="5:35" x14ac:dyDescent="0.45">
      <c r="E103" t="s">
        <v>1886</v>
      </c>
      <c r="G103" t="s">
        <v>364</v>
      </c>
      <c r="I103" t="s">
        <v>236</v>
      </c>
      <c r="J103" t="s">
        <v>2014</v>
      </c>
      <c r="K103">
        <v>0</v>
      </c>
      <c r="L103" t="s">
        <v>238</v>
      </c>
      <c r="N103" t="s">
        <v>346</v>
      </c>
      <c r="O103" t="s">
        <v>2014</v>
      </c>
      <c r="P103">
        <v>2.6017020666820002E-4</v>
      </c>
      <c r="Q103" t="s">
        <v>238</v>
      </c>
      <c r="S103" t="s">
        <v>347</v>
      </c>
      <c r="T103" t="s">
        <v>2014</v>
      </c>
      <c r="U103">
        <v>2.2084861131019999E-4</v>
      </c>
      <c r="V103" t="s">
        <v>238</v>
      </c>
      <c r="X103">
        <v>1.1415525114155251E-4</v>
      </c>
      <c r="Y103">
        <v>2.1215059377304864E-5</v>
      </c>
      <c r="Z103" t="s">
        <v>2014</v>
      </c>
      <c r="AA103" t="s">
        <v>25</v>
      </c>
      <c r="AC103" t="s">
        <v>22</v>
      </c>
      <c r="AD103" t="s">
        <v>2014</v>
      </c>
      <c r="AE103">
        <v>1.0357952549017425E-4</v>
      </c>
      <c r="AG103" t="s">
        <v>97</v>
      </c>
      <c r="AH103" t="s">
        <v>2014</v>
      </c>
      <c r="AI103">
        <v>0</v>
      </c>
    </row>
    <row r="104" spans="5:35" x14ac:dyDescent="0.45">
      <c r="E104" t="s">
        <v>1887</v>
      </c>
      <c r="G104" t="s">
        <v>364</v>
      </c>
      <c r="I104" t="s">
        <v>236</v>
      </c>
      <c r="J104" t="s">
        <v>2015</v>
      </c>
      <c r="K104">
        <v>0</v>
      </c>
      <c r="L104" t="s">
        <v>238</v>
      </c>
      <c r="N104" t="s">
        <v>346</v>
      </c>
      <c r="O104" t="s">
        <v>2015</v>
      </c>
      <c r="P104">
        <v>2.593274270594E-4</v>
      </c>
      <c r="Q104" t="s">
        <v>238</v>
      </c>
      <c r="S104" t="s">
        <v>347</v>
      </c>
      <c r="T104" t="s">
        <v>2015</v>
      </c>
      <c r="U104">
        <v>2.2073624396509999E-4</v>
      </c>
      <c r="V104" t="s">
        <v>238</v>
      </c>
      <c r="X104">
        <v>1.1415525114155251E-4</v>
      </c>
      <c r="Y104">
        <v>5.7678442682047593E-5</v>
      </c>
      <c r="Z104" t="s">
        <v>2015</v>
      </c>
      <c r="AA104" t="s">
        <v>25</v>
      </c>
      <c r="AC104" t="s">
        <v>22</v>
      </c>
      <c r="AD104" t="s">
        <v>2015</v>
      </c>
      <c r="AE104">
        <v>1.3635817698427047E-4</v>
      </c>
      <c r="AG104" t="s">
        <v>97</v>
      </c>
      <c r="AH104" t="s">
        <v>2015</v>
      </c>
      <c r="AI104">
        <v>0</v>
      </c>
    </row>
    <row r="105" spans="5:35" x14ac:dyDescent="0.45">
      <c r="E105" t="s">
        <v>1888</v>
      </c>
      <c r="G105" t="s">
        <v>364</v>
      </c>
      <c r="I105" t="s">
        <v>236</v>
      </c>
      <c r="J105" t="s">
        <v>2016</v>
      </c>
      <c r="K105">
        <v>0</v>
      </c>
      <c r="L105" t="s">
        <v>238</v>
      </c>
      <c r="N105" t="s">
        <v>346</v>
      </c>
      <c r="O105" t="s">
        <v>2016</v>
      </c>
      <c r="P105">
        <v>2.5847927430099998E-4</v>
      </c>
      <c r="Q105" t="s">
        <v>238</v>
      </c>
      <c r="S105" t="s">
        <v>347</v>
      </c>
      <c r="T105" t="s">
        <v>2016</v>
      </c>
      <c r="U105">
        <v>2.2037155424760001E-4</v>
      </c>
      <c r="V105" t="s">
        <v>238</v>
      </c>
      <c r="X105">
        <v>1.1415525114155251E-4</v>
      </c>
      <c r="Y105">
        <v>1.6905750441289813E-4</v>
      </c>
      <c r="Z105" t="s">
        <v>2016</v>
      </c>
      <c r="AA105" t="s">
        <v>25</v>
      </c>
      <c r="AC105" t="s">
        <v>22</v>
      </c>
      <c r="AD105" t="s">
        <v>2016</v>
      </c>
      <c r="AE105">
        <v>1.5940011292000326E-4</v>
      </c>
      <c r="AG105" t="s">
        <v>97</v>
      </c>
      <c r="AH105" t="s">
        <v>2016</v>
      </c>
      <c r="AI105">
        <v>0</v>
      </c>
    </row>
    <row r="106" spans="5:35" x14ac:dyDescent="0.45">
      <c r="E106" t="s">
        <v>1889</v>
      </c>
      <c r="G106" t="s">
        <v>364</v>
      </c>
      <c r="I106" t="s">
        <v>236</v>
      </c>
      <c r="J106" t="s">
        <v>2017</v>
      </c>
      <c r="K106">
        <v>8.1204029430597571E-5</v>
      </c>
      <c r="L106" t="s">
        <v>238</v>
      </c>
      <c r="N106" t="s">
        <v>346</v>
      </c>
      <c r="O106" t="s">
        <v>2017</v>
      </c>
      <c r="P106">
        <v>2.5856504327260001E-4</v>
      </c>
      <c r="Q106" t="s">
        <v>238</v>
      </c>
      <c r="S106" t="s">
        <v>347</v>
      </c>
      <c r="T106" t="s">
        <v>2017</v>
      </c>
      <c r="U106">
        <v>2.2040230685300001E-4</v>
      </c>
      <c r="V106" t="s">
        <v>238</v>
      </c>
      <c r="X106">
        <v>1.1415525114155251E-4</v>
      </c>
      <c r="Y106">
        <v>1.9060404909297337E-4</v>
      </c>
      <c r="Z106" t="s">
        <v>2017</v>
      </c>
      <c r="AA106" t="s">
        <v>25</v>
      </c>
      <c r="AC106" t="s">
        <v>22</v>
      </c>
      <c r="AD106" t="s">
        <v>2017</v>
      </c>
      <c r="AE106">
        <v>1.6688967363651894E-4</v>
      </c>
      <c r="AG106" t="s">
        <v>97</v>
      </c>
      <c r="AH106" t="s">
        <v>2017</v>
      </c>
      <c r="AI106">
        <v>0</v>
      </c>
    </row>
    <row r="107" spans="5:35" x14ac:dyDescent="0.45">
      <c r="E107" t="s">
        <v>147</v>
      </c>
      <c r="G107" t="s">
        <v>367</v>
      </c>
      <c r="I107" t="s">
        <v>236</v>
      </c>
      <c r="J107" t="s">
        <v>2018</v>
      </c>
      <c r="K107">
        <v>2.0001388440950001E-4</v>
      </c>
      <c r="L107" t="s">
        <v>238</v>
      </c>
      <c r="N107" t="s">
        <v>346</v>
      </c>
      <c r="O107" t="s">
        <v>2018</v>
      </c>
      <c r="P107">
        <v>2.5810447273579999E-4</v>
      </c>
      <c r="Q107" t="s">
        <v>238</v>
      </c>
      <c r="S107" t="s">
        <v>347</v>
      </c>
      <c r="T107" t="s">
        <v>2018</v>
      </c>
      <c r="U107">
        <v>2.2050919342709999E-4</v>
      </c>
      <c r="V107" t="s">
        <v>238</v>
      </c>
      <c r="X107">
        <v>1.1415525114155251E-4</v>
      </c>
      <c r="Y107">
        <v>1.4585353321897094E-4</v>
      </c>
      <c r="Z107" t="s">
        <v>2018</v>
      </c>
      <c r="AA107" t="s">
        <v>25</v>
      </c>
      <c r="AC107" t="s">
        <v>22</v>
      </c>
      <c r="AD107" t="s">
        <v>2018</v>
      </c>
      <c r="AE107">
        <v>1.6898778249395852E-4</v>
      </c>
      <c r="AG107" t="s">
        <v>97</v>
      </c>
      <c r="AH107" t="s">
        <v>2018</v>
      </c>
      <c r="AI107">
        <v>0</v>
      </c>
    </row>
    <row r="108" spans="5:35" x14ac:dyDescent="0.45">
      <c r="E108" t="s">
        <v>151</v>
      </c>
      <c r="G108" t="s">
        <v>367</v>
      </c>
      <c r="I108" t="s">
        <v>236</v>
      </c>
      <c r="J108" t="s">
        <v>2019</v>
      </c>
      <c r="K108">
        <v>2.7073111745789998E-4</v>
      </c>
      <c r="L108" t="s">
        <v>238</v>
      </c>
      <c r="N108" t="s">
        <v>346</v>
      </c>
      <c r="O108" t="s">
        <v>2019</v>
      </c>
      <c r="P108">
        <v>2.5540487906999999E-4</v>
      </c>
      <c r="Q108" t="s">
        <v>238</v>
      </c>
      <c r="S108" t="s">
        <v>347</v>
      </c>
      <c r="T108" t="s">
        <v>2019</v>
      </c>
      <c r="U108">
        <v>2.1946021367899999E-4</v>
      </c>
      <c r="V108" t="s">
        <v>238</v>
      </c>
      <c r="X108">
        <v>1.1415525114155251E-4</v>
      </c>
      <c r="Y108">
        <v>1.4452759200788939E-4</v>
      </c>
      <c r="Z108" t="s">
        <v>2019</v>
      </c>
      <c r="AA108" t="s">
        <v>25</v>
      </c>
      <c r="AC108" t="s">
        <v>22</v>
      </c>
      <c r="AD108" t="s">
        <v>2019</v>
      </c>
      <c r="AE108">
        <v>1.6816229704185112E-4</v>
      </c>
      <c r="AG108" t="s">
        <v>97</v>
      </c>
      <c r="AH108" t="s">
        <v>2019</v>
      </c>
      <c r="AI108">
        <v>0</v>
      </c>
    </row>
    <row r="109" spans="5:35" x14ac:dyDescent="0.45">
      <c r="E109" t="s">
        <v>154</v>
      </c>
      <c r="G109" t="s">
        <v>367</v>
      </c>
      <c r="I109" t="s">
        <v>236</v>
      </c>
      <c r="J109" t="s">
        <v>2020</v>
      </c>
      <c r="K109">
        <v>3.2528077841540001E-4</v>
      </c>
      <c r="L109" t="s">
        <v>238</v>
      </c>
      <c r="N109" t="s">
        <v>346</v>
      </c>
      <c r="O109" t="s">
        <v>2020</v>
      </c>
      <c r="P109">
        <v>2.4436132901829998E-4</v>
      </c>
      <c r="Q109" t="s">
        <v>238</v>
      </c>
      <c r="S109" t="s">
        <v>347</v>
      </c>
      <c r="T109" t="s">
        <v>2020</v>
      </c>
      <c r="U109">
        <v>2.2030553324829999E-4</v>
      </c>
      <c r="V109" t="s">
        <v>238</v>
      </c>
      <c r="X109">
        <v>1.1415525114155251E-4</v>
      </c>
      <c r="Y109">
        <v>1.408812536774151E-4</v>
      </c>
      <c r="Z109" t="s">
        <v>2020</v>
      </c>
      <c r="AA109" t="s">
        <v>25</v>
      </c>
      <c r="AC109" t="s">
        <v>22</v>
      </c>
      <c r="AD109" t="s">
        <v>2020</v>
      </c>
      <c r="AE109">
        <v>1.6600113026793119E-4</v>
      </c>
      <c r="AG109" t="s">
        <v>97</v>
      </c>
      <c r="AH109" t="s">
        <v>2020</v>
      </c>
      <c r="AI109">
        <v>0</v>
      </c>
    </row>
    <row r="110" spans="5:35" x14ac:dyDescent="0.45">
      <c r="E110" t="s">
        <v>157</v>
      </c>
      <c r="G110" t="s">
        <v>367</v>
      </c>
      <c r="I110" t="s">
        <v>236</v>
      </c>
      <c r="J110" t="s">
        <v>2021</v>
      </c>
      <c r="K110">
        <v>3.4369356537539998E-4</v>
      </c>
      <c r="L110" t="s">
        <v>238</v>
      </c>
      <c r="N110" t="s">
        <v>346</v>
      </c>
      <c r="O110" t="s">
        <v>2021</v>
      </c>
      <c r="P110">
        <v>2.4390593085870001E-4</v>
      </c>
      <c r="Q110" t="s">
        <v>238</v>
      </c>
      <c r="S110" t="s">
        <v>347</v>
      </c>
      <c r="T110" t="s">
        <v>2021</v>
      </c>
      <c r="U110">
        <v>2.187006933013E-4</v>
      </c>
      <c r="V110" t="s">
        <v>238</v>
      </c>
      <c r="X110">
        <v>1.1415525114155251E-4</v>
      </c>
      <c r="Y110">
        <v>1.4054976837464471E-4</v>
      </c>
      <c r="Z110" t="s">
        <v>2021</v>
      </c>
      <c r="AA110" t="s">
        <v>25</v>
      </c>
      <c r="AC110" t="s">
        <v>22</v>
      </c>
      <c r="AD110" t="s">
        <v>2021</v>
      </c>
      <c r="AE110">
        <v>1.651326507818599E-4</v>
      </c>
      <c r="AG110" t="s">
        <v>97</v>
      </c>
      <c r="AH110" t="s">
        <v>2021</v>
      </c>
      <c r="AI110">
        <v>0</v>
      </c>
    </row>
    <row r="111" spans="5:35" x14ac:dyDescent="0.45">
      <c r="E111" t="s">
        <v>158</v>
      </c>
      <c r="G111" t="s">
        <v>367</v>
      </c>
      <c r="I111" t="s">
        <v>236</v>
      </c>
      <c r="J111" t="s">
        <v>2022</v>
      </c>
      <c r="K111">
        <v>2.997852201699E-4</v>
      </c>
      <c r="L111" t="s">
        <v>238</v>
      </c>
      <c r="N111" t="s">
        <v>346</v>
      </c>
      <c r="O111" t="s">
        <v>2022</v>
      </c>
      <c r="P111">
        <v>2.4754126861030001E-4</v>
      </c>
      <c r="Q111" t="s">
        <v>238</v>
      </c>
      <c r="S111" t="s">
        <v>347</v>
      </c>
      <c r="T111" t="s">
        <v>2022</v>
      </c>
      <c r="U111">
        <v>2.1904527987900001E-4</v>
      </c>
      <c r="V111" t="s">
        <v>238</v>
      </c>
      <c r="X111">
        <v>1.1415525114155251E-4</v>
      </c>
      <c r="Y111">
        <v>1.4253868019126702E-4</v>
      </c>
      <c r="Z111" t="s">
        <v>2022</v>
      </c>
      <c r="AA111" t="s">
        <v>25</v>
      </c>
      <c r="AC111" t="s">
        <v>22</v>
      </c>
      <c r="AD111" t="s">
        <v>2022</v>
      </c>
      <c r="AE111">
        <v>1.6180777882198307E-4</v>
      </c>
      <c r="AG111" t="s">
        <v>97</v>
      </c>
      <c r="AH111" t="s">
        <v>2022</v>
      </c>
      <c r="AI111">
        <v>0</v>
      </c>
    </row>
    <row r="112" spans="5:35" x14ac:dyDescent="0.45">
      <c r="E112" t="s">
        <v>159</v>
      </c>
      <c r="G112" t="s">
        <v>367</v>
      </c>
      <c r="I112" t="s">
        <v>236</v>
      </c>
      <c r="J112" t="s">
        <v>2023</v>
      </c>
      <c r="K112">
        <v>3.0919470252950001E-4</v>
      </c>
      <c r="L112" t="s">
        <v>238</v>
      </c>
      <c r="N112" t="s">
        <v>346</v>
      </c>
      <c r="O112" t="s">
        <v>2023</v>
      </c>
      <c r="P112">
        <v>2.5225784907620001E-4</v>
      </c>
      <c r="Q112" t="s">
        <v>238</v>
      </c>
      <c r="S112" t="s">
        <v>347</v>
      </c>
      <c r="T112" t="s">
        <v>2023</v>
      </c>
      <c r="U112">
        <v>2.1965999760230001E-4</v>
      </c>
      <c r="V112" t="s">
        <v>238</v>
      </c>
      <c r="X112">
        <v>1.1415525114155251E-4</v>
      </c>
      <c r="Y112">
        <v>1.4883690094390442E-4</v>
      </c>
      <c r="Z112" t="s">
        <v>2023</v>
      </c>
      <c r="AA112" t="s">
        <v>25</v>
      </c>
      <c r="AC112" t="s">
        <v>22</v>
      </c>
      <c r="AD112" t="s">
        <v>2023</v>
      </c>
      <c r="AE112">
        <v>1.6180777882198307E-4</v>
      </c>
      <c r="AG112" t="s">
        <v>97</v>
      </c>
      <c r="AH112" t="s">
        <v>2023</v>
      </c>
      <c r="AI112">
        <v>0</v>
      </c>
    </row>
    <row r="113" spans="5:35" x14ac:dyDescent="0.45">
      <c r="E113" t="s">
        <v>160</v>
      </c>
      <c r="G113" t="s">
        <v>367</v>
      </c>
      <c r="I113" t="s">
        <v>236</v>
      </c>
      <c r="J113" t="s">
        <v>2024</v>
      </c>
      <c r="K113">
        <v>3.0190363841160002E-4</v>
      </c>
      <c r="L113" t="s">
        <v>238</v>
      </c>
      <c r="N113" t="s">
        <v>346</v>
      </c>
      <c r="O113" t="s">
        <v>2024</v>
      </c>
      <c r="P113">
        <v>2.5289082661609998E-4</v>
      </c>
      <c r="Q113" t="s">
        <v>238</v>
      </c>
      <c r="S113" t="s">
        <v>347</v>
      </c>
      <c r="T113" t="s">
        <v>2024</v>
      </c>
      <c r="U113">
        <v>2.1965413379669999E-4</v>
      </c>
      <c r="V113" t="s">
        <v>238</v>
      </c>
      <c r="X113">
        <v>1.1415525114155251E-4</v>
      </c>
      <c r="Y113">
        <v>1.5049432745775637E-4</v>
      </c>
      <c r="Z113" t="s">
        <v>2024</v>
      </c>
      <c r="AA113" t="s">
        <v>25</v>
      </c>
      <c r="AC113" t="s">
        <v>22</v>
      </c>
      <c r="AD113" t="s">
        <v>2024</v>
      </c>
      <c r="AE113">
        <v>1.6158420984537064E-4</v>
      </c>
      <c r="AG113" t="s">
        <v>97</v>
      </c>
      <c r="AH113" t="s">
        <v>2024</v>
      </c>
      <c r="AI113">
        <v>0</v>
      </c>
    </row>
    <row r="114" spans="5:35" x14ac:dyDescent="0.45">
      <c r="E114" t="s">
        <v>161</v>
      </c>
      <c r="G114" t="s">
        <v>367</v>
      </c>
      <c r="I114" t="s">
        <v>236</v>
      </c>
      <c r="J114" t="s">
        <v>2025</v>
      </c>
      <c r="K114">
        <v>2.75452504233E-4</v>
      </c>
      <c r="L114" t="s">
        <v>238</v>
      </c>
      <c r="N114" t="s">
        <v>346</v>
      </c>
      <c r="O114" t="s">
        <v>2025</v>
      </c>
      <c r="P114">
        <v>2.5266223205639999E-4</v>
      </c>
      <c r="Q114" t="s">
        <v>238</v>
      </c>
      <c r="S114" t="s">
        <v>347</v>
      </c>
      <c r="T114" t="s">
        <v>2025</v>
      </c>
      <c r="U114">
        <v>2.1944861585020001E-4</v>
      </c>
      <c r="V114" t="s">
        <v>238</v>
      </c>
      <c r="X114">
        <v>1.1415525114155251E-4</v>
      </c>
      <c r="Y114">
        <v>1.7237235744060203E-4</v>
      </c>
      <c r="Z114" t="s">
        <v>2025</v>
      </c>
      <c r="AA114" t="s">
        <v>25</v>
      </c>
      <c r="AC114" t="s">
        <v>22</v>
      </c>
      <c r="AD114" t="s">
        <v>2025</v>
      </c>
      <c r="AE114">
        <v>1.6158420984537064E-4</v>
      </c>
      <c r="AG114" t="s">
        <v>97</v>
      </c>
      <c r="AH114" t="s">
        <v>2025</v>
      </c>
      <c r="AI114">
        <v>0</v>
      </c>
    </row>
    <row r="115" spans="5:35" x14ac:dyDescent="0.45">
      <c r="E115" t="s">
        <v>162</v>
      </c>
      <c r="G115" t="s">
        <v>367</v>
      </c>
      <c r="I115" t="s">
        <v>236</v>
      </c>
      <c r="J115" t="s">
        <v>2026</v>
      </c>
      <c r="K115">
        <v>2.1111100286150001E-4</v>
      </c>
      <c r="L115" t="s">
        <v>238</v>
      </c>
      <c r="N115" t="s">
        <v>346</v>
      </c>
      <c r="O115" t="s">
        <v>2026</v>
      </c>
      <c r="P115">
        <v>2.4722690918180002E-4</v>
      </c>
      <c r="Q115" t="s">
        <v>238</v>
      </c>
      <c r="S115" t="s">
        <v>347</v>
      </c>
      <c r="T115" t="s">
        <v>2026</v>
      </c>
      <c r="U115">
        <v>2.1979988167399999E-4</v>
      </c>
      <c r="V115" t="s">
        <v>238</v>
      </c>
      <c r="X115">
        <v>1.1415525114155251E-4</v>
      </c>
      <c r="Y115">
        <v>2.2209515285616027E-4</v>
      </c>
      <c r="Z115" t="s">
        <v>2026</v>
      </c>
      <c r="AA115" t="s">
        <v>25</v>
      </c>
      <c r="AC115" t="s">
        <v>22</v>
      </c>
      <c r="AD115" t="s">
        <v>2026</v>
      </c>
      <c r="AE115">
        <v>1.6283103683032446E-4</v>
      </c>
      <c r="AG115" t="s">
        <v>97</v>
      </c>
      <c r="AH115" t="s">
        <v>2026</v>
      </c>
      <c r="AI115">
        <v>0</v>
      </c>
    </row>
    <row r="116" spans="5:35" x14ac:dyDescent="0.45">
      <c r="E116" t="s">
        <v>163</v>
      </c>
      <c r="G116" t="s">
        <v>367</v>
      </c>
      <c r="I116" t="s">
        <v>236</v>
      </c>
      <c r="J116" t="s">
        <v>2027</v>
      </c>
      <c r="K116">
        <v>1.2084790936220001E-4</v>
      </c>
      <c r="L116" t="s">
        <v>238</v>
      </c>
      <c r="N116" t="s">
        <v>346</v>
      </c>
      <c r="O116" t="s">
        <v>2027</v>
      </c>
      <c r="P116">
        <v>2.574489333303E-4</v>
      </c>
      <c r="Q116" t="s">
        <v>238</v>
      </c>
      <c r="S116" t="s">
        <v>347</v>
      </c>
      <c r="T116" t="s">
        <v>2027</v>
      </c>
      <c r="U116">
        <v>2.1859862634150001E-4</v>
      </c>
      <c r="V116" t="s">
        <v>238</v>
      </c>
      <c r="X116">
        <v>1.1415525114155251E-4</v>
      </c>
      <c r="Y116">
        <v>2.2209515285616027E-4</v>
      </c>
      <c r="Z116" t="s">
        <v>2027</v>
      </c>
      <c r="AA116" t="s">
        <v>25</v>
      </c>
      <c r="AC116" t="s">
        <v>22</v>
      </c>
      <c r="AD116" t="s">
        <v>2027</v>
      </c>
      <c r="AE116">
        <v>1.659409386203817E-4</v>
      </c>
      <c r="AG116" t="s">
        <v>97</v>
      </c>
      <c r="AH116" t="s">
        <v>2027</v>
      </c>
      <c r="AI116">
        <v>0</v>
      </c>
    </row>
    <row r="117" spans="5:35" x14ac:dyDescent="0.45">
      <c r="E117" t="s">
        <v>164</v>
      </c>
      <c r="G117" t="s">
        <v>367</v>
      </c>
      <c r="I117" t="s">
        <v>236</v>
      </c>
      <c r="J117" t="s">
        <v>2028</v>
      </c>
      <c r="K117">
        <v>4.0616770573992885E-5</v>
      </c>
      <c r="L117" t="s">
        <v>238</v>
      </c>
      <c r="N117" t="s">
        <v>346</v>
      </c>
      <c r="O117" t="s">
        <v>2028</v>
      </c>
      <c r="P117">
        <v>2.6311982861390001E-4</v>
      </c>
      <c r="Q117" t="s">
        <v>238</v>
      </c>
      <c r="S117" t="s">
        <v>347</v>
      </c>
      <c r="T117" t="s">
        <v>2028</v>
      </c>
      <c r="U117">
        <v>2.1936918308829999E-4</v>
      </c>
      <c r="V117" t="s">
        <v>238</v>
      </c>
      <c r="X117">
        <v>1.1415525114155251E-4</v>
      </c>
      <c r="Y117">
        <v>1.7237235744060203E-4</v>
      </c>
      <c r="Z117" t="s">
        <v>2028</v>
      </c>
      <c r="AA117" t="s">
        <v>25</v>
      </c>
      <c r="AC117" t="s">
        <v>22</v>
      </c>
      <c r="AD117" t="s">
        <v>2028</v>
      </c>
      <c r="AE117">
        <v>1.6692693513262102E-4</v>
      </c>
      <c r="AG117" t="s">
        <v>97</v>
      </c>
      <c r="AH117" t="s">
        <v>2028</v>
      </c>
      <c r="AI117">
        <v>0</v>
      </c>
    </row>
    <row r="118" spans="5:35" x14ac:dyDescent="0.45">
      <c r="E118" t="s">
        <v>165</v>
      </c>
      <c r="G118" t="s">
        <v>367</v>
      </c>
      <c r="I118" t="s">
        <v>236</v>
      </c>
      <c r="J118" t="s">
        <v>2029</v>
      </c>
      <c r="K118">
        <v>0</v>
      </c>
      <c r="L118" t="s">
        <v>238</v>
      </c>
      <c r="N118" t="s">
        <v>346</v>
      </c>
      <c r="O118" t="s">
        <v>2029</v>
      </c>
      <c r="P118">
        <v>2.6254893905800001E-4</v>
      </c>
      <c r="Q118" t="s">
        <v>238</v>
      </c>
      <c r="S118" t="s">
        <v>347</v>
      </c>
      <c r="T118" t="s">
        <v>2029</v>
      </c>
      <c r="U118">
        <v>2.1940537626830001E-4</v>
      </c>
      <c r="V118" t="s">
        <v>238</v>
      </c>
      <c r="X118">
        <v>1.1415525114155251E-4</v>
      </c>
      <c r="Y118">
        <v>1.5579809230208258E-4</v>
      </c>
      <c r="Z118" t="s">
        <v>2029</v>
      </c>
      <c r="AA118" t="s">
        <v>25</v>
      </c>
      <c r="AC118" t="s">
        <v>22</v>
      </c>
      <c r="AD118" t="s">
        <v>2029</v>
      </c>
      <c r="AE118">
        <v>1.623380385742048E-4</v>
      </c>
      <c r="AG118" t="s">
        <v>97</v>
      </c>
      <c r="AH118" t="s">
        <v>2029</v>
      </c>
      <c r="AI118">
        <v>0</v>
      </c>
    </row>
    <row r="119" spans="5:35" x14ac:dyDescent="0.45">
      <c r="E119" t="s">
        <v>166</v>
      </c>
      <c r="G119" t="s">
        <v>367</v>
      </c>
      <c r="I119" t="s">
        <v>236</v>
      </c>
      <c r="J119" t="s">
        <v>2030</v>
      </c>
      <c r="K119">
        <v>0</v>
      </c>
      <c r="L119" t="s">
        <v>238</v>
      </c>
      <c r="N119" t="s">
        <v>346</v>
      </c>
      <c r="O119" t="s">
        <v>2030</v>
      </c>
      <c r="P119">
        <v>2.5982216879119998E-4</v>
      </c>
      <c r="Q119" t="s">
        <v>238</v>
      </c>
      <c r="S119" t="s">
        <v>347</v>
      </c>
      <c r="T119" t="s">
        <v>2030</v>
      </c>
      <c r="U119">
        <v>2.1920061557550001E-4</v>
      </c>
      <c r="V119" t="s">
        <v>238</v>
      </c>
      <c r="X119">
        <v>1.1415525114155251E-4</v>
      </c>
      <c r="Y119">
        <v>1.093901499142282E-4</v>
      </c>
      <c r="Z119" t="s">
        <v>2030</v>
      </c>
      <c r="AA119" t="s">
        <v>25</v>
      </c>
      <c r="AC119" t="s">
        <v>22</v>
      </c>
      <c r="AD119" t="s">
        <v>2030</v>
      </c>
      <c r="AE119">
        <v>1.4813854229038591E-4</v>
      </c>
      <c r="AG119" t="s">
        <v>97</v>
      </c>
      <c r="AH119" t="s">
        <v>2030</v>
      </c>
      <c r="AI119">
        <v>0</v>
      </c>
    </row>
    <row r="120" spans="5:35" x14ac:dyDescent="0.45">
      <c r="E120" t="s">
        <v>167</v>
      </c>
      <c r="G120" t="s">
        <v>367</v>
      </c>
      <c r="I120" t="s">
        <v>236</v>
      </c>
      <c r="J120" t="s">
        <v>2031</v>
      </c>
      <c r="K120">
        <v>0</v>
      </c>
      <c r="L120" t="s">
        <v>238</v>
      </c>
      <c r="N120" t="s">
        <v>346</v>
      </c>
      <c r="O120" t="s">
        <v>2031</v>
      </c>
      <c r="P120">
        <v>2.5461206655730002E-4</v>
      </c>
      <c r="Q120" t="s">
        <v>238</v>
      </c>
      <c r="S120" t="s">
        <v>347</v>
      </c>
      <c r="T120" t="s">
        <v>2031</v>
      </c>
      <c r="U120">
        <v>2.1837656135879999E-4</v>
      </c>
      <c r="V120" t="s">
        <v>238</v>
      </c>
      <c r="X120">
        <v>1.1415525114155251E-4</v>
      </c>
      <c r="Y120">
        <v>7.9556472664893237E-5</v>
      </c>
      <c r="Z120" t="s">
        <v>2031</v>
      </c>
      <c r="AA120" t="s">
        <v>25</v>
      </c>
      <c r="AC120" t="s">
        <v>22</v>
      </c>
      <c r="AD120" t="s">
        <v>2031</v>
      </c>
      <c r="AE120">
        <v>1.3802347923313983E-4</v>
      </c>
      <c r="AG120" t="s">
        <v>97</v>
      </c>
      <c r="AH120" t="s">
        <v>2031</v>
      </c>
      <c r="AI120">
        <v>0</v>
      </c>
    </row>
    <row r="121" spans="5:35" x14ac:dyDescent="0.45">
      <c r="E121" t="s">
        <v>168</v>
      </c>
      <c r="G121" t="s">
        <v>367</v>
      </c>
      <c r="I121" t="s">
        <v>236</v>
      </c>
      <c r="J121" t="s">
        <v>2032</v>
      </c>
      <c r="K121">
        <v>0</v>
      </c>
      <c r="L121" t="s">
        <v>238</v>
      </c>
      <c r="N121" t="s">
        <v>346</v>
      </c>
      <c r="O121" t="s">
        <v>2032</v>
      </c>
      <c r="P121">
        <v>2.4518429348499999E-4</v>
      </c>
      <c r="Q121" t="s">
        <v>238</v>
      </c>
      <c r="S121" t="s">
        <v>347</v>
      </c>
      <c r="T121" t="s">
        <v>2032</v>
      </c>
      <c r="U121">
        <v>2.176095507951E-4</v>
      </c>
      <c r="V121" t="s">
        <v>238</v>
      </c>
      <c r="X121">
        <v>1.1415525114155251E-4</v>
      </c>
      <c r="Y121">
        <v>5.6352501470966035E-5</v>
      </c>
      <c r="Z121" t="s">
        <v>2032</v>
      </c>
      <c r="AA121" t="s">
        <v>25</v>
      </c>
      <c r="AC121" t="s">
        <v>22</v>
      </c>
      <c r="AD121" t="s">
        <v>2032</v>
      </c>
      <c r="AE121">
        <v>1.3032468088466638E-4</v>
      </c>
      <c r="AG121" t="s">
        <v>97</v>
      </c>
      <c r="AH121" t="s">
        <v>2032</v>
      </c>
      <c r="AI121">
        <v>0</v>
      </c>
    </row>
    <row r="122" spans="5:35" x14ac:dyDescent="0.45">
      <c r="E122" t="s">
        <v>169</v>
      </c>
      <c r="G122" t="s">
        <v>367</v>
      </c>
      <c r="I122" t="s">
        <v>236</v>
      </c>
      <c r="J122" t="s">
        <v>2033</v>
      </c>
      <c r="K122">
        <v>0</v>
      </c>
      <c r="L122" t="s">
        <v>238</v>
      </c>
      <c r="N122" t="s">
        <v>346</v>
      </c>
      <c r="O122" t="s">
        <v>2033</v>
      </c>
      <c r="P122">
        <v>2.4249915864880001E-4</v>
      </c>
      <c r="Q122" t="s">
        <v>238</v>
      </c>
      <c r="S122" t="s">
        <v>347</v>
      </c>
      <c r="T122" t="s">
        <v>2033</v>
      </c>
      <c r="U122">
        <v>2.164146188374E-4</v>
      </c>
      <c r="V122" t="s">
        <v>238</v>
      </c>
      <c r="X122">
        <v>1.1415525114155251E-4</v>
      </c>
      <c r="Y122">
        <v>2.9833677249334962E-5</v>
      </c>
      <c r="Z122" t="s">
        <v>2033</v>
      </c>
      <c r="AA122" t="s">
        <v>25</v>
      </c>
      <c r="AC122" t="s">
        <v>22</v>
      </c>
      <c r="AD122" t="s">
        <v>2033</v>
      </c>
      <c r="AE122">
        <v>1.0284862691278753E-4</v>
      </c>
      <c r="AG122" t="s">
        <v>97</v>
      </c>
      <c r="AH122" t="s">
        <v>2033</v>
      </c>
      <c r="AI122">
        <v>0</v>
      </c>
    </row>
    <row r="123" spans="5:35" x14ac:dyDescent="0.45">
      <c r="E123" t="s">
        <v>170</v>
      </c>
      <c r="G123" t="s">
        <v>367</v>
      </c>
      <c r="I123" t="s">
        <v>236</v>
      </c>
      <c r="J123" t="s">
        <v>2034</v>
      </c>
      <c r="K123">
        <v>0</v>
      </c>
      <c r="L123" t="s">
        <v>238</v>
      </c>
      <c r="N123" t="s">
        <v>346</v>
      </c>
      <c r="O123" t="s">
        <v>2034</v>
      </c>
      <c r="P123">
        <v>3.5652081652399689E-5</v>
      </c>
      <c r="Q123" t="s">
        <v>238</v>
      </c>
      <c r="S123" t="s">
        <v>347</v>
      </c>
      <c r="T123" t="s">
        <v>2034</v>
      </c>
      <c r="U123">
        <v>6.1558372424228198E-5</v>
      </c>
      <c r="V123" t="s">
        <v>238</v>
      </c>
      <c r="X123">
        <v>1.1415525114155251E-4</v>
      </c>
      <c r="Y123">
        <v>2.1546544680075254E-5</v>
      </c>
      <c r="Z123" t="s">
        <v>2034</v>
      </c>
      <c r="AA123" t="s">
        <v>25</v>
      </c>
      <c r="AC123" t="s">
        <v>22</v>
      </c>
      <c r="AD123" t="s">
        <v>2034</v>
      </c>
      <c r="AE123">
        <v>1.1043564077295478E-4</v>
      </c>
      <c r="AG123" t="s">
        <v>97</v>
      </c>
      <c r="AH123" t="s">
        <v>2034</v>
      </c>
      <c r="AI123">
        <v>0</v>
      </c>
    </row>
    <row r="124" spans="5:35" x14ac:dyDescent="0.45">
      <c r="E124" t="s">
        <v>171</v>
      </c>
      <c r="G124" t="s">
        <v>367</v>
      </c>
      <c r="I124" t="s">
        <v>236</v>
      </c>
      <c r="J124" t="s">
        <v>2035</v>
      </c>
      <c r="K124">
        <v>0</v>
      </c>
      <c r="L124" t="s">
        <v>238</v>
      </c>
      <c r="N124" t="s">
        <v>346</v>
      </c>
      <c r="O124" t="s">
        <v>2035</v>
      </c>
      <c r="P124">
        <v>3.9713110204440548E-5</v>
      </c>
      <c r="Q124" t="s">
        <v>238</v>
      </c>
      <c r="S124" t="s">
        <v>347</v>
      </c>
      <c r="T124" t="s">
        <v>2035</v>
      </c>
      <c r="U124">
        <v>7.6320426594718847E-5</v>
      </c>
      <c r="V124" t="s">
        <v>238</v>
      </c>
      <c r="X124">
        <v>1.1415525114155251E-4</v>
      </c>
      <c r="Y124">
        <v>1.4916838624667481E-5</v>
      </c>
      <c r="Z124" t="s">
        <v>2035</v>
      </c>
      <c r="AA124" t="s">
        <v>25</v>
      </c>
      <c r="AC124" t="s">
        <v>22</v>
      </c>
      <c r="AD124" t="s">
        <v>2035</v>
      </c>
      <c r="AE124">
        <v>1.0917448244334632E-4</v>
      </c>
      <c r="AG124" t="s">
        <v>97</v>
      </c>
      <c r="AH124" t="s">
        <v>2035</v>
      </c>
      <c r="AI124">
        <v>0</v>
      </c>
    </row>
    <row r="125" spans="5:35" x14ac:dyDescent="0.45">
      <c r="E125" t="s">
        <v>172</v>
      </c>
      <c r="G125" t="s">
        <v>367</v>
      </c>
      <c r="I125" t="s">
        <v>236</v>
      </c>
      <c r="J125" t="s">
        <v>2036</v>
      </c>
      <c r="K125">
        <v>0</v>
      </c>
      <c r="L125" t="s">
        <v>238</v>
      </c>
      <c r="N125" t="s">
        <v>346</v>
      </c>
      <c r="O125" t="s">
        <v>2036</v>
      </c>
      <c r="P125">
        <v>4.388545360839228E-5</v>
      </c>
      <c r="Q125" t="s">
        <v>238</v>
      </c>
      <c r="S125" t="s">
        <v>347</v>
      </c>
      <c r="T125" t="s">
        <v>2036</v>
      </c>
      <c r="U125">
        <v>8.6871007132757088E-5</v>
      </c>
      <c r="V125" t="s">
        <v>238</v>
      </c>
      <c r="X125">
        <v>1.1415525114155251E-4</v>
      </c>
      <c r="Y125">
        <v>1.6574265138519424E-5</v>
      </c>
      <c r="Z125" t="s">
        <v>2036</v>
      </c>
      <c r="AA125" t="s">
        <v>25</v>
      </c>
      <c r="AC125" t="s">
        <v>22</v>
      </c>
      <c r="AD125" t="s">
        <v>2036</v>
      </c>
      <c r="AE125">
        <v>1.0857256596785138E-4</v>
      </c>
      <c r="AG125" t="s">
        <v>97</v>
      </c>
      <c r="AH125" t="s">
        <v>2036</v>
      </c>
      <c r="AI125">
        <v>0</v>
      </c>
    </row>
    <row r="126" spans="5:35" x14ac:dyDescent="0.45">
      <c r="E126" t="s">
        <v>173</v>
      </c>
      <c r="G126" t="s">
        <v>367</v>
      </c>
      <c r="I126" t="s">
        <v>236</v>
      </c>
      <c r="J126" t="s">
        <v>2037</v>
      </c>
      <c r="K126">
        <v>0</v>
      </c>
      <c r="L126" t="s">
        <v>238</v>
      </c>
      <c r="N126" t="s">
        <v>346</v>
      </c>
      <c r="O126" t="s">
        <v>2037</v>
      </c>
      <c r="P126">
        <v>4.8526825622038661E-5</v>
      </c>
      <c r="Q126" t="s">
        <v>238</v>
      </c>
      <c r="S126" t="s">
        <v>347</v>
      </c>
      <c r="T126" t="s">
        <v>2037</v>
      </c>
      <c r="U126">
        <v>9.2191533240804294E-5</v>
      </c>
      <c r="V126" t="s">
        <v>238</v>
      </c>
      <c r="X126">
        <v>1.1415525114155251E-4</v>
      </c>
      <c r="Y126">
        <v>1.4585353321897093E-5</v>
      </c>
      <c r="Z126" t="s">
        <v>2037</v>
      </c>
      <c r="AA126" t="s">
        <v>25</v>
      </c>
      <c r="AC126" t="s">
        <v>22</v>
      </c>
      <c r="AD126" t="s">
        <v>2037</v>
      </c>
      <c r="AE126">
        <v>1.0886779166773699E-4</v>
      </c>
      <c r="AG126" t="s">
        <v>97</v>
      </c>
      <c r="AH126" t="s">
        <v>2037</v>
      </c>
      <c r="AI126">
        <v>0</v>
      </c>
    </row>
    <row r="127" spans="5:35" x14ac:dyDescent="0.45">
      <c r="E127" t="s">
        <v>174</v>
      </c>
      <c r="G127" t="s">
        <v>367</v>
      </c>
      <c r="I127" t="s">
        <v>236</v>
      </c>
      <c r="J127" t="s">
        <v>2038</v>
      </c>
      <c r="K127">
        <v>0</v>
      </c>
      <c r="L127" t="s">
        <v>238</v>
      </c>
      <c r="N127" t="s">
        <v>346</v>
      </c>
      <c r="O127" t="s">
        <v>2038</v>
      </c>
      <c r="P127">
        <v>5.2038480303231322E-5</v>
      </c>
      <c r="Q127" t="s">
        <v>238</v>
      </c>
      <c r="S127" t="s">
        <v>347</v>
      </c>
      <c r="T127" t="s">
        <v>2038</v>
      </c>
      <c r="U127">
        <v>8.6859863293397912E-5</v>
      </c>
      <c r="V127" t="s">
        <v>238</v>
      </c>
      <c r="X127">
        <v>1.1415525114155251E-4</v>
      </c>
      <c r="Y127">
        <v>2.1215059377304864E-5</v>
      </c>
      <c r="Z127" t="s">
        <v>2038</v>
      </c>
      <c r="AA127" t="s">
        <v>25</v>
      </c>
      <c r="AC127" t="s">
        <v>22</v>
      </c>
      <c r="AD127" t="s">
        <v>2038</v>
      </c>
      <c r="AE127">
        <v>1.1727455844214976E-4</v>
      </c>
      <c r="AG127" t="s">
        <v>97</v>
      </c>
      <c r="AH127" t="s">
        <v>2038</v>
      </c>
      <c r="AI127">
        <v>0</v>
      </c>
    </row>
    <row r="128" spans="5:35" x14ac:dyDescent="0.45">
      <c r="E128" t="s">
        <v>175</v>
      </c>
      <c r="G128" t="s">
        <v>367</v>
      </c>
      <c r="I128" t="s">
        <v>236</v>
      </c>
      <c r="J128" t="s">
        <v>2039</v>
      </c>
      <c r="K128">
        <v>0</v>
      </c>
      <c r="L128" t="s">
        <v>238</v>
      </c>
      <c r="N128" t="s">
        <v>346</v>
      </c>
      <c r="O128" t="s">
        <v>2039</v>
      </c>
      <c r="P128">
        <v>5.5660246631562421E-5</v>
      </c>
      <c r="Q128" t="s">
        <v>238</v>
      </c>
      <c r="S128" t="s">
        <v>347</v>
      </c>
      <c r="T128" t="s">
        <v>2039</v>
      </c>
      <c r="U128">
        <v>7.8731370190520899E-5</v>
      </c>
      <c r="V128" t="s">
        <v>238</v>
      </c>
      <c r="X128">
        <v>1.1415525114155251E-4</v>
      </c>
      <c r="Y128">
        <v>5.7678442682047593E-5</v>
      </c>
      <c r="Z128" t="s">
        <v>2039</v>
      </c>
      <c r="AA128" t="s">
        <v>25</v>
      </c>
      <c r="AC128" t="s">
        <v>22</v>
      </c>
      <c r="AD128" t="s">
        <v>2039</v>
      </c>
      <c r="AE128">
        <v>1.4602896835722265E-4</v>
      </c>
      <c r="AG128" t="s">
        <v>97</v>
      </c>
      <c r="AH128" t="s">
        <v>2039</v>
      </c>
      <c r="AI128">
        <v>0</v>
      </c>
    </row>
    <row r="129" spans="5:35" x14ac:dyDescent="0.45">
      <c r="E129" t="s">
        <v>176</v>
      </c>
      <c r="G129" t="s">
        <v>367</v>
      </c>
      <c r="I129" t="s">
        <v>236</v>
      </c>
      <c r="J129" t="s">
        <v>2040</v>
      </c>
      <c r="K129">
        <v>0</v>
      </c>
      <c r="L129" t="s">
        <v>238</v>
      </c>
      <c r="N129" t="s">
        <v>346</v>
      </c>
      <c r="O129" t="s">
        <v>2040</v>
      </c>
      <c r="P129">
        <v>5.5095277086408587E-5</v>
      </c>
      <c r="Q129" t="s">
        <v>238</v>
      </c>
      <c r="S129" t="s">
        <v>347</v>
      </c>
      <c r="T129" t="s">
        <v>2040</v>
      </c>
      <c r="U129">
        <v>7.173181044515266E-5</v>
      </c>
      <c r="V129" t="s">
        <v>238</v>
      </c>
      <c r="X129">
        <v>1.1415525114155251E-4</v>
      </c>
      <c r="Y129">
        <v>1.6905750441289813E-4</v>
      </c>
      <c r="Z129" t="s">
        <v>2040</v>
      </c>
      <c r="AA129" t="s">
        <v>25</v>
      </c>
      <c r="AC129" t="s">
        <v>22</v>
      </c>
      <c r="AD129" t="s">
        <v>2040</v>
      </c>
      <c r="AE129">
        <v>1.6909956698226472E-4</v>
      </c>
      <c r="AG129" t="s">
        <v>97</v>
      </c>
      <c r="AH129" t="s">
        <v>2040</v>
      </c>
      <c r="AI129">
        <v>0</v>
      </c>
    </row>
    <row r="130" spans="5:35" x14ac:dyDescent="0.45">
      <c r="E130" t="s">
        <v>177</v>
      </c>
      <c r="G130" t="s">
        <v>367</v>
      </c>
      <c r="I130" t="s">
        <v>236</v>
      </c>
      <c r="J130" t="s">
        <v>2041</v>
      </c>
      <c r="K130">
        <v>9.6738363955163839E-5</v>
      </c>
      <c r="L130" t="s">
        <v>238</v>
      </c>
      <c r="N130" t="s">
        <v>346</v>
      </c>
      <c r="O130" t="s">
        <v>2041</v>
      </c>
      <c r="P130">
        <v>4.6774858887348148E-5</v>
      </c>
      <c r="Q130" t="s">
        <v>238</v>
      </c>
      <c r="S130" t="s">
        <v>347</v>
      </c>
      <c r="T130" t="s">
        <v>2041</v>
      </c>
      <c r="U130">
        <v>6.5059299768047789E-5</v>
      </c>
      <c r="V130" t="s">
        <v>238</v>
      </c>
      <c r="X130">
        <v>1.1415525114155251E-4</v>
      </c>
      <c r="Y130">
        <v>1.9060404909297337E-4</v>
      </c>
      <c r="Z130" t="s">
        <v>2041</v>
      </c>
      <c r="AA130" t="s">
        <v>25</v>
      </c>
      <c r="AC130" t="s">
        <v>22</v>
      </c>
      <c r="AD130" t="s">
        <v>2041</v>
      </c>
      <c r="AE130">
        <v>1.7695314385300829E-4</v>
      </c>
      <c r="AG130" t="s">
        <v>97</v>
      </c>
      <c r="AH130" t="s">
        <v>2041</v>
      </c>
      <c r="AI130">
        <v>0</v>
      </c>
    </row>
    <row r="131" spans="5:35" x14ac:dyDescent="0.45">
      <c r="E131" t="s">
        <v>178</v>
      </c>
      <c r="G131" t="s">
        <v>369</v>
      </c>
      <c r="I131" t="s">
        <v>236</v>
      </c>
      <c r="J131" t="s">
        <v>2042</v>
      </c>
      <c r="K131">
        <v>2.1982958219030001E-4</v>
      </c>
      <c r="L131" t="s">
        <v>238</v>
      </c>
      <c r="N131" t="s">
        <v>346</v>
      </c>
      <c r="O131" t="s">
        <v>2042</v>
      </c>
      <c r="P131">
        <v>3.6578512757888986E-5</v>
      </c>
      <c r="Q131" t="s">
        <v>238</v>
      </c>
      <c r="S131" t="s">
        <v>347</v>
      </c>
      <c r="T131" t="s">
        <v>2042</v>
      </c>
      <c r="U131">
        <v>5.6688946969197641E-5</v>
      </c>
      <c r="V131" t="s">
        <v>238</v>
      </c>
      <c r="X131">
        <v>1.1415525114155251E-4</v>
      </c>
      <c r="Y131">
        <v>1.4585353321897094E-4</v>
      </c>
      <c r="Z131" t="s">
        <v>2042</v>
      </c>
      <c r="AA131" t="s">
        <v>25</v>
      </c>
      <c r="AC131" t="s">
        <v>22</v>
      </c>
      <c r="AD131" t="s">
        <v>2042</v>
      </c>
      <c r="AE131">
        <v>1.8216402076943599E-4</v>
      </c>
      <c r="AG131" t="s">
        <v>97</v>
      </c>
      <c r="AH131" t="s">
        <v>2042</v>
      </c>
      <c r="AI131">
        <v>0</v>
      </c>
    </row>
    <row r="132" spans="5:35" x14ac:dyDescent="0.45">
      <c r="E132" t="s">
        <v>179</v>
      </c>
      <c r="G132" t="s">
        <v>369</v>
      </c>
      <c r="I132" t="s">
        <v>236</v>
      </c>
      <c r="J132" t="s">
        <v>2043</v>
      </c>
      <c r="K132">
        <v>3.0528512119319998E-4</v>
      </c>
      <c r="L132" t="s">
        <v>238</v>
      </c>
      <c r="N132" t="s">
        <v>346</v>
      </c>
      <c r="O132" t="s">
        <v>2043</v>
      </c>
      <c r="P132">
        <v>3.496831591591123E-5</v>
      </c>
      <c r="Q132" t="s">
        <v>238</v>
      </c>
      <c r="S132" t="s">
        <v>347</v>
      </c>
      <c r="T132" t="s">
        <v>2043</v>
      </c>
      <c r="U132">
        <v>4.8114007131497203E-5</v>
      </c>
      <c r="V132" t="s">
        <v>238</v>
      </c>
      <c r="X132">
        <v>1.1415525114155251E-4</v>
      </c>
      <c r="Y132">
        <v>1.4452759200788939E-4</v>
      </c>
      <c r="Z132" t="s">
        <v>2043</v>
      </c>
      <c r="AA132" t="s">
        <v>25</v>
      </c>
      <c r="AC132" t="s">
        <v>22</v>
      </c>
      <c r="AD132" t="s">
        <v>2043</v>
      </c>
      <c r="AE132">
        <v>1.7980508143928197E-4</v>
      </c>
      <c r="AG132" t="s">
        <v>97</v>
      </c>
      <c r="AH132" t="s">
        <v>2043</v>
      </c>
      <c r="AI132">
        <v>0</v>
      </c>
    </row>
    <row r="133" spans="5:35" x14ac:dyDescent="0.45">
      <c r="E133" t="s">
        <v>180</v>
      </c>
      <c r="G133" t="s">
        <v>369</v>
      </c>
      <c r="I133" t="s">
        <v>236</v>
      </c>
      <c r="J133" t="s">
        <v>2044</v>
      </c>
      <c r="K133">
        <v>3.6325226283629998E-4</v>
      </c>
      <c r="L133" t="s">
        <v>238</v>
      </c>
      <c r="N133" t="s">
        <v>346</v>
      </c>
      <c r="O133" t="s">
        <v>2044</v>
      </c>
      <c r="P133">
        <v>2.095680400271489E-5</v>
      </c>
      <c r="Q133" t="s">
        <v>238</v>
      </c>
      <c r="S133" t="s">
        <v>347</v>
      </c>
      <c r="T133" t="s">
        <v>2044</v>
      </c>
      <c r="U133">
        <v>3.3882269706545399E-5</v>
      </c>
      <c r="V133" t="s">
        <v>238</v>
      </c>
      <c r="X133">
        <v>1.1415525114155251E-4</v>
      </c>
      <c r="Y133">
        <v>1.408812536774151E-4</v>
      </c>
      <c r="Z133" t="s">
        <v>2044</v>
      </c>
      <c r="AA133" t="s">
        <v>25</v>
      </c>
      <c r="AC133" t="s">
        <v>22</v>
      </c>
      <c r="AD133" t="s">
        <v>2044</v>
      </c>
      <c r="AE133">
        <v>1.7906845032403341E-4</v>
      </c>
      <c r="AG133" t="s">
        <v>97</v>
      </c>
      <c r="AH133" t="s">
        <v>2044</v>
      </c>
      <c r="AI133">
        <v>0</v>
      </c>
    </row>
    <row r="134" spans="5:35" x14ac:dyDescent="0.45">
      <c r="E134" t="s">
        <v>181</v>
      </c>
      <c r="G134" t="s">
        <v>369</v>
      </c>
      <c r="I134" t="s">
        <v>236</v>
      </c>
      <c r="J134" t="s">
        <v>2045</v>
      </c>
      <c r="K134">
        <v>3.8839823371310001E-4</v>
      </c>
      <c r="L134" t="s">
        <v>238</v>
      </c>
      <c r="N134" t="s">
        <v>346</v>
      </c>
      <c r="O134" t="s">
        <v>2045</v>
      </c>
      <c r="P134">
        <v>2.7689716754143029E-5</v>
      </c>
      <c r="Q134" t="s">
        <v>238</v>
      </c>
      <c r="S134" t="s">
        <v>347</v>
      </c>
      <c r="T134" t="s">
        <v>2045</v>
      </c>
      <c r="U134">
        <v>4.9343774435412105E-5</v>
      </c>
      <c r="V134" t="s">
        <v>238</v>
      </c>
      <c r="X134">
        <v>1.1415525114155251E-4</v>
      </c>
      <c r="Y134">
        <v>1.4054976837464471E-4</v>
      </c>
      <c r="Z134" t="s">
        <v>2045</v>
      </c>
      <c r="AA134" t="s">
        <v>25</v>
      </c>
      <c r="AC134" t="s">
        <v>22</v>
      </c>
      <c r="AD134" t="s">
        <v>2045</v>
      </c>
      <c r="AE134">
        <v>1.7831175532626834E-4</v>
      </c>
      <c r="AG134" t="s">
        <v>97</v>
      </c>
      <c r="AH134" t="s">
        <v>2045</v>
      </c>
      <c r="AI134">
        <v>0</v>
      </c>
    </row>
    <row r="135" spans="5:35" x14ac:dyDescent="0.45">
      <c r="E135" t="s">
        <v>182</v>
      </c>
      <c r="G135" t="s">
        <v>369</v>
      </c>
      <c r="I135" t="s">
        <v>236</v>
      </c>
      <c r="J135" t="s">
        <v>2046</v>
      </c>
      <c r="K135">
        <v>3.7820798317940001E-4</v>
      </c>
      <c r="L135" t="s">
        <v>238</v>
      </c>
      <c r="N135" t="s">
        <v>346</v>
      </c>
      <c r="O135" t="s">
        <v>2046</v>
      </c>
      <c r="P135">
        <v>3.926105674971314E-5</v>
      </c>
      <c r="Q135" t="s">
        <v>238</v>
      </c>
      <c r="S135" t="s">
        <v>347</v>
      </c>
      <c r="T135" t="s">
        <v>2046</v>
      </c>
      <c r="U135">
        <v>5.131630600100315E-5</v>
      </c>
      <c r="V135" t="s">
        <v>238</v>
      </c>
      <c r="X135">
        <v>1.1415525114155251E-4</v>
      </c>
      <c r="Y135">
        <v>1.4253868019126702E-4</v>
      </c>
      <c r="Z135" t="s">
        <v>2046</v>
      </c>
      <c r="AA135" t="s">
        <v>25</v>
      </c>
      <c r="AC135" t="s">
        <v>22</v>
      </c>
      <c r="AD135" t="s">
        <v>2046</v>
      </c>
      <c r="AE135">
        <v>1.7735155523440735E-4</v>
      </c>
      <c r="AG135" t="s">
        <v>97</v>
      </c>
      <c r="AH135" t="s">
        <v>2046</v>
      </c>
      <c r="AI135">
        <v>0</v>
      </c>
    </row>
    <row r="136" spans="5:35" x14ac:dyDescent="0.45">
      <c r="E136" t="s">
        <v>183</v>
      </c>
      <c r="G136" t="s">
        <v>369</v>
      </c>
      <c r="I136" t="s">
        <v>236</v>
      </c>
      <c r="J136" t="s">
        <v>2047</v>
      </c>
      <c r="K136">
        <v>3.7879411097009998E-4</v>
      </c>
      <c r="L136" t="s">
        <v>238</v>
      </c>
      <c r="N136" t="s">
        <v>346</v>
      </c>
      <c r="O136" t="s">
        <v>2047</v>
      </c>
      <c r="P136">
        <v>4.8111600102889792E-5</v>
      </c>
      <c r="Q136" t="s">
        <v>238</v>
      </c>
      <c r="S136" t="s">
        <v>347</v>
      </c>
      <c r="T136" t="s">
        <v>2047</v>
      </c>
      <c r="U136">
        <v>4.3934274448743791E-5</v>
      </c>
      <c r="V136" t="s">
        <v>238</v>
      </c>
      <c r="X136">
        <v>1.1415525114155251E-4</v>
      </c>
      <c r="Y136">
        <v>1.4883690094390442E-4</v>
      </c>
      <c r="Z136" t="s">
        <v>2047</v>
      </c>
      <c r="AA136" t="s">
        <v>25</v>
      </c>
      <c r="AC136" t="s">
        <v>22</v>
      </c>
      <c r="AD136" t="s">
        <v>2047</v>
      </c>
      <c r="AE136">
        <v>1.7735155523440735E-4</v>
      </c>
      <c r="AG136" t="s">
        <v>97</v>
      </c>
      <c r="AH136" t="s">
        <v>2047</v>
      </c>
      <c r="AI136">
        <v>0</v>
      </c>
    </row>
    <row r="137" spans="5:35" x14ac:dyDescent="0.45">
      <c r="E137" t="s">
        <v>184</v>
      </c>
      <c r="G137" t="s">
        <v>369</v>
      </c>
      <c r="I137" t="s">
        <v>236</v>
      </c>
      <c r="J137" t="s">
        <v>2048</v>
      </c>
      <c r="K137">
        <v>3.626623251239E-4</v>
      </c>
      <c r="L137" t="s">
        <v>238</v>
      </c>
      <c r="N137" t="s">
        <v>346</v>
      </c>
      <c r="O137" t="s">
        <v>2048</v>
      </c>
      <c r="P137">
        <v>5.2291664186081437E-5</v>
      </c>
      <c r="Q137" t="s">
        <v>238</v>
      </c>
      <c r="S137" t="s">
        <v>347</v>
      </c>
      <c r="T137" t="s">
        <v>2048</v>
      </c>
      <c r="U137">
        <v>3.6288233938332331E-5</v>
      </c>
      <c r="V137" t="s">
        <v>238</v>
      </c>
      <c r="X137">
        <v>1.1415525114155251E-4</v>
      </c>
      <c r="Y137">
        <v>1.5049432745775637E-4</v>
      </c>
      <c r="Z137" t="s">
        <v>2048</v>
      </c>
      <c r="AA137" t="s">
        <v>25</v>
      </c>
      <c r="AC137" t="s">
        <v>22</v>
      </c>
      <c r="AD137" t="s">
        <v>2048</v>
      </c>
      <c r="AE137">
        <v>1.7735155523440735E-4</v>
      </c>
      <c r="AG137" t="s">
        <v>97</v>
      </c>
      <c r="AH137" t="s">
        <v>2048</v>
      </c>
      <c r="AI137">
        <v>0</v>
      </c>
    </row>
    <row r="138" spans="5:35" x14ac:dyDescent="0.45">
      <c r="E138" t="s">
        <v>185</v>
      </c>
      <c r="G138" t="s">
        <v>369</v>
      </c>
      <c r="I138" t="s">
        <v>236</v>
      </c>
      <c r="J138" t="s">
        <v>2049</v>
      </c>
      <c r="K138">
        <v>3.3071797432150001E-4</v>
      </c>
      <c r="L138" t="s">
        <v>238</v>
      </c>
      <c r="N138" t="s">
        <v>346</v>
      </c>
      <c r="O138" t="s">
        <v>2049</v>
      </c>
      <c r="P138">
        <v>4.8812882903288443E-5</v>
      </c>
      <c r="Q138" t="s">
        <v>238</v>
      </c>
      <c r="S138" t="s">
        <v>347</v>
      </c>
      <c r="T138" t="s">
        <v>2049</v>
      </c>
      <c r="U138">
        <v>3.0387780863285361E-5</v>
      </c>
      <c r="V138" t="s">
        <v>238</v>
      </c>
      <c r="X138">
        <v>1.1415525114155251E-4</v>
      </c>
      <c r="Y138">
        <v>1.7237235744060203E-4</v>
      </c>
      <c r="Z138" t="s">
        <v>2049</v>
      </c>
      <c r="AA138" t="s">
        <v>25</v>
      </c>
      <c r="AC138" t="s">
        <v>22</v>
      </c>
      <c r="AD138" t="s">
        <v>2049</v>
      </c>
      <c r="AE138">
        <v>1.7802226216424459E-4</v>
      </c>
      <c r="AG138" t="s">
        <v>97</v>
      </c>
      <c r="AH138" t="s">
        <v>2049</v>
      </c>
      <c r="AI138">
        <v>0</v>
      </c>
    </row>
    <row r="139" spans="5:35" x14ac:dyDescent="0.45">
      <c r="E139" t="s">
        <v>186</v>
      </c>
      <c r="G139" t="s">
        <v>369</v>
      </c>
      <c r="I139" t="s">
        <v>236</v>
      </c>
      <c r="J139" t="s">
        <v>2050</v>
      </c>
      <c r="K139">
        <v>2.7948427030709998E-4</v>
      </c>
      <c r="L139" t="s">
        <v>238</v>
      </c>
      <c r="N139" t="s">
        <v>346</v>
      </c>
      <c r="O139" t="s">
        <v>2050</v>
      </c>
      <c r="P139">
        <v>4.0721765621878469E-5</v>
      </c>
      <c r="Q139" t="s">
        <v>238</v>
      </c>
      <c r="S139" t="s">
        <v>347</v>
      </c>
      <c r="T139" t="s">
        <v>2050</v>
      </c>
      <c r="U139">
        <v>2.4639169249279562E-5</v>
      </c>
      <c r="V139" t="s">
        <v>238</v>
      </c>
      <c r="X139">
        <v>1.1415525114155251E-4</v>
      </c>
      <c r="Y139">
        <v>2.2209515285616027E-4</v>
      </c>
      <c r="Z139" t="s">
        <v>2050</v>
      </c>
      <c r="AA139" t="s">
        <v>25</v>
      </c>
      <c r="AC139" t="s">
        <v>22</v>
      </c>
      <c r="AD139" t="s">
        <v>2050</v>
      </c>
      <c r="AE139">
        <v>1.8048725344484292E-4</v>
      </c>
      <c r="AG139" t="s">
        <v>97</v>
      </c>
      <c r="AH139" t="s">
        <v>2050</v>
      </c>
      <c r="AI139">
        <v>0</v>
      </c>
    </row>
    <row r="140" spans="5:35" x14ac:dyDescent="0.45">
      <c r="E140" t="s">
        <v>187</v>
      </c>
      <c r="G140" t="s">
        <v>369</v>
      </c>
      <c r="I140" t="s">
        <v>236</v>
      </c>
      <c r="J140" t="s">
        <v>2051</v>
      </c>
      <c r="K140">
        <v>2.0838402764039999E-4</v>
      </c>
      <c r="L140" t="s">
        <v>238</v>
      </c>
      <c r="N140" t="s">
        <v>346</v>
      </c>
      <c r="O140" t="s">
        <v>2051</v>
      </c>
      <c r="P140">
        <v>3.102089023665082E-5</v>
      </c>
      <c r="Q140" t="s">
        <v>238</v>
      </c>
      <c r="S140" t="s">
        <v>347</v>
      </c>
      <c r="T140" t="s">
        <v>2051</v>
      </c>
      <c r="U140">
        <v>1.8569374089497119E-5</v>
      </c>
      <c r="V140" t="s">
        <v>238</v>
      </c>
      <c r="X140">
        <v>1.1415525114155251E-4</v>
      </c>
      <c r="Y140">
        <v>2.2209515285616027E-4</v>
      </c>
      <c r="Z140" t="s">
        <v>2051</v>
      </c>
      <c r="AA140" t="s">
        <v>25</v>
      </c>
      <c r="AC140" t="s">
        <v>22</v>
      </c>
      <c r="AD140" t="s">
        <v>2051</v>
      </c>
      <c r="AE140">
        <v>1.8138439562022349E-4</v>
      </c>
      <c r="AG140" t="s">
        <v>97</v>
      </c>
      <c r="AH140" t="s">
        <v>2051</v>
      </c>
      <c r="AI140">
        <v>0</v>
      </c>
    </row>
    <row r="141" spans="5:35" x14ac:dyDescent="0.45">
      <c r="E141" t="s">
        <v>188</v>
      </c>
      <c r="G141" t="s">
        <v>369</v>
      </c>
      <c r="I141" t="s">
        <v>236</v>
      </c>
      <c r="J141" t="s">
        <v>2052</v>
      </c>
      <c r="K141">
        <v>5.5982616173649342E-5</v>
      </c>
      <c r="L141" t="s">
        <v>238</v>
      </c>
      <c r="N141" t="s">
        <v>346</v>
      </c>
      <c r="O141" t="s">
        <v>2052</v>
      </c>
      <c r="P141">
        <v>2.8070692864020336E-5</v>
      </c>
      <c r="Q141" t="s">
        <v>238</v>
      </c>
      <c r="S141" t="s">
        <v>347</v>
      </c>
      <c r="T141" t="s">
        <v>2052</v>
      </c>
      <c r="U141">
        <v>1.1990240099252734E-5</v>
      </c>
      <c r="V141" t="s">
        <v>238</v>
      </c>
      <c r="X141">
        <v>1.1415525114155251E-4</v>
      </c>
      <c r="Y141">
        <v>1.7237235744060203E-4</v>
      </c>
      <c r="Z141" t="s">
        <v>2052</v>
      </c>
      <c r="AA141" t="s">
        <v>25</v>
      </c>
      <c r="AC141" t="s">
        <v>22</v>
      </c>
      <c r="AD141" t="s">
        <v>2052</v>
      </c>
      <c r="AE141">
        <v>1.8432232127442501E-4</v>
      </c>
      <c r="AG141" t="s">
        <v>97</v>
      </c>
      <c r="AH141" t="s">
        <v>2052</v>
      </c>
      <c r="AI141">
        <v>0</v>
      </c>
    </row>
    <row r="142" spans="5:35" x14ac:dyDescent="0.45">
      <c r="E142" t="s">
        <v>189</v>
      </c>
      <c r="G142" t="s">
        <v>369</v>
      </c>
      <c r="I142" t="s">
        <v>236</v>
      </c>
      <c r="J142" t="s">
        <v>2053</v>
      </c>
      <c r="K142">
        <v>0</v>
      </c>
      <c r="L142" t="s">
        <v>238</v>
      </c>
      <c r="N142" t="s">
        <v>346</v>
      </c>
      <c r="O142" t="s">
        <v>2053</v>
      </c>
      <c r="P142">
        <v>2.4338844739533304E-5</v>
      </c>
      <c r="Q142" t="s">
        <v>238</v>
      </c>
      <c r="S142" t="s">
        <v>347</v>
      </c>
      <c r="T142" t="s">
        <v>2053</v>
      </c>
      <c r="U142">
        <v>7.5320896432465756E-6</v>
      </c>
      <c r="V142" t="s">
        <v>238</v>
      </c>
      <c r="X142">
        <v>1.1415525114155251E-4</v>
      </c>
      <c r="Y142">
        <v>1.5579809230208258E-4</v>
      </c>
      <c r="Z142" t="s">
        <v>2053</v>
      </c>
      <c r="AA142" t="s">
        <v>25</v>
      </c>
      <c r="AC142" t="s">
        <v>22</v>
      </c>
      <c r="AD142" t="s">
        <v>2053</v>
      </c>
      <c r="AE142">
        <v>1.7939520498215923E-4</v>
      </c>
      <c r="AG142" t="s">
        <v>97</v>
      </c>
      <c r="AH142" t="s">
        <v>2053</v>
      </c>
      <c r="AI142">
        <v>0</v>
      </c>
    </row>
    <row r="143" spans="5:35" x14ac:dyDescent="0.45">
      <c r="E143" t="s">
        <v>190</v>
      </c>
      <c r="G143" t="s">
        <v>369</v>
      </c>
      <c r="I143" t="s">
        <v>236</v>
      </c>
      <c r="J143" t="s">
        <v>2054</v>
      </c>
      <c r="K143">
        <v>0</v>
      </c>
      <c r="L143" t="s">
        <v>238</v>
      </c>
      <c r="N143" t="s">
        <v>346</v>
      </c>
      <c r="O143" t="s">
        <v>2054</v>
      </c>
      <c r="P143">
        <v>1.780461468052894E-5</v>
      </c>
      <c r="Q143" t="s">
        <v>238</v>
      </c>
      <c r="S143" t="s">
        <v>347</v>
      </c>
      <c r="T143" t="s">
        <v>2054</v>
      </c>
      <c r="U143">
        <v>4.7440645697345696E-6</v>
      </c>
      <c r="V143" t="s">
        <v>238</v>
      </c>
      <c r="X143">
        <v>1.1415525114155251E-4</v>
      </c>
      <c r="Y143">
        <v>1.093901499142282E-4</v>
      </c>
      <c r="Z143" t="s">
        <v>2054</v>
      </c>
      <c r="AA143" t="s">
        <v>25</v>
      </c>
      <c r="AC143" t="s">
        <v>22</v>
      </c>
      <c r="AD143" t="s">
        <v>2054</v>
      </c>
      <c r="AE143">
        <v>1.6531609199343933E-4</v>
      </c>
      <c r="AG143" t="s">
        <v>97</v>
      </c>
      <c r="AH143" t="s">
        <v>2054</v>
      </c>
      <c r="AI143">
        <v>0</v>
      </c>
    </row>
    <row r="144" spans="5:35" x14ac:dyDescent="0.45">
      <c r="E144" t="s">
        <v>191</v>
      </c>
      <c r="G144" t="s">
        <v>369</v>
      </c>
      <c r="I144" t="s">
        <v>236</v>
      </c>
      <c r="J144" t="s">
        <v>2055</v>
      </c>
      <c r="K144">
        <v>0</v>
      </c>
      <c r="L144" t="s">
        <v>238</v>
      </c>
      <c r="N144" t="s">
        <v>346</v>
      </c>
      <c r="O144" t="s">
        <v>2055</v>
      </c>
      <c r="P144">
        <v>1.129420968188535E-5</v>
      </c>
      <c r="Q144" t="s">
        <v>238</v>
      </c>
      <c r="S144" t="s">
        <v>347</v>
      </c>
      <c r="T144" t="s">
        <v>2055</v>
      </c>
      <c r="U144">
        <v>2.9258990577155689E-6</v>
      </c>
      <c r="V144" t="s">
        <v>238</v>
      </c>
      <c r="X144">
        <v>1.1415525114155251E-4</v>
      </c>
      <c r="Y144">
        <v>7.9556472664893237E-5</v>
      </c>
      <c r="Z144" t="s">
        <v>2055</v>
      </c>
      <c r="AA144" t="s">
        <v>25</v>
      </c>
      <c r="AC144" t="s">
        <v>22</v>
      </c>
      <c r="AD144" t="s">
        <v>2055</v>
      </c>
      <c r="AE144">
        <v>1.5528701700412114E-4</v>
      </c>
      <c r="AG144" t="s">
        <v>97</v>
      </c>
      <c r="AH144" t="s">
        <v>2055</v>
      </c>
      <c r="AI144">
        <v>0</v>
      </c>
    </row>
    <row r="145" spans="5:35" x14ac:dyDescent="0.45">
      <c r="E145" t="s">
        <v>192</v>
      </c>
      <c r="G145" t="s">
        <v>369</v>
      </c>
      <c r="I145" t="s">
        <v>236</v>
      </c>
      <c r="J145" t="s">
        <v>2056</v>
      </c>
      <c r="K145">
        <v>0</v>
      </c>
      <c r="L145" t="s">
        <v>238</v>
      </c>
      <c r="N145" t="s">
        <v>346</v>
      </c>
      <c r="O145" t="s">
        <v>2056</v>
      </c>
      <c r="P145">
        <v>8.5349389067522776E-6</v>
      </c>
      <c r="Q145" t="s">
        <v>238</v>
      </c>
      <c r="S145" t="s">
        <v>347</v>
      </c>
      <c r="T145" t="s">
        <v>2056</v>
      </c>
      <c r="U145">
        <v>2.6902718134552531E-6</v>
      </c>
      <c r="V145" t="s">
        <v>238</v>
      </c>
      <c r="X145">
        <v>1.1415525114155251E-4</v>
      </c>
      <c r="Y145">
        <v>5.6352501470966035E-5</v>
      </c>
      <c r="Z145" t="s">
        <v>2056</v>
      </c>
      <c r="AA145" t="s">
        <v>25</v>
      </c>
      <c r="AC145" t="s">
        <v>22</v>
      </c>
      <c r="AD145" t="s">
        <v>2056</v>
      </c>
      <c r="AE145">
        <v>1.460518985086701E-4</v>
      </c>
      <c r="AG145" t="s">
        <v>97</v>
      </c>
      <c r="AH145" t="s">
        <v>2056</v>
      </c>
      <c r="AI145">
        <v>0</v>
      </c>
    </row>
    <row r="146" spans="5:35" x14ac:dyDescent="0.45">
      <c r="E146" t="s">
        <v>193</v>
      </c>
      <c r="G146" t="s">
        <v>369</v>
      </c>
      <c r="I146" t="s">
        <v>236</v>
      </c>
      <c r="J146" t="s">
        <v>2057</v>
      </c>
      <c r="K146">
        <v>0</v>
      </c>
      <c r="L146" t="s">
        <v>238</v>
      </c>
      <c r="N146" t="s">
        <v>346</v>
      </c>
      <c r="O146" t="s">
        <v>2057</v>
      </c>
      <c r="P146">
        <v>6.856877675239147E-6</v>
      </c>
      <c r="Q146" t="s">
        <v>238</v>
      </c>
      <c r="S146" t="s">
        <v>347</v>
      </c>
      <c r="T146" t="s">
        <v>2057</v>
      </c>
      <c r="U146">
        <v>5.8094650038200171E-6</v>
      </c>
      <c r="V146" t="s">
        <v>238</v>
      </c>
      <c r="X146">
        <v>1.1415525114155251E-4</v>
      </c>
      <c r="Y146">
        <v>2.9833677249334962E-5</v>
      </c>
      <c r="Z146" t="s">
        <v>2057</v>
      </c>
      <c r="AA146" t="s">
        <v>25</v>
      </c>
      <c r="AC146" t="s">
        <v>22</v>
      </c>
      <c r="AD146" t="s">
        <v>2057</v>
      </c>
      <c r="AE146">
        <v>1.1395255275120383E-4</v>
      </c>
      <c r="AG146" t="s">
        <v>97</v>
      </c>
      <c r="AH146" t="s">
        <v>2057</v>
      </c>
      <c r="AI146">
        <v>0</v>
      </c>
    </row>
    <row r="147" spans="5:35" x14ac:dyDescent="0.45">
      <c r="E147" t="s">
        <v>194</v>
      </c>
      <c r="G147" t="s">
        <v>369</v>
      </c>
      <c r="I147" t="s">
        <v>236</v>
      </c>
      <c r="J147" t="s">
        <v>2058</v>
      </c>
      <c r="K147">
        <v>0</v>
      </c>
      <c r="L147" t="s">
        <v>238</v>
      </c>
      <c r="N147" t="s">
        <v>346</v>
      </c>
      <c r="O147" t="s">
        <v>2058</v>
      </c>
      <c r="P147">
        <v>1.5832985536250001E-4</v>
      </c>
      <c r="Q147" t="s">
        <v>238</v>
      </c>
      <c r="S147" t="s">
        <v>347</v>
      </c>
      <c r="T147" t="s">
        <v>2058</v>
      </c>
      <c r="U147">
        <v>1.856921150705E-4</v>
      </c>
      <c r="V147" t="s">
        <v>238</v>
      </c>
      <c r="X147">
        <v>1.1415525114155251E-4</v>
      </c>
      <c r="Y147">
        <v>2.1546544680075254E-5</v>
      </c>
      <c r="Z147" t="s">
        <v>2058</v>
      </c>
      <c r="AA147" t="s">
        <v>25</v>
      </c>
      <c r="AC147" t="s">
        <v>22</v>
      </c>
      <c r="AD147" t="s">
        <v>2058</v>
      </c>
      <c r="AE147">
        <v>1.0839772356306478E-4</v>
      </c>
      <c r="AG147" t="s">
        <v>97</v>
      </c>
      <c r="AH147" t="s">
        <v>2058</v>
      </c>
      <c r="AI147">
        <v>0</v>
      </c>
    </row>
    <row r="148" spans="5:35" x14ac:dyDescent="0.45">
      <c r="E148" t="s">
        <v>195</v>
      </c>
      <c r="G148" t="s">
        <v>369</v>
      </c>
      <c r="I148" t="s">
        <v>236</v>
      </c>
      <c r="J148" t="s">
        <v>2059</v>
      </c>
      <c r="K148">
        <v>0</v>
      </c>
      <c r="L148" t="s">
        <v>238</v>
      </c>
      <c r="N148" t="s">
        <v>346</v>
      </c>
      <c r="O148" t="s">
        <v>2059</v>
      </c>
      <c r="P148">
        <v>1.7059377134159999E-4</v>
      </c>
      <c r="Q148" t="s">
        <v>238</v>
      </c>
      <c r="S148" t="s">
        <v>347</v>
      </c>
      <c r="T148" t="s">
        <v>2059</v>
      </c>
      <c r="U148">
        <v>1.8793490987569999E-4</v>
      </c>
      <c r="V148" t="s">
        <v>238</v>
      </c>
      <c r="X148">
        <v>1.1415525114155251E-4</v>
      </c>
      <c r="Y148">
        <v>1.4916838624667481E-5</v>
      </c>
      <c r="Z148" t="s">
        <v>2059</v>
      </c>
      <c r="AA148" t="s">
        <v>25</v>
      </c>
      <c r="AC148" t="s">
        <v>22</v>
      </c>
      <c r="AD148" t="s">
        <v>2059</v>
      </c>
      <c r="AE148">
        <v>1.0711076881307792E-4</v>
      </c>
      <c r="AG148" t="s">
        <v>97</v>
      </c>
      <c r="AH148" t="s">
        <v>2059</v>
      </c>
      <c r="AI148">
        <v>0</v>
      </c>
    </row>
    <row r="149" spans="5:35" x14ac:dyDescent="0.45">
      <c r="E149" t="s">
        <v>196</v>
      </c>
      <c r="G149" t="s">
        <v>369</v>
      </c>
      <c r="I149" t="s">
        <v>236</v>
      </c>
      <c r="J149" t="s">
        <v>2060</v>
      </c>
      <c r="K149">
        <v>0</v>
      </c>
      <c r="L149" t="s">
        <v>238</v>
      </c>
      <c r="N149" t="s">
        <v>346</v>
      </c>
      <c r="O149" t="s">
        <v>2060</v>
      </c>
      <c r="P149">
        <v>1.8453593137699999E-4</v>
      </c>
      <c r="Q149" t="s">
        <v>238</v>
      </c>
      <c r="S149" t="s">
        <v>347</v>
      </c>
      <c r="T149" t="s">
        <v>2060</v>
      </c>
      <c r="U149">
        <v>1.897540777589E-4</v>
      </c>
      <c r="V149" t="s">
        <v>238</v>
      </c>
      <c r="X149">
        <v>1.1415525114155251E-4</v>
      </c>
      <c r="Y149">
        <v>1.6574265138519424E-5</v>
      </c>
      <c r="Z149" t="s">
        <v>2060</v>
      </c>
      <c r="AA149" t="s">
        <v>25</v>
      </c>
      <c r="AC149" t="s">
        <v>22</v>
      </c>
      <c r="AD149" t="s">
        <v>2060</v>
      </c>
      <c r="AE149">
        <v>1.0691299625684389E-4</v>
      </c>
      <c r="AG149" t="s">
        <v>97</v>
      </c>
      <c r="AH149" t="s">
        <v>2060</v>
      </c>
      <c r="AI149">
        <v>0</v>
      </c>
    </row>
    <row r="150" spans="5:35" x14ac:dyDescent="0.45">
      <c r="E150" t="s">
        <v>197</v>
      </c>
      <c r="G150" t="s">
        <v>369</v>
      </c>
      <c r="I150" t="s">
        <v>236</v>
      </c>
      <c r="J150" t="s">
        <v>2061</v>
      </c>
      <c r="K150">
        <v>0</v>
      </c>
      <c r="L150" t="s">
        <v>238</v>
      </c>
      <c r="N150" t="s">
        <v>346</v>
      </c>
      <c r="O150" t="s">
        <v>2061</v>
      </c>
      <c r="P150">
        <v>1.9143493384760001E-4</v>
      </c>
      <c r="Q150" t="s">
        <v>238</v>
      </c>
      <c r="S150" t="s">
        <v>347</v>
      </c>
      <c r="T150" t="s">
        <v>2061</v>
      </c>
      <c r="U150">
        <v>1.917012166071E-4</v>
      </c>
      <c r="V150" t="s">
        <v>238</v>
      </c>
      <c r="X150">
        <v>1.1415525114155251E-4</v>
      </c>
      <c r="Y150">
        <v>1.4585353321897093E-5</v>
      </c>
      <c r="Z150" t="s">
        <v>2061</v>
      </c>
      <c r="AA150" t="s">
        <v>25</v>
      </c>
      <c r="AC150" t="s">
        <v>22</v>
      </c>
      <c r="AD150" t="s">
        <v>2061</v>
      </c>
      <c r="AE150">
        <v>1.0691299625684389E-4</v>
      </c>
      <c r="AG150" t="s">
        <v>97</v>
      </c>
      <c r="AH150" t="s">
        <v>2061</v>
      </c>
      <c r="AI150">
        <v>0</v>
      </c>
    </row>
    <row r="151" spans="5:35" x14ac:dyDescent="0.45">
      <c r="E151" t="s">
        <v>198</v>
      </c>
      <c r="G151" t="s">
        <v>369</v>
      </c>
      <c r="I151" t="s">
        <v>236</v>
      </c>
      <c r="J151" t="s">
        <v>2062</v>
      </c>
      <c r="K151">
        <v>0</v>
      </c>
      <c r="L151" t="s">
        <v>238</v>
      </c>
      <c r="N151" t="s">
        <v>346</v>
      </c>
      <c r="O151" t="s">
        <v>2062</v>
      </c>
      <c r="P151">
        <v>2.012353496609E-4</v>
      </c>
      <c r="Q151" t="s">
        <v>238</v>
      </c>
      <c r="S151" t="s">
        <v>347</v>
      </c>
      <c r="T151" t="s">
        <v>2062</v>
      </c>
      <c r="U151">
        <v>1.9441451134129999E-4</v>
      </c>
      <c r="V151" t="s">
        <v>238</v>
      </c>
      <c r="X151">
        <v>1.1415525114155251E-4</v>
      </c>
      <c r="Y151">
        <v>2.1215059377304864E-5</v>
      </c>
      <c r="Z151" t="s">
        <v>2062</v>
      </c>
      <c r="AA151" t="s">
        <v>25</v>
      </c>
      <c r="AC151" t="s">
        <v>22</v>
      </c>
      <c r="AD151" t="s">
        <v>2062</v>
      </c>
      <c r="AE151">
        <v>1.0750631392554605E-4</v>
      </c>
      <c r="AG151" t="s">
        <v>97</v>
      </c>
      <c r="AH151" t="s">
        <v>2062</v>
      </c>
      <c r="AI151">
        <v>0</v>
      </c>
    </row>
    <row r="152" spans="5:35" x14ac:dyDescent="0.45">
      <c r="E152" t="s">
        <v>199</v>
      </c>
      <c r="G152" t="s">
        <v>369</v>
      </c>
      <c r="I152" t="s">
        <v>236</v>
      </c>
      <c r="J152" t="s">
        <v>2063</v>
      </c>
      <c r="K152">
        <v>0</v>
      </c>
      <c r="L152" t="s">
        <v>238</v>
      </c>
      <c r="N152" t="s">
        <v>346</v>
      </c>
      <c r="O152" t="s">
        <v>2063</v>
      </c>
      <c r="P152">
        <v>2.1318476717620001E-4</v>
      </c>
      <c r="Q152" t="s">
        <v>238</v>
      </c>
      <c r="S152" t="s">
        <v>347</v>
      </c>
      <c r="T152" t="s">
        <v>2063</v>
      </c>
      <c r="U152">
        <v>1.9756791310889999E-4</v>
      </c>
      <c r="V152" t="s">
        <v>238</v>
      </c>
      <c r="X152">
        <v>1.1415525114155251E-4</v>
      </c>
      <c r="Y152">
        <v>5.7678442682047593E-5</v>
      </c>
      <c r="Z152" t="s">
        <v>2063</v>
      </c>
      <c r="AA152" t="s">
        <v>25</v>
      </c>
      <c r="AC152" t="s">
        <v>22</v>
      </c>
      <c r="AD152" t="s">
        <v>2063</v>
      </c>
      <c r="AE152">
        <v>1.0901683765214527E-4</v>
      </c>
      <c r="AG152" t="s">
        <v>97</v>
      </c>
      <c r="AH152" t="s">
        <v>2063</v>
      </c>
      <c r="AI152">
        <v>0</v>
      </c>
    </row>
    <row r="153" spans="5:35" x14ac:dyDescent="0.45">
      <c r="E153" t="s">
        <v>200</v>
      </c>
      <c r="G153" t="s">
        <v>369</v>
      </c>
      <c r="I153" t="s">
        <v>236</v>
      </c>
      <c r="J153" t="s">
        <v>2064</v>
      </c>
      <c r="K153">
        <v>0</v>
      </c>
      <c r="L153" t="s">
        <v>238</v>
      </c>
      <c r="N153" t="s">
        <v>346</v>
      </c>
      <c r="O153" t="s">
        <v>2064</v>
      </c>
      <c r="P153">
        <v>2.230225184376E-4</v>
      </c>
      <c r="Q153" t="s">
        <v>238</v>
      </c>
      <c r="S153" t="s">
        <v>347</v>
      </c>
      <c r="T153" t="s">
        <v>2064</v>
      </c>
      <c r="U153">
        <v>2.001360728439E-4</v>
      </c>
      <c r="V153" t="s">
        <v>238</v>
      </c>
      <c r="X153">
        <v>1.1415525114155251E-4</v>
      </c>
      <c r="Y153">
        <v>1.6905750441289813E-4</v>
      </c>
      <c r="Z153" t="s">
        <v>2064</v>
      </c>
      <c r="AA153" t="s">
        <v>25</v>
      </c>
      <c r="AC153" t="s">
        <v>22</v>
      </c>
      <c r="AD153" t="s">
        <v>2064</v>
      </c>
      <c r="AE153">
        <v>1.2184625738698043E-4</v>
      </c>
      <c r="AG153" t="s">
        <v>97</v>
      </c>
      <c r="AH153" t="s">
        <v>2064</v>
      </c>
      <c r="AI153">
        <v>0</v>
      </c>
    </row>
    <row r="154" spans="5:35" x14ac:dyDescent="0.45">
      <c r="E154" t="s">
        <v>201</v>
      </c>
      <c r="G154" t="s">
        <v>369</v>
      </c>
      <c r="I154" t="s">
        <v>236</v>
      </c>
      <c r="J154" t="s">
        <v>2065</v>
      </c>
      <c r="K154">
        <v>2.0974050716279999E-4</v>
      </c>
      <c r="L154" t="s">
        <v>238</v>
      </c>
      <c r="N154" t="s">
        <v>346</v>
      </c>
      <c r="O154" t="s">
        <v>2065</v>
      </c>
      <c r="P154">
        <v>2.323000808932E-4</v>
      </c>
      <c r="Q154" t="s">
        <v>238</v>
      </c>
      <c r="S154" t="s">
        <v>347</v>
      </c>
      <c r="T154" t="s">
        <v>2065</v>
      </c>
      <c r="U154">
        <v>2.0323414170909999E-4</v>
      </c>
      <c r="V154" t="s">
        <v>238</v>
      </c>
      <c r="X154">
        <v>1.1415525114155251E-4</v>
      </c>
      <c r="Y154">
        <v>1.9060404909297337E-4</v>
      </c>
      <c r="Z154" t="s">
        <v>2065</v>
      </c>
      <c r="AA154" t="s">
        <v>25</v>
      </c>
      <c r="AC154" t="s">
        <v>22</v>
      </c>
      <c r="AD154" t="s">
        <v>2065</v>
      </c>
      <c r="AE154">
        <v>1.3805787446031099E-4</v>
      </c>
      <c r="AG154" t="s">
        <v>97</v>
      </c>
      <c r="AH154" t="s">
        <v>2065</v>
      </c>
      <c r="AI154">
        <v>0</v>
      </c>
    </row>
    <row r="155" spans="5:35" x14ac:dyDescent="0.45">
      <c r="E155" t="s">
        <v>391</v>
      </c>
      <c r="G155" t="s">
        <v>371</v>
      </c>
      <c r="I155" t="s">
        <v>236</v>
      </c>
      <c r="J155" t="s">
        <v>2066</v>
      </c>
      <c r="K155">
        <v>4.134263125449E-4</v>
      </c>
      <c r="L155" t="s">
        <v>238</v>
      </c>
      <c r="N155" t="s">
        <v>346</v>
      </c>
      <c r="O155" t="s">
        <v>2066</v>
      </c>
      <c r="P155">
        <v>2.3448495798969999E-4</v>
      </c>
      <c r="Q155" t="s">
        <v>238</v>
      </c>
      <c r="S155" t="s">
        <v>347</v>
      </c>
      <c r="T155" t="s">
        <v>2066</v>
      </c>
      <c r="U155">
        <v>2.0576529202509999E-4</v>
      </c>
      <c r="V155" t="s">
        <v>238</v>
      </c>
      <c r="X155">
        <v>1.1415525114155251E-4</v>
      </c>
      <c r="Y155">
        <v>1.4585353321897094E-4</v>
      </c>
      <c r="Z155" t="s">
        <v>2066</v>
      </c>
      <c r="AA155" t="s">
        <v>25</v>
      </c>
      <c r="AC155" t="s">
        <v>22</v>
      </c>
      <c r="AD155" t="s">
        <v>2066</v>
      </c>
      <c r="AE155">
        <v>1.4656782691623721E-4</v>
      </c>
      <c r="AG155" t="s">
        <v>97</v>
      </c>
      <c r="AH155" t="s">
        <v>2066</v>
      </c>
      <c r="AI155">
        <v>0</v>
      </c>
    </row>
    <row r="156" spans="5:35" x14ac:dyDescent="0.45">
      <c r="E156" t="s">
        <v>392</v>
      </c>
      <c r="G156" t="s">
        <v>371</v>
      </c>
      <c r="I156" t="s">
        <v>236</v>
      </c>
      <c r="J156" t="s">
        <v>2067</v>
      </c>
      <c r="K156">
        <v>5.2038179641350003E-4</v>
      </c>
      <c r="L156" t="s">
        <v>238</v>
      </c>
      <c r="N156" t="s">
        <v>346</v>
      </c>
      <c r="O156" t="s">
        <v>2067</v>
      </c>
      <c r="P156">
        <v>2.1780667760220001E-4</v>
      </c>
      <c r="Q156" t="s">
        <v>238</v>
      </c>
      <c r="S156" t="s">
        <v>347</v>
      </c>
      <c r="T156" t="s">
        <v>2067</v>
      </c>
      <c r="U156">
        <v>2.050612304714E-4</v>
      </c>
      <c r="V156" t="s">
        <v>238</v>
      </c>
      <c r="X156">
        <v>1.1415525114155251E-4</v>
      </c>
      <c r="Y156">
        <v>1.4452759200788939E-4</v>
      </c>
      <c r="Z156" t="s">
        <v>2067</v>
      </c>
      <c r="AA156" t="s">
        <v>25</v>
      </c>
      <c r="AC156" t="s">
        <v>22</v>
      </c>
      <c r="AD156" t="s">
        <v>2067</v>
      </c>
      <c r="AE156">
        <v>1.4731305683827854E-4</v>
      </c>
      <c r="AG156" t="s">
        <v>97</v>
      </c>
      <c r="AH156" t="s">
        <v>2067</v>
      </c>
      <c r="AI156">
        <v>0</v>
      </c>
    </row>
    <row r="157" spans="5:35" x14ac:dyDescent="0.45">
      <c r="E157" t="s">
        <v>393</v>
      </c>
      <c r="G157" t="s">
        <v>371</v>
      </c>
      <c r="I157" t="s">
        <v>236</v>
      </c>
      <c r="J157" t="s">
        <v>2068</v>
      </c>
      <c r="K157">
        <v>5.5732879959829995E-4</v>
      </c>
      <c r="L157" t="s">
        <v>238</v>
      </c>
      <c r="N157" t="s">
        <v>346</v>
      </c>
      <c r="O157" t="s">
        <v>2068</v>
      </c>
      <c r="P157">
        <v>1.994143644006E-4</v>
      </c>
      <c r="Q157" t="s">
        <v>238</v>
      </c>
      <c r="S157" t="s">
        <v>347</v>
      </c>
      <c r="T157" t="s">
        <v>2068</v>
      </c>
      <c r="U157">
        <v>2.045851722269E-4</v>
      </c>
      <c r="V157" t="s">
        <v>238</v>
      </c>
      <c r="X157">
        <v>1.1415525114155251E-4</v>
      </c>
      <c r="Y157">
        <v>1.408812536774151E-4</v>
      </c>
      <c r="Z157" t="s">
        <v>2068</v>
      </c>
      <c r="AA157" t="s">
        <v>25</v>
      </c>
      <c r="AC157" t="s">
        <v>22</v>
      </c>
      <c r="AD157" t="s">
        <v>2068</v>
      </c>
      <c r="AE157">
        <v>1.4626113614062787E-4</v>
      </c>
      <c r="AG157" t="s">
        <v>97</v>
      </c>
      <c r="AH157" t="s">
        <v>2068</v>
      </c>
      <c r="AI157">
        <v>0</v>
      </c>
    </row>
    <row r="158" spans="5:35" x14ac:dyDescent="0.45">
      <c r="E158" t="s">
        <v>394</v>
      </c>
      <c r="G158" t="s">
        <v>371</v>
      </c>
      <c r="I158" t="s">
        <v>236</v>
      </c>
      <c r="J158" t="s">
        <v>2069</v>
      </c>
      <c r="K158">
        <v>5.3490434812619996E-4</v>
      </c>
      <c r="L158" t="s">
        <v>238</v>
      </c>
      <c r="N158" t="s">
        <v>346</v>
      </c>
      <c r="O158" t="s">
        <v>2069</v>
      </c>
      <c r="P158">
        <v>2.0805834084899999E-4</v>
      </c>
      <c r="Q158" t="s">
        <v>238</v>
      </c>
      <c r="S158" t="s">
        <v>347</v>
      </c>
      <c r="T158" t="s">
        <v>2069</v>
      </c>
      <c r="U158">
        <v>2.036663117265E-4</v>
      </c>
      <c r="V158" t="s">
        <v>238</v>
      </c>
      <c r="X158">
        <v>1.1415525114155251E-4</v>
      </c>
      <c r="Y158">
        <v>1.4054976837464471E-4</v>
      </c>
      <c r="Z158" t="s">
        <v>2069</v>
      </c>
      <c r="AA158" t="s">
        <v>25</v>
      </c>
      <c r="AC158" t="s">
        <v>22</v>
      </c>
      <c r="AD158" t="s">
        <v>2069</v>
      </c>
      <c r="AE158">
        <v>1.4520061663618437E-4</v>
      </c>
      <c r="AG158" t="s">
        <v>97</v>
      </c>
      <c r="AH158" t="s">
        <v>2069</v>
      </c>
      <c r="AI158">
        <v>0</v>
      </c>
    </row>
    <row r="159" spans="5:35" x14ac:dyDescent="0.45">
      <c r="E159" t="s">
        <v>395</v>
      </c>
      <c r="G159" t="s">
        <v>371</v>
      </c>
      <c r="I159" t="s">
        <v>236</v>
      </c>
      <c r="J159" t="s">
        <v>2070</v>
      </c>
      <c r="K159">
        <v>4.653956157316E-4</v>
      </c>
      <c r="L159" t="s">
        <v>238</v>
      </c>
      <c r="N159" t="s">
        <v>346</v>
      </c>
      <c r="O159" t="s">
        <v>2070</v>
      </c>
      <c r="P159">
        <v>2.2086245447500001E-4</v>
      </c>
      <c r="Q159" t="s">
        <v>238</v>
      </c>
      <c r="S159" t="s">
        <v>347</v>
      </c>
      <c r="T159" t="s">
        <v>2070</v>
      </c>
      <c r="U159">
        <v>2.0673099292049999E-4</v>
      </c>
      <c r="V159" t="s">
        <v>238</v>
      </c>
      <c r="X159">
        <v>1.1415525114155251E-4</v>
      </c>
      <c r="Y159">
        <v>1.4253868019126702E-4</v>
      </c>
      <c r="Z159" t="s">
        <v>2070</v>
      </c>
      <c r="AA159" t="s">
        <v>25</v>
      </c>
      <c r="AC159" t="s">
        <v>22</v>
      </c>
      <c r="AD159" t="s">
        <v>2070</v>
      </c>
      <c r="AE159">
        <v>1.4308817643409022E-4</v>
      </c>
      <c r="AG159" t="s">
        <v>97</v>
      </c>
      <c r="AH159" t="s">
        <v>2070</v>
      </c>
      <c r="AI159">
        <v>0</v>
      </c>
    </row>
    <row r="160" spans="5:35" x14ac:dyDescent="0.45">
      <c r="E160" t="s">
        <v>396</v>
      </c>
      <c r="G160" t="s">
        <v>371</v>
      </c>
      <c r="I160" t="s">
        <v>236</v>
      </c>
      <c r="J160" t="s">
        <v>2071</v>
      </c>
      <c r="K160">
        <v>4.6465007560019997E-4</v>
      </c>
      <c r="L160" t="s">
        <v>238</v>
      </c>
      <c r="N160" t="s">
        <v>346</v>
      </c>
      <c r="O160" t="s">
        <v>2071</v>
      </c>
      <c r="P160">
        <v>2.228167749251E-4</v>
      </c>
      <c r="Q160" t="s">
        <v>238</v>
      </c>
      <c r="S160" t="s">
        <v>347</v>
      </c>
      <c r="T160" t="s">
        <v>2071</v>
      </c>
      <c r="U160">
        <v>2.087194115515E-4</v>
      </c>
      <c r="V160" t="s">
        <v>238</v>
      </c>
      <c r="X160">
        <v>1.1415525114155251E-4</v>
      </c>
      <c r="Y160">
        <v>1.4883690094390442E-4</v>
      </c>
      <c r="Z160" t="s">
        <v>2071</v>
      </c>
      <c r="AA160" t="s">
        <v>25</v>
      </c>
      <c r="AC160" t="s">
        <v>22</v>
      </c>
      <c r="AD160" t="s">
        <v>2071</v>
      </c>
      <c r="AE160">
        <v>1.4257798056438497E-4</v>
      </c>
      <c r="AG160" t="s">
        <v>97</v>
      </c>
      <c r="AH160" t="s">
        <v>2071</v>
      </c>
      <c r="AI160">
        <v>0</v>
      </c>
    </row>
    <row r="161" spans="5:35" x14ac:dyDescent="0.45">
      <c r="E161" t="s">
        <v>397</v>
      </c>
      <c r="G161" t="s">
        <v>371</v>
      </c>
      <c r="I161" t="s">
        <v>236</v>
      </c>
      <c r="J161" t="s">
        <v>2072</v>
      </c>
      <c r="K161">
        <v>4.7980849579500002E-4</v>
      </c>
      <c r="L161" t="s">
        <v>238</v>
      </c>
      <c r="N161" t="s">
        <v>346</v>
      </c>
      <c r="O161" t="s">
        <v>2072</v>
      </c>
      <c r="P161">
        <v>2.223482587351E-4</v>
      </c>
      <c r="Q161" t="s">
        <v>238</v>
      </c>
      <c r="S161" t="s">
        <v>347</v>
      </c>
      <c r="T161" t="s">
        <v>2072</v>
      </c>
      <c r="U161">
        <v>2.1077203246610001E-4</v>
      </c>
      <c r="V161" t="s">
        <v>238</v>
      </c>
      <c r="X161">
        <v>1.1415525114155251E-4</v>
      </c>
      <c r="Y161">
        <v>1.5049432745775637E-4</v>
      </c>
      <c r="Z161" t="s">
        <v>2072</v>
      </c>
      <c r="AA161" t="s">
        <v>25</v>
      </c>
      <c r="AC161" t="s">
        <v>22</v>
      </c>
      <c r="AD161" t="s">
        <v>2072</v>
      </c>
      <c r="AE161">
        <v>1.4156618763176728E-4</v>
      </c>
      <c r="AG161" t="s">
        <v>97</v>
      </c>
      <c r="AH161" t="s">
        <v>2072</v>
      </c>
      <c r="AI161">
        <v>0</v>
      </c>
    </row>
    <row r="162" spans="5:35" x14ac:dyDescent="0.45">
      <c r="E162" t="s">
        <v>398</v>
      </c>
      <c r="G162" t="s">
        <v>371</v>
      </c>
      <c r="I162" t="s">
        <v>236</v>
      </c>
      <c r="J162" t="s">
        <v>2073</v>
      </c>
      <c r="K162">
        <v>4.3668424148220002E-4</v>
      </c>
      <c r="L162" t="s">
        <v>238</v>
      </c>
      <c r="N162" t="s">
        <v>346</v>
      </c>
      <c r="O162" t="s">
        <v>2073</v>
      </c>
      <c r="P162">
        <v>2.2490970225849999E-4</v>
      </c>
      <c r="Q162" t="s">
        <v>238</v>
      </c>
      <c r="S162" t="s">
        <v>347</v>
      </c>
      <c r="T162" t="s">
        <v>2073</v>
      </c>
      <c r="U162">
        <v>2.1156293795779999E-4</v>
      </c>
      <c r="V162" t="s">
        <v>238</v>
      </c>
      <c r="X162">
        <v>1.1415525114155251E-4</v>
      </c>
      <c r="Y162">
        <v>1.7237235744060203E-4</v>
      </c>
      <c r="Z162" t="s">
        <v>2073</v>
      </c>
      <c r="AA162" t="s">
        <v>25</v>
      </c>
      <c r="AC162" t="s">
        <v>22</v>
      </c>
      <c r="AD162" t="s">
        <v>2073</v>
      </c>
      <c r="AE162">
        <v>1.4234008024311792E-4</v>
      </c>
      <c r="AG162" t="s">
        <v>97</v>
      </c>
      <c r="AH162" t="s">
        <v>2073</v>
      </c>
      <c r="AI162">
        <v>0</v>
      </c>
    </row>
    <row r="163" spans="5:35" x14ac:dyDescent="0.45">
      <c r="E163" t="s">
        <v>399</v>
      </c>
      <c r="G163" t="s">
        <v>371</v>
      </c>
      <c r="I163" t="s">
        <v>236</v>
      </c>
      <c r="J163" t="s">
        <v>2074</v>
      </c>
      <c r="K163">
        <v>3.2927149270340001E-4</v>
      </c>
      <c r="L163" t="s">
        <v>238</v>
      </c>
      <c r="N163" t="s">
        <v>346</v>
      </c>
      <c r="O163" t="s">
        <v>2074</v>
      </c>
      <c r="P163">
        <v>2.306361675358E-4</v>
      </c>
      <c r="Q163" t="s">
        <v>238</v>
      </c>
      <c r="S163" t="s">
        <v>347</v>
      </c>
      <c r="T163" t="s">
        <v>2074</v>
      </c>
      <c r="U163">
        <v>2.122410318043E-4</v>
      </c>
      <c r="V163" t="s">
        <v>238</v>
      </c>
      <c r="X163">
        <v>1.1415525114155251E-4</v>
      </c>
      <c r="Y163">
        <v>2.2209515285616027E-4</v>
      </c>
      <c r="Z163" t="s">
        <v>2074</v>
      </c>
      <c r="AA163" t="s">
        <v>25</v>
      </c>
      <c r="AC163" t="s">
        <v>22</v>
      </c>
      <c r="AD163" t="s">
        <v>2074</v>
      </c>
      <c r="AE163">
        <v>1.479035082380498E-4</v>
      </c>
      <c r="AG163" t="s">
        <v>97</v>
      </c>
      <c r="AH163" t="s">
        <v>2074</v>
      </c>
      <c r="AI163">
        <v>0</v>
      </c>
    </row>
    <row r="164" spans="5:35" x14ac:dyDescent="0.45">
      <c r="E164" t="s">
        <v>400</v>
      </c>
      <c r="G164" t="s">
        <v>371</v>
      </c>
      <c r="I164" t="s">
        <v>236</v>
      </c>
      <c r="J164" t="s">
        <v>2075</v>
      </c>
      <c r="K164">
        <v>2.277431684175E-4</v>
      </c>
      <c r="L164" t="s">
        <v>238</v>
      </c>
      <c r="N164" t="s">
        <v>346</v>
      </c>
      <c r="O164" t="s">
        <v>2075</v>
      </c>
      <c r="P164">
        <v>2.4954148224589999E-4</v>
      </c>
      <c r="Q164" t="s">
        <v>238</v>
      </c>
      <c r="S164" t="s">
        <v>347</v>
      </c>
      <c r="T164" t="s">
        <v>2075</v>
      </c>
      <c r="U164">
        <v>2.158873171191E-4</v>
      </c>
      <c r="V164" t="s">
        <v>238</v>
      </c>
      <c r="X164">
        <v>1.1415525114155251E-4</v>
      </c>
      <c r="Y164">
        <v>2.2209515285616027E-4</v>
      </c>
      <c r="Z164" t="s">
        <v>2075</v>
      </c>
      <c r="AA164" t="s">
        <v>25</v>
      </c>
      <c r="AC164" t="s">
        <v>22</v>
      </c>
      <c r="AD164" t="s">
        <v>2075</v>
      </c>
      <c r="AE164">
        <v>1.4854268620964679E-4</v>
      </c>
      <c r="AG164" t="s">
        <v>97</v>
      </c>
      <c r="AH164" t="s">
        <v>2075</v>
      </c>
      <c r="AI164">
        <v>0</v>
      </c>
    </row>
    <row r="165" spans="5:35" x14ac:dyDescent="0.45">
      <c r="E165" t="s">
        <v>401</v>
      </c>
      <c r="G165" t="s">
        <v>371</v>
      </c>
      <c r="I165" t="s">
        <v>236</v>
      </c>
      <c r="J165" t="s">
        <v>2076</v>
      </c>
      <c r="K165">
        <v>1.0883376893E-4</v>
      </c>
      <c r="L165" t="s">
        <v>238</v>
      </c>
      <c r="N165" t="s">
        <v>346</v>
      </c>
      <c r="O165" t="s">
        <v>2076</v>
      </c>
      <c r="P165">
        <v>2.6549504873579999E-4</v>
      </c>
      <c r="Q165" t="s">
        <v>238</v>
      </c>
      <c r="S165" t="s">
        <v>347</v>
      </c>
      <c r="T165" t="s">
        <v>2076</v>
      </c>
      <c r="U165">
        <v>2.1992628621109999E-4</v>
      </c>
      <c r="V165" t="s">
        <v>238</v>
      </c>
      <c r="X165">
        <v>1.1415525114155251E-4</v>
      </c>
      <c r="Y165">
        <v>1.7237235744060203E-4</v>
      </c>
      <c r="Z165" t="s">
        <v>2076</v>
      </c>
      <c r="AA165" t="s">
        <v>25</v>
      </c>
      <c r="AC165" t="s">
        <v>22</v>
      </c>
      <c r="AD165" t="s">
        <v>2076</v>
      </c>
      <c r="AE165">
        <v>1.5175577368121743E-4</v>
      </c>
      <c r="AG165" t="s">
        <v>97</v>
      </c>
      <c r="AH165" t="s">
        <v>2076</v>
      </c>
      <c r="AI165">
        <v>0</v>
      </c>
    </row>
    <row r="166" spans="5:35" x14ac:dyDescent="0.45">
      <c r="E166" t="s">
        <v>402</v>
      </c>
      <c r="G166" t="s">
        <v>371</v>
      </c>
      <c r="I166" t="s">
        <v>236</v>
      </c>
      <c r="J166" t="s">
        <v>2077</v>
      </c>
      <c r="K166">
        <v>0</v>
      </c>
      <c r="L166" t="s">
        <v>238</v>
      </c>
      <c r="N166" t="s">
        <v>346</v>
      </c>
      <c r="O166" t="s">
        <v>2077</v>
      </c>
      <c r="P166">
        <v>2.718546497209E-4</v>
      </c>
      <c r="Q166" t="s">
        <v>238</v>
      </c>
      <c r="S166" t="s">
        <v>347</v>
      </c>
      <c r="T166" t="s">
        <v>2077</v>
      </c>
      <c r="U166">
        <v>2.217799344636E-4</v>
      </c>
      <c r="V166" t="s">
        <v>238</v>
      </c>
      <c r="X166">
        <v>1.1415525114155251E-4</v>
      </c>
      <c r="Y166">
        <v>1.5579809230208258E-4</v>
      </c>
      <c r="Z166" t="s">
        <v>2077</v>
      </c>
      <c r="AA166" t="s">
        <v>25</v>
      </c>
      <c r="AC166" t="s">
        <v>22</v>
      </c>
      <c r="AD166" t="s">
        <v>2077</v>
      </c>
      <c r="AE166">
        <v>1.4804108914673433E-4</v>
      </c>
      <c r="AG166" t="s">
        <v>97</v>
      </c>
      <c r="AH166" t="s">
        <v>2077</v>
      </c>
      <c r="AI166">
        <v>0</v>
      </c>
    </row>
    <row r="167" spans="5:35" x14ac:dyDescent="0.45">
      <c r="E167" t="s">
        <v>403</v>
      </c>
      <c r="G167" t="s">
        <v>371</v>
      </c>
      <c r="I167" t="s">
        <v>236</v>
      </c>
      <c r="J167" t="s">
        <v>2078</v>
      </c>
      <c r="K167">
        <v>0</v>
      </c>
      <c r="L167" t="s">
        <v>238</v>
      </c>
      <c r="N167" t="s">
        <v>346</v>
      </c>
      <c r="O167" t="s">
        <v>2078</v>
      </c>
      <c r="P167">
        <v>2.734988031843E-4</v>
      </c>
      <c r="Q167" t="s">
        <v>238</v>
      </c>
      <c r="S167" t="s">
        <v>347</v>
      </c>
      <c r="T167" t="s">
        <v>2078</v>
      </c>
      <c r="U167">
        <v>2.2228807845660001E-4</v>
      </c>
      <c r="V167" t="s">
        <v>238</v>
      </c>
      <c r="X167">
        <v>1.1415525114155251E-4</v>
      </c>
      <c r="Y167">
        <v>1.093901499142282E-4</v>
      </c>
      <c r="Z167" t="s">
        <v>2078</v>
      </c>
      <c r="AA167" t="s">
        <v>25</v>
      </c>
      <c r="AC167" t="s">
        <v>22</v>
      </c>
      <c r="AD167" t="s">
        <v>2078</v>
      </c>
      <c r="AE167">
        <v>1.4550730741179371E-4</v>
      </c>
      <c r="AG167" t="s">
        <v>97</v>
      </c>
      <c r="AH167" t="s">
        <v>2078</v>
      </c>
      <c r="AI167">
        <v>0</v>
      </c>
    </row>
    <row r="168" spans="5:35" x14ac:dyDescent="0.45">
      <c r="E168" t="s">
        <v>404</v>
      </c>
      <c r="G168" t="s">
        <v>371</v>
      </c>
      <c r="I168" t="s">
        <v>236</v>
      </c>
      <c r="J168" t="s">
        <v>2079</v>
      </c>
      <c r="K168">
        <v>0</v>
      </c>
      <c r="L168" t="s">
        <v>238</v>
      </c>
      <c r="N168" t="s">
        <v>346</v>
      </c>
      <c r="O168" t="s">
        <v>2079</v>
      </c>
      <c r="P168">
        <v>2.7373053322289999E-4</v>
      </c>
      <c r="Q168" t="s">
        <v>238</v>
      </c>
      <c r="S168" t="s">
        <v>347</v>
      </c>
      <c r="T168" t="s">
        <v>2079</v>
      </c>
      <c r="U168">
        <v>2.2238187173470001E-4</v>
      </c>
      <c r="V168" t="s">
        <v>238</v>
      </c>
      <c r="X168">
        <v>1.1415525114155251E-4</v>
      </c>
      <c r="Y168">
        <v>7.9556472664893237E-5</v>
      </c>
      <c r="Z168" t="s">
        <v>2079</v>
      </c>
      <c r="AA168" t="s">
        <v>25</v>
      </c>
      <c r="AC168" t="s">
        <v>22</v>
      </c>
      <c r="AD168" t="s">
        <v>2079</v>
      </c>
      <c r="AE168">
        <v>1.4095853861841045E-4</v>
      </c>
      <c r="AG168" t="s">
        <v>97</v>
      </c>
      <c r="AH168" t="s">
        <v>2079</v>
      </c>
      <c r="AI168">
        <v>0</v>
      </c>
    </row>
    <row r="169" spans="5:35" x14ac:dyDescent="0.45">
      <c r="E169" t="s">
        <v>405</v>
      </c>
      <c r="G169" t="s">
        <v>371</v>
      </c>
      <c r="I169" t="s">
        <v>236</v>
      </c>
      <c r="J169" t="s">
        <v>2080</v>
      </c>
      <c r="K169">
        <v>0</v>
      </c>
      <c r="L169" t="s">
        <v>238</v>
      </c>
      <c r="N169" t="s">
        <v>346</v>
      </c>
      <c r="O169" t="s">
        <v>2080</v>
      </c>
      <c r="P169">
        <v>2.7213931748789997E-4</v>
      </c>
      <c r="Q169" t="s">
        <v>238</v>
      </c>
      <c r="S169" t="s">
        <v>347</v>
      </c>
      <c r="T169" t="s">
        <v>2080</v>
      </c>
      <c r="U169">
        <v>2.2236565828030001E-4</v>
      </c>
      <c r="V169" t="s">
        <v>238</v>
      </c>
      <c r="X169">
        <v>1.1415525114155251E-4</v>
      </c>
      <c r="Y169">
        <v>5.6352501470966035E-5</v>
      </c>
      <c r="Z169" t="s">
        <v>2080</v>
      </c>
      <c r="AA169" t="s">
        <v>25</v>
      </c>
      <c r="AC169" t="s">
        <v>22</v>
      </c>
      <c r="AD169" t="s">
        <v>2080</v>
      </c>
      <c r="AE169">
        <v>1.3659321103660663E-4</v>
      </c>
      <c r="AG169" t="s">
        <v>97</v>
      </c>
      <c r="AH169" t="s">
        <v>2080</v>
      </c>
      <c r="AI169">
        <v>0</v>
      </c>
    </row>
    <row r="170" spans="5:35" x14ac:dyDescent="0.45">
      <c r="E170" t="s">
        <v>406</v>
      </c>
      <c r="G170" t="s">
        <v>371</v>
      </c>
      <c r="I170" t="s">
        <v>236</v>
      </c>
      <c r="J170" t="s">
        <v>2081</v>
      </c>
      <c r="K170">
        <v>0</v>
      </c>
      <c r="L170" t="s">
        <v>238</v>
      </c>
      <c r="N170" t="s">
        <v>346</v>
      </c>
      <c r="O170" t="s">
        <v>2081</v>
      </c>
      <c r="P170">
        <v>2.7003796895970001E-4</v>
      </c>
      <c r="Q170" t="s">
        <v>238</v>
      </c>
      <c r="S170" t="s">
        <v>347</v>
      </c>
      <c r="T170" t="s">
        <v>2081</v>
      </c>
      <c r="U170">
        <v>2.2216261661259999E-4</v>
      </c>
      <c r="V170" t="s">
        <v>238</v>
      </c>
      <c r="X170">
        <v>1.1415525114155251E-4</v>
      </c>
      <c r="Y170">
        <v>2.9833677249334962E-5</v>
      </c>
      <c r="Z170" t="s">
        <v>2081</v>
      </c>
      <c r="AA170" t="s">
        <v>25</v>
      </c>
      <c r="AC170" t="s">
        <v>22</v>
      </c>
      <c r="AD170" t="s">
        <v>2081</v>
      </c>
      <c r="AE170">
        <v>1.0215212356257194E-4</v>
      </c>
      <c r="AG170" t="s">
        <v>97</v>
      </c>
      <c r="AH170" t="s">
        <v>2081</v>
      </c>
      <c r="AI170">
        <v>0</v>
      </c>
    </row>
    <row r="171" spans="5:35" x14ac:dyDescent="0.45">
      <c r="E171" t="s">
        <v>407</v>
      </c>
      <c r="G171" t="s">
        <v>371</v>
      </c>
      <c r="I171" t="s">
        <v>236</v>
      </c>
      <c r="J171" t="s">
        <v>2082</v>
      </c>
      <c r="K171">
        <v>0</v>
      </c>
      <c r="L171" t="s">
        <v>238</v>
      </c>
      <c r="N171" t="s">
        <v>346</v>
      </c>
      <c r="O171" t="s">
        <v>2082</v>
      </c>
      <c r="P171">
        <v>2.6885814166130001E-4</v>
      </c>
      <c r="Q171" t="s">
        <v>238</v>
      </c>
      <c r="S171" t="s">
        <v>347</v>
      </c>
      <c r="T171" t="s">
        <v>2082</v>
      </c>
      <c r="U171">
        <v>2.2191719649199999E-4</v>
      </c>
      <c r="V171" t="s">
        <v>238</v>
      </c>
      <c r="X171">
        <v>1.1415525114155251E-4</v>
      </c>
      <c r="Y171">
        <v>2.1546544680075254E-5</v>
      </c>
      <c r="Z171" t="s">
        <v>2082</v>
      </c>
      <c r="AA171" t="s">
        <v>25</v>
      </c>
      <c r="AC171" t="s">
        <v>22</v>
      </c>
      <c r="AD171" t="s">
        <v>2082</v>
      </c>
      <c r="AE171">
        <v>9.6551434071538009E-5</v>
      </c>
      <c r="AG171" t="s">
        <v>97</v>
      </c>
      <c r="AH171" t="s">
        <v>2082</v>
      </c>
      <c r="AI171">
        <v>0</v>
      </c>
    </row>
    <row r="172" spans="5:35" x14ac:dyDescent="0.45">
      <c r="E172" t="s">
        <v>408</v>
      </c>
      <c r="G172" t="s">
        <v>371</v>
      </c>
      <c r="I172" t="s">
        <v>236</v>
      </c>
      <c r="J172" t="s">
        <v>2083</v>
      </c>
      <c r="K172">
        <v>0</v>
      </c>
      <c r="L172" t="s">
        <v>238</v>
      </c>
      <c r="N172" t="s">
        <v>346</v>
      </c>
      <c r="O172" t="s">
        <v>2083</v>
      </c>
      <c r="P172">
        <v>2.6966259696540001E-4</v>
      </c>
      <c r="Q172" t="s">
        <v>238</v>
      </c>
      <c r="S172" t="s">
        <v>347</v>
      </c>
      <c r="T172" t="s">
        <v>2083</v>
      </c>
      <c r="U172">
        <v>2.2133083757479999E-4</v>
      </c>
      <c r="V172" t="s">
        <v>238</v>
      </c>
      <c r="X172">
        <v>1.1415525114155251E-4</v>
      </c>
      <c r="Y172">
        <v>1.4916838624667481E-5</v>
      </c>
      <c r="Z172" t="s">
        <v>2083</v>
      </c>
      <c r="AA172" t="s">
        <v>25</v>
      </c>
      <c r="AC172" t="s">
        <v>22</v>
      </c>
      <c r="AD172" t="s">
        <v>2083</v>
      </c>
      <c r="AE172">
        <v>9.3994722185149933E-5</v>
      </c>
      <c r="AG172" t="s">
        <v>97</v>
      </c>
      <c r="AH172" t="s">
        <v>2083</v>
      </c>
      <c r="AI172">
        <v>0</v>
      </c>
    </row>
    <row r="173" spans="5:35" x14ac:dyDescent="0.45">
      <c r="E173" t="s">
        <v>409</v>
      </c>
      <c r="G173" t="s">
        <v>371</v>
      </c>
      <c r="I173" t="s">
        <v>236</v>
      </c>
      <c r="J173" t="s">
        <v>2084</v>
      </c>
      <c r="K173">
        <v>0</v>
      </c>
      <c r="L173" t="s">
        <v>238</v>
      </c>
      <c r="N173" t="s">
        <v>346</v>
      </c>
      <c r="O173" t="s">
        <v>2084</v>
      </c>
      <c r="P173">
        <v>2.696492676722E-4</v>
      </c>
      <c r="Q173" t="s">
        <v>238</v>
      </c>
      <c r="S173" t="s">
        <v>347</v>
      </c>
      <c r="T173" t="s">
        <v>2084</v>
      </c>
      <c r="U173">
        <v>2.2117255248720001E-4</v>
      </c>
      <c r="V173" t="s">
        <v>238</v>
      </c>
      <c r="X173">
        <v>1.1415525114155251E-4</v>
      </c>
      <c r="Y173">
        <v>1.6574265138519424E-5</v>
      </c>
      <c r="Z173" t="s">
        <v>2084</v>
      </c>
      <c r="AA173" t="s">
        <v>25</v>
      </c>
      <c r="AC173" t="s">
        <v>22</v>
      </c>
      <c r="AD173" t="s">
        <v>2084</v>
      </c>
      <c r="AE173">
        <v>9.3518921542615839E-5</v>
      </c>
      <c r="AG173" t="s">
        <v>97</v>
      </c>
      <c r="AH173" t="s">
        <v>2084</v>
      </c>
      <c r="AI173">
        <v>0</v>
      </c>
    </row>
    <row r="174" spans="5:35" x14ac:dyDescent="0.45">
      <c r="E174" t="s">
        <v>410</v>
      </c>
      <c r="G174" t="s">
        <v>371</v>
      </c>
      <c r="I174" t="s">
        <v>236</v>
      </c>
      <c r="J174" t="s">
        <v>2085</v>
      </c>
      <c r="K174">
        <v>0</v>
      </c>
      <c r="L174" t="s">
        <v>238</v>
      </c>
      <c r="N174" t="s">
        <v>346</v>
      </c>
      <c r="O174" t="s">
        <v>2085</v>
      </c>
      <c r="P174">
        <v>2.7011822886940001E-4</v>
      </c>
      <c r="Q174" t="s">
        <v>238</v>
      </c>
      <c r="S174" t="s">
        <v>347</v>
      </c>
      <c r="T174" t="s">
        <v>2085</v>
      </c>
      <c r="U174">
        <v>2.2171586800509999E-4</v>
      </c>
      <c r="V174" t="s">
        <v>238</v>
      </c>
      <c r="X174">
        <v>1.1415525114155251E-4</v>
      </c>
      <c r="Y174">
        <v>1.4585353321897093E-5</v>
      </c>
      <c r="Z174" t="s">
        <v>2085</v>
      </c>
      <c r="AA174" t="s">
        <v>25</v>
      </c>
      <c r="AC174" t="s">
        <v>22</v>
      </c>
      <c r="AD174" t="s">
        <v>2085</v>
      </c>
      <c r="AE174">
        <v>9.7247937421753597E-5</v>
      </c>
      <c r="AG174" t="s">
        <v>97</v>
      </c>
      <c r="AH174" t="s">
        <v>2085</v>
      </c>
      <c r="AI174">
        <v>0</v>
      </c>
    </row>
    <row r="175" spans="5:35" x14ac:dyDescent="0.45">
      <c r="E175" t="s">
        <v>411</v>
      </c>
      <c r="G175" t="s">
        <v>371</v>
      </c>
      <c r="I175" t="s">
        <v>236</v>
      </c>
      <c r="J175" t="s">
        <v>2086</v>
      </c>
      <c r="K175">
        <v>0</v>
      </c>
      <c r="L175" t="s">
        <v>238</v>
      </c>
      <c r="N175" t="s">
        <v>346</v>
      </c>
      <c r="O175" t="s">
        <v>2086</v>
      </c>
      <c r="P175">
        <v>2.69921998885E-4</v>
      </c>
      <c r="Q175" t="s">
        <v>238</v>
      </c>
      <c r="S175" t="s">
        <v>347</v>
      </c>
      <c r="T175" t="s">
        <v>2086</v>
      </c>
      <c r="U175">
        <v>2.2183090828240001E-4</v>
      </c>
      <c r="V175" t="s">
        <v>238</v>
      </c>
      <c r="X175">
        <v>1.1415525114155251E-4</v>
      </c>
      <c r="Y175">
        <v>2.1215059377304864E-5</v>
      </c>
      <c r="Z175" t="s">
        <v>2086</v>
      </c>
      <c r="AA175" t="s">
        <v>25</v>
      </c>
      <c r="AC175" t="s">
        <v>22</v>
      </c>
      <c r="AD175" t="s">
        <v>2086</v>
      </c>
      <c r="AE175">
        <v>1.0047822250690981E-4</v>
      </c>
      <c r="AG175" t="s">
        <v>97</v>
      </c>
      <c r="AH175" t="s">
        <v>2086</v>
      </c>
      <c r="AI175">
        <v>0</v>
      </c>
    </row>
    <row r="176" spans="5:35" x14ac:dyDescent="0.45">
      <c r="E176" t="s">
        <v>412</v>
      </c>
      <c r="G176" t="s">
        <v>371</v>
      </c>
      <c r="I176" t="s">
        <v>236</v>
      </c>
      <c r="J176" t="s">
        <v>2087</v>
      </c>
      <c r="K176">
        <v>0</v>
      </c>
      <c r="L176" t="s">
        <v>238</v>
      </c>
      <c r="N176" t="s">
        <v>346</v>
      </c>
      <c r="O176" t="s">
        <v>2087</v>
      </c>
      <c r="P176">
        <v>2.6831775554709999E-4</v>
      </c>
      <c r="Q176" t="s">
        <v>238</v>
      </c>
      <c r="S176" t="s">
        <v>347</v>
      </c>
      <c r="T176" t="s">
        <v>2087</v>
      </c>
      <c r="U176">
        <v>2.2161021262670001E-4</v>
      </c>
      <c r="V176" t="s">
        <v>238</v>
      </c>
      <c r="X176">
        <v>1.1415525114155251E-4</v>
      </c>
      <c r="Y176">
        <v>5.7678442682047593E-5</v>
      </c>
      <c r="Z176" t="s">
        <v>2087</v>
      </c>
      <c r="AA176" t="s">
        <v>25</v>
      </c>
      <c r="AC176" t="s">
        <v>22</v>
      </c>
      <c r="AD176" t="s">
        <v>2087</v>
      </c>
      <c r="AE176">
        <v>1.0545119910207046E-4</v>
      </c>
      <c r="AG176" t="s">
        <v>97</v>
      </c>
      <c r="AH176" t="s">
        <v>2087</v>
      </c>
      <c r="AI176">
        <v>0</v>
      </c>
    </row>
    <row r="177" spans="5:35" x14ac:dyDescent="0.45">
      <c r="E177" t="s">
        <v>413</v>
      </c>
      <c r="G177" t="s">
        <v>371</v>
      </c>
      <c r="I177" t="s">
        <v>236</v>
      </c>
      <c r="J177" t="s">
        <v>2088</v>
      </c>
      <c r="K177">
        <v>0</v>
      </c>
      <c r="L177" t="s">
        <v>238</v>
      </c>
      <c r="N177" t="s">
        <v>346</v>
      </c>
      <c r="O177" t="s">
        <v>2088</v>
      </c>
      <c r="P177">
        <v>2.678681281418E-4</v>
      </c>
      <c r="Q177" t="s">
        <v>238</v>
      </c>
      <c r="S177" t="s">
        <v>347</v>
      </c>
      <c r="T177" t="s">
        <v>2088</v>
      </c>
      <c r="U177">
        <v>2.214077087962E-4</v>
      </c>
      <c r="V177" t="s">
        <v>238</v>
      </c>
      <c r="X177">
        <v>1.1415525114155251E-4</v>
      </c>
      <c r="Y177">
        <v>1.6905750441289813E-4</v>
      </c>
      <c r="Z177" t="s">
        <v>2088</v>
      </c>
      <c r="AA177" t="s">
        <v>25</v>
      </c>
      <c r="AC177" t="s">
        <v>22</v>
      </c>
      <c r="AD177" t="s">
        <v>2088</v>
      </c>
      <c r="AE177">
        <v>1.1863890245327163E-4</v>
      </c>
      <c r="AG177" t="s">
        <v>97</v>
      </c>
      <c r="AH177" t="s">
        <v>2088</v>
      </c>
      <c r="AI177">
        <v>0</v>
      </c>
    </row>
    <row r="178" spans="5:35" x14ac:dyDescent="0.45">
      <c r="E178" t="s">
        <v>414</v>
      </c>
      <c r="G178" t="s">
        <v>371</v>
      </c>
      <c r="I178" t="s">
        <v>236</v>
      </c>
      <c r="J178" t="s">
        <v>2089</v>
      </c>
      <c r="K178">
        <v>5.527529809559684E-5</v>
      </c>
      <c r="L178" t="s">
        <v>238</v>
      </c>
      <c r="N178" t="s">
        <v>346</v>
      </c>
      <c r="O178" t="s">
        <v>2089</v>
      </c>
      <c r="P178">
        <v>2.6338613066920002E-4</v>
      </c>
      <c r="Q178" t="s">
        <v>238</v>
      </c>
      <c r="S178" t="s">
        <v>347</v>
      </c>
      <c r="T178" t="s">
        <v>2089</v>
      </c>
      <c r="U178">
        <v>2.2050470084530001E-4</v>
      </c>
      <c r="V178" t="s">
        <v>238</v>
      </c>
      <c r="X178">
        <v>1.1415525114155251E-4</v>
      </c>
      <c r="Y178">
        <v>1.9060404909297337E-4</v>
      </c>
      <c r="Z178" t="s">
        <v>2089</v>
      </c>
      <c r="AA178" t="s">
        <v>25</v>
      </c>
      <c r="AC178" t="s">
        <v>22</v>
      </c>
      <c r="AD178" t="s">
        <v>2089</v>
      </c>
      <c r="AE178">
        <v>1.3520020433617548E-4</v>
      </c>
      <c r="AG178" t="s">
        <v>97</v>
      </c>
      <c r="AH178" t="s">
        <v>2089</v>
      </c>
      <c r="AI178">
        <v>0</v>
      </c>
    </row>
    <row r="179" spans="5:35" x14ac:dyDescent="0.45">
      <c r="E179" t="s">
        <v>1890</v>
      </c>
      <c r="G179" t="s">
        <v>373</v>
      </c>
      <c r="I179" t="s">
        <v>236</v>
      </c>
      <c r="J179" t="s">
        <v>2090</v>
      </c>
      <c r="K179">
        <v>1.6647198148350001E-4</v>
      </c>
      <c r="L179" t="s">
        <v>238</v>
      </c>
      <c r="N179" t="s">
        <v>346</v>
      </c>
      <c r="O179" t="s">
        <v>2090</v>
      </c>
      <c r="P179">
        <v>2.5685330943870001E-4</v>
      </c>
      <c r="Q179" t="s">
        <v>238</v>
      </c>
      <c r="S179" t="s">
        <v>347</v>
      </c>
      <c r="T179" t="s">
        <v>2090</v>
      </c>
      <c r="U179">
        <v>2.1919637533919999E-4</v>
      </c>
      <c r="V179" t="s">
        <v>238</v>
      </c>
      <c r="X179">
        <v>1.1415525114155251E-4</v>
      </c>
      <c r="Y179">
        <v>1.4585353321897094E-4</v>
      </c>
      <c r="Z179" t="s">
        <v>2090</v>
      </c>
      <c r="AA179" t="s">
        <v>25</v>
      </c>
      <c r="AC179" t="s">
        <v>22</v>
      </c>
      <c r="AD179" t="s">
        <v>2090</v>
      </c>
      <c r="AE179">
        <v>1.4089834697086096E-4</v>
      </c>
      <c r="AG179" t="s">
        <v>97</v>
      </c>
      <c r="AH179" t="s">
        <v>2090</v>
      </c>
      <c r="AI179">
        <v>0</v>
      </c>
    </row>
    <row r="180" spans="5:35" x14ac:dyDescent="0.45">
      <c r="E180" t="s">
        <v>1891</v>
      </c>
      <c r="G180" t="s">
        <v>373</v>
      </c>
      <c r="I180" t="s">
        <v>236</v>
      </c>
      <c r="J180" t="s">
        <v>2091</v>
      </c>
      <c r="K180">
        <v>2.507898318148E-4</v>
      </c>
      <c r="L180" t="s">
        <v>238</v>
      </c>
      <c r="N180" t="s">
        <v>346</v>
      </c>
      <c r="O180" t="s">
        <v>2091</v>
      </c>
      <c r="P180">
        <v>2.4447834249619998E-4</v>
      </c>
      <c r="Q180" t="s">
        <v>238</v>
      </c>
      <c r="S180" t="s">
        <v>347</v>
      </c>
      <c r="T180" t="s">
        <v>2091</v>
      </c>
      <c r="U180">
        <v>2.1839595250810001E-4</v>
      </c>
      <c r="V180" t="s">
        <v>238</v>
      </c>
      <c r="X180">
        <v>1.1415525114155251E-4</v>
      </c>
      <c r="Y180">
        <v>1.4452759200788939E-4</v>
      </c>
      <c r="Z180" t="s">
        <v>2091</v>
      </c>
      <c r="AA180" t="s">
        <v>25</v>
      </c>
      <c r="AC180" t="s">
        <v>22</v>
      </c>
      <c r="AD180" t="s">
        <v>2091</v>
      </c>
      <c r="AE180">
        <v>1.4610922388728868E-4</v>
      </c>
      <c r="AG180" t="s">
        <v>97</v>
      </c>
      <c r="AH180" t="s">
        <v>2091</v>
      </c>
      <c r="AI180">
        <v>0</v>
      </c>
    </row>
    <row r="181" spans="5:35" x14ac:dyDescent="0.45">
      <c r="E181" t="s">
        <v>1892</v>
      </c>
      <c r="G181" t="s">
        <v>373</v>
      </c>
      <c r="I181" t="s">
        <v>236</v>
      </c>
      <c r="J181" t="s">
        <v>2092</v>
      </c>
      <c r="K181">
        <v>3.1815664304320001E-4</v>
      </c>
      <c r="L181" t="s">
        <v>238</v>
      </c>
      <c r="N181" t="s">
        <v>346</v>
      </c>
      <c r="O181" t="s">
        <v>2092</v>
      </c>
      <c r="P181">
        <v>2.40249968043E-4</v>
      </c>
      <c r="Q181" t="s">
        <v>238</v>
      </c>
      <c r="S181" t="s">
        <v>347</v>
      </c>
      <c r="T181" t="s">
        <v>2092</v>
      </c>
      <c r="U181">
        <v>2.1366517728840001E-4</v>
      </c>
      <c r="V181" t="s">
        <v>238</v>
      </c>
      <c r="X181">
        <v>1.1415525114155251E-4</v>
      </c>
      <c r="Y181">
        <v>1.408812536774151E-4</v>
      </c>
      <c r="Z181" t="s">
        <v>2092</v>
      </c>
      <c r="AA181" t="s">
        <v>25</v>
      </c>
      <c r="AC181" t="s">
        <v>22</v>
      </c>
      <c r="AD181" t="s">
        <v>2092</v>
      </c>
      <c r="AE181">
        <v>1.4570507996802777E-4</v>
      </c>
      <c r="AG181" t="s">
        <v>97</v>
      </c>
      <c r="AH181" t="s">
        <v>2092</v>
      </c>
      <c r="AI181">
        <v>0</v>
      </c>
    </row>
    <row r="182" spans="5:35" x14ac:dyDescent="0.45">
      <c r="E182" t="s">
        <v>1893</v>
      </c>
      <c r="G182" t="s">
        <v>373</v>
      </c>
      <c r="I182" t="s">
        <v>236</v>
      </c>
      <c r="J182" t="s">
        <v>2093</v>
      </c>
      <c r="K182">
        <v>3.5430582059029999E-4</v>
      </c>
      <c r="L182" t="s">
        <v>238</v>
      </c>
      <c r="N182" t="s">
        <v>346</v>
      </c>
      <c r="O182" t="s">
        <v>2093</v>
      </c>
      <c r="P182">
        <v>2.4288927901909999E-4</v>
      </c>
      <c r="Q182" t="s">
        <v>238</v>
      </c>
      <c r="S182" t="s">
        <v>347</v>
      </c>
      <c r="T182" t="s">
        <v>2093</v>
      </c>
      <c r="U182">
        <v>2.133037333328E-4</v>
      </c>
      <c r="V182" t="s">
        <v>238</v>
      </c>
      <c r="X182">
        <v>1.1415525114155251E-4</v>
      </c>
      <c r="Y182">
        <v>1.4054976837464471E-4</v>
      </c>
      <c r="Z182" t="s">
        <v>2093</v>
      </c>
      <c r="AA182" t="s">
        <v>25</v>
      </c>
      <c r="AC182" t="s">
        <v>22</v>
      </c>
      <c r="AD182" t="s">
        <v>2093</v>
      </c>
      <c r="AE182">
        <v>1.4520061663618439E-4</v>
      </c>
      <c r="AG182" t="s">
        <v>97</v>
      </c>
      <c r="AH182" t="s">
        <v>2093</v>
      </c>
      <c r="AI182">
        <v>0</v>
      </c>
    </row>
    <row r="183" spans="5:35" x14ac:dyDescent="0.45">
      <c r="E183" t="s">
        <v>1894</v>
      </c>
      <c r="G183" t="s">
        <v>373</v>
      </c>
      <c r="I183" t="s">
        <v>236</v>
      </c>
      <c r="J183" t="s">
        <v>2094</v>
      </c>
      <c r="K183">
        <v>3.5181781704050002E-4</v>
      </c>
      <c r="L183" t="s">
        <v>238</v>
      </c>
      <c r="N183" t="s">
        <v>346</v>
      </c>
      <c r="O183" t="s">
        <v>2094</v>
      </c>
      <c r="P183">
        <v>2.4975695978819999E-4</v>
      </c>
      <c r="Q183" t="s">
        <v>238</v>
      </c>
      <c r="S183" t="s">
        <v>347</v>
      </c>
      <c r="T183" t="s">
        <v>2094</v>
      </c>
      <c r="U183">
        <v>2.1500224761229999E-4</v>
      </c>
      <c r="V183" t="s">
        <v>238</v>
      </c>
      <c r="X183">
        <v>1.1415525114155251E-4</v>
      </c>
      <c r="Y183">
        <v>1.4253868019126702E-4</v>
      </c>
      <c r="Z183" t="s">
        <v>2094</v>
      </c>
      <c r="AA183" t="s">
        <v>25</v>
      </c>
      <c r="AC183" t="s">
        <v>22</v>
      </c>
      <c r="AD183" t="s">
        <v>2094</v>
      </c>
      <c r="AE183">
        <v>1.4436366610835332E-4</v>
      </c>
      <c r="AG183" t="s">
        <v>97</v>
      </c>
      <c r="AH183" t="s">
        <v>2094</v>
      </c>
      <c r="AI183">
        <v>0</v>
      </c>
    </row>
    <row r="184" spans="5:35" x14ac:dyDescent="0.45">
      <c r="E184" t="s">
        <v>1895</v>
      </c>
      <c r="G184" t="s">
        <v>373</v>
      </c>
      <c r="I184" t="s">
        <v>236</v>
      </c>
      <c r="J184" t="s">
        <v>2095</v>
      </c>
      <c r="K184">
        <v>3.2673649613159999E-4</v>
      </c>
      <c r="L184" t="s">
        <v>238</v>
      </c>
      <c r="N184" t="s">
        <v>346</v>
      </c>
      <c r="O184" t="s">
        <v>2095</v>
      </c>
      <c r="P184">
        <v>2.536110324381E-4</v>
      </c>
      <c r="Q184" t="s">
        <v>238</v>
      </c>
      <c r="S184" t="s">
        <v>347</v>
      </c>
      <c r="T184" t="s">
        <v>2095</v>
      </c>
      <c r="U184">
        <v>2.1937114266779999E-4</v>
      </c>
      <c r="V184" t="s">
        <v>238</v>
      </c>
      <c r="X184">
        <v>1.1415525114155251E-4</v>
      </c>
      <c r="Y184">
        <v>1.4883690094390442E-4</v>
      </c>
      <c r="Z184" t="s">
        <v>2095</v>
      </c>
      <c r="AA184" t="s">
        <v>25</v>
      </c>
      <c r="AC184" t="s">
        <v>22</v>
      </c>
      <c r="AD184" t="s">
        <v>2095</v>
      </c>
      <c r="AE184">
        <v>1.4368149410279239E-4</v>
      </c>
      <c r="AG184" t="s">
        <v>97</v>
      </c>
      <c r="AH184" t="s">
        <v>2095</v>
      </c>
      <c r="AI184">
        <v>0</v>
      </c>
    </row>
    <row r="185" spans="5:35" x14ac:dyDescent="0.45">
      <c r="E185" t="s">
        <v>1896</v>
      </c>
      <c r="G185" t="s">
        <v>373</v>
      </c>
      <c r="I185" t="s">
        <v>236</v>
      </c>
      <c r="J185" t="s">
        <v>2096</v>
      </c>
      <c r="K185">
        <v>3.007005179147E-4</v>
      </c>
      <c r="L185" t="s">
        <v>238</v>
      </c>
      <c r="N185" t="s">
        <v>346</v>
      </c>
      <c r="O185" t="s">
        <v>2096</v>
      </c>
      <c r="P185">
        <v>2.5240798042159998E-4</v>
      </c>
      <c r="Q185" t="s">
        <v>238</v>
      </c>
      <c r="S185" t="s">
        <v>347</v>
      </c>
      <c r="T185" t="s">
        <v>2096</v>
      </c>
      <c r="U185">
        <v>2.205094773218E-4</v>
      </c>
      <c r="V185" t="s">
        <v>238</v>
      </c>
      <c r="X185">
        <v>1.1415525114155251E-4</v>
      </c>
      <c r="Y185">
        <v>1.5049432745775637E-4</v>
      </c>
      <c r="Z185" t="s">
        <v>2096</v>
      </c>
      <c r="AA185" t="s">
        <v>25</v>
      </c>
      <c r="AC185" t="s">
        <v>22</v>
      </c>
      <c r="AD185" t="s">
        <v>2096</v>
      </c>
      <c r="AE185">
        <v>1.4257798056438497E-4</v>
      </c>
      <c r="AG185" t="s">
        <v>97</v>
      </c>
      <c r="AH185" t="s">
        <v>2096</v>
      </c>
      <c r="AI185">
        <v>0</v>
      </c>
    </row>
    <row r="186" spans="5:35" x14ac:dyDescent="0.45">
      <c r="E186" t="s">
        <v>1897</v>
      </c>
      <c r="G186" t="s">
        <v>373</v>
      </c>
      <c r="I186" t="s">
        <v>236</v>
      </c>
      <c r="J186" t="s">
        <v>2097</v>
      </c>
      <c r="K186">
        <v>2.2980820553519999E-4</v>
      </c>
      <c r="L186" t="s">
        <v>238</v>
      </c>
      <c r="N186" t="s">
        <v>346</v>
      </c>
      <c r="O186" t="s">
        <v>2097</v>
      </c>
      <c r="P186">
        <v>2.529147825455E-4</v>
      </c>
      <c r="Q186" t="s">
        <v>238</v>
      </c>
      <c r="S186" t="s">
        <v>347</v>
      </c>
      <c r="T186" t="s">
        <v>2097</v>
      </c>
      <c r="U186">
        <v>2.187510722503E-4</v>
      </c>
      <c r="V186" t="s">
        <v>238</v>
      </c>
      <c r="X186">
        <v>1.1415525114155251E-4</v>
      </c>
      <c r="Y186">
        <v>1.7237235744060203E-4</v>
      </c>
      <c r="Z186" t="s">
        <v>2097</v>
      </c>
      <c r="AA186" t="s">
        <v>25</v>
      </c>
      <c r="AC186" t="s">
        <v>22</v>
      </c>
      <c r="AD186" t="s">
        <v>2097</v>
      </c>
      <c r="AE186">
        <v>1.4373595321248001E-4</v>
      </c>
      <c r="AG186" t="s">
        <v>97</v>
      </c>
      <c r="AH186" t="s">
        <v>2097</v>
      </c>
      <c r="AI186">
        <v>0</v>
      </c>
    </row>
    <row r="187" spans="5:35" x14ac:dyDescent="0.45">
      <c r="E187" t="s">
        <v>1898</v>
      </c>
      <c r="G187" t="s">
        <v>373</v>
      </c>
      <c r="I187" t="s">
        <v>236</v>
      </c>
      <c r="J187" t="s">
        <v>2098</v>
      </c>
      <c r="K187">
        <v>1.624561812229E-4</v>
      </c>
      <c r="L187" t="s">
        <v>238</v>
      </c>
      <c r="N187" t="s">
        <v>346</v>
      </c>
      <c r="O187" t="s">
        <v>2098</v>
      </c>
      <c r="P187">
        <v>2.6309290247319999E-4</v>
      </c>
      <c r="Q187" t="s">
        <v>238</v>
      </c>
      <c r="S187" t="s">
        <v>347</v>
      </c>
      <c r="T187" t="s">
        <v>2098</v>
      </c>
      <c r="U187">
        <v>2.2206235368819999E-4</v>
      </c>
      <c r="V187" t="s">
        <v>238</v>
      </c>
      <c r="X187">
        <v>1.1415525114155251E-4</v>
      </c>
      <c r="Y187">
        <v>2.2209515285616027E-4</v>
      </c>
      <c r="Z187" t="s">
        <v>2098</v>
      </c>
      <c r="AA187" t="s">
        <v>25</v>
      </c>
      <c r="AC187" t="s">
        <v>22</v>
      </c>
      <c r="AD187" t="s">
        <v>2098</v>
      </c>
      <c r="AE187">
        <v>1.4937963673747787E-4</v>
      </c>
      <c r="AG187" t="s">
        <v>97</v>
      </c>
      <c r="AH187" t="s">
        <v>2098</v>
      </c>
      <c r="AI187">
        <v>0</v>
      </c>
    </row>
    <row r="188" spans="5:35" x14ac:dyDescent="0.45">
      <c r="E188" t="s">
        <v>1899</v>
      </c>
      <c r="G188" t="s">
        <v>373</v>
      </c>
      <c r="I188" t="s">
        <v>236</v>
      </c>
      <c r="J188" t="s">
        <v>2099</v>
      </c>
      <c r="K188">
        <v>8.9616479808451858E-5</v>
      </c>
      <c r="L188" t="s">
        <v>238</v>
      </c>
      <c r="N188" t="s">
        <v>346</v>
      </c>
      <c r="O188" t="s">
        <v>2099</v>
      </c>
      <c r="P188">
        <v>2.6984571888000002E-4</v>
      </c>
      <c r="Q188" t="s">
        <v>238</v>
      </c>
      <c r="S188" t="s">
        <v>347</v>
      </c>
      <c r="T188" t="s">
        <v>2099</v>
      </c>
      <c r="U188">
        <v>2.2305029874119999E-4</v>
      </c>
      <c r="V188" t="s">
        <v>238</v>
      </c>
      <c r="X188">
        <v>1.1415525114155251E-4</v>
      </c>
      <c r="Y188">
        <v>2.2209515285616027E-4</v>
      </c>
      <c r="Z188" t="s">
        <v>2099</v>
      </c>
      <c r="AA188" t="s">
        <v>25</v>
      </c>
      <c r="AC188" t="s">
        <v>22</v>
      </c>
      <c r="AD188" t="s">
        <v>2099</v>
      </c>
      <c r="AE188">
        <v>1.5094461957376474E-4</v>
      </c>
      <c r="AG188" t="s">
        <v>97</v>
      </c>
      <c r="AH188" t="s">
        <v>2099</v>
      </c>
      <c r="AI188">
        <v>0</v>
      </c>
    </row>
    <row r="189" spans="5:35" x14ac:dyDescent="0.45">
      <c r="E189" t="s">
        <v>1900</v>
      </c>
      <c r="G189" t="s">
        <v>373</v>
      </c>
      <c r="I189" t="s">
        <v>236</v>
      </c>
      <c r="J189" t="s">
        <v>2100</v>
      </c>
      <c r="K189">
        <v>2.0544128348851013E-5</v>
      </c>
      <c r="L189" t="s">
        <v>238</v>
      </c>
      <c r="N189" t="s">
        <v>346</v>
      </c>
      <c r="O189" t="s">
        <v>2100</v>
      </c>
      <c r="P189">
        <v>2.7018801182949998E-4</v>
      </c>
      <c r="Q189" t="s">
        <v>238</v>
      </c>
      <c r="S189" t="s">
        <v>347</v>
      </c>
      <c r="T189" t="s">
        <v>2100</v>
      </c>
      <c r="U189">
        <v>2.228216797726E-4</v>
      </c>
      <c r="V189" t="s">
        <v>238</v>
      </c>
      <c r="X189">
        <v>1.1415525114155251E-4</v>
      </c>
      <c r="Y189">
        <v>1.7237235744060203E-4</v>
      </c>
      <c r="Z189" t="s">
        <v>2100</v>
      </c>
      <c r="AA189" t="s">
        <v>25</v>
      </c>
      <c r="AC189" t="s">
        <v>22</v>
      </c>
      <c r="AD189" t="s">
        <v>2100</v>
      </c>
      <c r="AE189">
        <v>1.5175577368121745E-4</v>
      </c>
      <c r="AG189" t="s">
        <v>97</v>
      </c>
      <c r="AH189" t="s">
        <v>2100</v>
      </c>
      <c r="AI189">
        <v>0</v>
      </c>
    </row>
    <row r="190" spans="5:35" x14ac:dyDescent="0.45">
      <c r="E190" t="s">
        <v>1901</v>
      </c>
      <c r="G190" t="s">
        <v>373</v>
      </c>
      <c r="I190" t="s">
        <v>236</v>
      </c>
      <c r="J190" t="s">
        <v>2101</v>
      </c>
      <c r="K190">
        <v>0</v>
      </c>
      <c r="L190" t="s">
        <v>238</v>
      </c>
      <c r="N190" t="s">
        <v>346</v>
      </c>
      <c r="O190" t="s">
        <v>2101</v>
      </c>
      <c r="P190">
        <v>2.7049588102789999E-4</v>
      </c>
      <c r="Q190" t="s">
        <v>238</v>
      </c>
      <c r="S190" t="s">
        <v>347</v>
      </c>
      <c r="T190" t="s">
        <v>2101</v>
      </c>
      <c r="U190">
        <v>2.2262237439500001E-4</v>
      </c>
      <c r="V190" t="s">
        <v>238</v>
      </c>
      <c r="X190">
        <v>1.1415525114155251E-4</v>
      </c>
      <c r="Y190">
        <v>1.5579809230208258E-4</v>
      </c>
      <c r="Z190" t="s">
        <v>2101</v>
      </c>
      <c r="AA190" t="s">
        <v>25</v>
      </c>
      <c r="AC190" t="s">
        <v>22</v>
      </c>
      <c r="AD190" t="s">
        <v>2101</v>
      </c>
      <c r="AE190">
        <v>1.4804108914673433E-4</v>
      </c>
      <c r="AG190" t="s">
        <v>97</v>
      </c>
      <c r="AH190" t="s">
        <v>2101</v>
      </c>
      <c r="AI190">
        <v>0</v>
      </c>
    </row>
    <row r="191" spans="5:35" x14ac:dyDescent="0.45">
      <c r="E191" t="s">
        <v>1902</v>
      </c>
      <c r="G191" t="s">
        <v>373</v>
      </c>
      <c r="I191" t="s">
        <v>236</v>
      </c>
      <c r="J191" t="s">
        <v>2102</v>
      </c>
      <c r="K191">
        <v>0</v>
      </c>
      <c r="L191" t="s">
        <v>238</v>
      </c>
      <c r="N191" t="s">
        <v>346</v>
      </c>
      <c r="O191" t="s">
        <v>2102</v>
      </c>
      <c r="P191">
        <v>2.71098480435E-4</v>
      </c>
      <c r="Q191" t="s">
        <v>238</v>
      </c>
      <c r="S191" t="s">
        <v>347</v>
      </c>
      <c r="T191" t="s">
        <v>2102</v>
      </c>
      <c r="U191">
        <v>2.227249722429E-4</v>
      </c>
      <c r="V191" t="s">
        <v>238</v>
      </c>
      <c r="X191">
        <v>1.1415525114155251E-4</v>
      </c>
      <c r="Y191">
        <v>1.093901499142282E-4</v>
      </c>
      <c r="Z191" t="s">
        <v>2102</v>
      </c>
      <c r="AA191" t="s">
        <v>25</v>
      </c>
      <c r="AC191" t="s">
        <v>22</v>
      </c>
      <c r="AD191" t="s">
        <v>2102</v>
      </c>
      <c r="AE191">
        <v>1.4512895991291119E-4</v>
      </c>
      <c r="AG191" t="s">
        <v>97</v>
      </c>
      <c r="AH191" t="s">
        <v>2102</v>
      </c>
      <c r="AI191">
        <v>0</v>
      </c>
    </row>
    <row r="192" spans="5:35" x14ac:dyDescent="0.45">
      <c r="E192" t="s">
        <v>1903</v>
      </c>
      <c r="G192" t="s">
        <v>373</v>
      </c>
      <c r="I192" t="s">
        <v>236</v>
      </c>
      <c r="J192" t="s">
        <v>2103</v>
      </c>
      <c r="K192">
        <v>0</v>
      </c>
      <c r="L192" t="s">
        <v>238</v>
      </c>
      <c r="N192" t="s">
        <v>346</v>
      </c>
      <c r="O192" t="s">
        <v>2103</v>
      </c>
      <c r="P192">
        <v>2.700321642779E-4</v>
      </c>
      <c r="Q192" t="s">
        <v>238</v>
      </c>
      <c r="S192" t="s">
        <v>347</v>
      </c>
      <c r="T192" t="s">
        <v>2103</v>
      </c>
      <c r="U192">
        <v>2.228891222734E-4</v>
      </c>
      <c r="V192" t="s">
        <v>238</v>
      </c>
      <c r="X192">
        <v>1.1415525114155251E-4</v>
      </c>
      <c r="Y192">
        <v>7.9556472664893237E-5</v>
      </c>
      <c r="Z192" t="s">
        <v>2103</v>
      </c>
      <c r="AA192" t="s">
        <v>25</v>
      </c>
      <c r="AC192" t="s">
        <v>22</v>
      </c>
      <c r="AD192" t="s">
        <v>2103</v>
      </c>
      <c r="AE192">
        <v>1.4095853861841051E-4</v>
      </c>
      <c r="AG192" t="s">
        <v>97</v>
      </c>
      <c r="AH192" t="s">
        <v>2103</v>
      </c>
      <c r="AI192">
        <v>0</v>
      </c>
    </row>
    <row r="193" spans="5:35" x14ac:dyDescent="0.45">
      <c r="E193" t="s">
        <v>1904</v>
      </c>
      <c r="G193" t="s">
        <v>373</v>
      </c>
      <c r="I193" t="s">
        <v>236</v>
      </c>
      <c r="J193" t="s">
        <v>2104</v>
      </c>
      <c r="K193">
        <v>0</v>
      </c>
      <c r="L193" t="s">
        <v>238</v>
      </c>
      <c r="N193" t="s">
        <v>346</v>
      </c>
      <c r="O193" t="s">
        <v>2104</v>
      </c>
      <c r="P193">
        <v>2.6957014517699999E-4</v>
      </c>
      <c r="Q193" t="s">
        <v>238</v>
      </c>
      <c r="S193" t="s">
        <v>347</v>
      </c>
      <c r="T193" t="s">
        <v>2104</v>
      </c>
      <c r="U193">
        <v>2.23036172921E-4</v>
      </c>
      <c r="V193" t="s">
        <v>238</v>
      </c>
      <c r="X193">
        <v>1.1415525114155251E-4</v>
      </c>
      <c r="Y193">
        <v>5.6352501470966035E-5</v>
      </c>
      <c r="Z193" t="s">
        <v>2104</v>
      </c>
      <c r="AA193" t="s">
        <v>25</v>
      </c>
      <c r="AC193" t="s">
        <v>22</v>
      </c>
      <c r="AD193" t="s">
        <v>2104</v>
      </c>
      <c r="AE193">
        <v>1.3624925876489522E-4</v>
      </c>
      <c r="AG193" t="s">
        <v>97</v>
      </c>
      <c r="AH193" t="s">
        <v>2104</v>
      </c>
      <c r="AI193">
        <v>0</v>
      </c>
    </row>
    <row r="194" spans="5:35" x14ac:dyDescent="0.45">
      <c r="E194" t="s">
        <v>1905</v>
      </c>
      <c r="G194" t="s">
        <v>373</v>
      </c>
      <c r="I194" t="s">
        <v>236</v>
      </c>
      <c r="J194" t="s">
        <v>2105</v>
      </c>
      <c r="K194">
        <v>0</v>
      </c>
      <c r="L194" t="s">
        <v>238</v>
      </c>
      <c r="N194" t="s">
        <v>346</v>
      </c>
      <c r="O194" t="s">
        <v>2105</v>
      </c>
      <c r="P194">
        <v>2.6607668178919999E-4</v>
      </c>
      <c r="Q194" t="s">
        <v>238</v>
      </c>
      <c r="S194" t="s">
        <v>347</v>
      </c>
      <c r="T194" t="s">
        <v>2105</v>
      </c>
      <c r="U194">
        <v>2.228421858285E-4</v>
      </c>
      <c r="V194" t="s">
        <v>238</v>
      </c>
      <c r="X194">
        <v>1.1415525114155251E-4</v>
      </c>
      <c r="Y194">
        <v>2.9833677249334962E-5</v>
      </c>
      <c r="Z194" t="s">
        <v>2105</v>
      </c>
      <c r="AA194" t="s">
        <v>25</v>
      </c>
      <c r="AC194" t="s">
        <v>22</v>
      </c>
      <c r="AD194" t="s">
        <v>2105</v>
      </c>
      <c r="AE194">
        <v>1.0335595651356184E-4</v>
      </c>
      <c r="AG194" t="s">
        <v>97</v>
      </c>
      <c r="AH194" t="s">
        <v>2105</v>
      </c>
      <c r="AI194">
        <v>0</v>
      </c>
    </row>
    <row r="195" spans="5:35" x14ac:dyDescent="0.45">
      <c r="E195" t="s">
        <v>1906</v>
      </c>
      <c r="G195" t="s">
        <v>373</v>
      </c>
      <c r="I195" t="s">
        <v>236</v>
      </c>
      <c r="J195" t="s">
        <v>2106</v>
      </c>
      <c r="K195">
        <v>0</v>
      </c>
      <c r="L195" t="s">
        <v>238</v>
      </c>
      <c r="N195" t="s">
        <v>346</v>
      </c>
      <c r="O195" t="s">
        <v>2106</v>
      </c>
      <c r="P195">
        <v>4.2811270954971581E-5</v>
      </c>
      <c r="Q195" t="s">
        <v>238</v>
      </c>
      <c r="S195" t="s">
        <v>347</v>
      </c>
      <c r="T195" t="s">
        <v>2106</v>
      </c>
      <c r="U195">
        <v>2.7353253862449251E-5</v>
      </c>
      <c r="V195" t="s">
        <v>238</v>
      </c>
      <c r="X195">
        <v>1.1415525114155251E-4</v>
      </c>
      <c r="Y195">
        <v>2.1546544680075254E-5</v>
      </c>
      <c r="Z195" t="s">
        <v>2106</v>
      </c>
      <c r="AA195" t="s">
        <v>25</v>
      </c>
      <c r="AC195" t="s">
        <v>22</v>
      </c>
      <c r="AD195" t="s">
        <v>2106</v>
      </c>
      <c r="AE195">
        <v>8.5068380005093818E-5</v>
      </c>
      <c r="AG195" t="s">
        <v>97</v>
      </c>
      <c r="AH195" t="s">
        <v>2106</v>
      </c>
      <c r="AI195">
        <v>0</v>
      </c>
    </row>
    <row r="196" spans="5:35" x14ac:dyDescent="0.45">
      <c r="E196" t="s">
        <v>1907</v>
      </c>
      <c r="G196" t="s">
        <v>373</v>
      </c>
      <c r="I196" t="s">
        <v>236</v>
      </c>
      <c r="J196" t="s">
        <v>2107</v>
      </c>
      <c r="K196">
        <v>0</v>
      </c>
      <c r="L196" t="s">
        <v>238</v>
      </c>
      <c r="N196" t="s">
        <v>346</v>
      </c>
      <c r="O196" t="s">
        <v>2107</v>
      </c>
      <c r="P196">
        <v>4.0675396852860679E-5</v>
      </c>
      <c r="Q196" t="s">
        <v>238</v>
      </c>
      <c r="S196" t="s">
        <v>347</v>
      </c>
      <c r="T196" t="s">
        <v>2107</v>
      </c>
      <c r="U196">
        <v>2.4427250039668259E-5</v>
      </c>
      <c r="V196" t="s">
        <v>238</v>
      </c>
      <c r="X196">
        <v>1.1415525114155251E-4</v>
      </c>
      <c r="Y196">
        <v>1.4916838624667481E-5</v>
      </c>
      <c r="Z196" t="s">
        <v>2107</v>
      </c>
      <c r="AA196" t="s">
        <v>25</v>
      </c>
      <c r="AC196" t="s">
        <v>22</v>
      </c>
      <c r="AD196" t="s">
        <v>2107</v>
      </c>
      <c r="AE196">
        <v>8.3076323098098639E-5</v>
      </c>
      <c r="AG196" t="s">
        <v>97</v>
      </c>
      <c r="AH196" t="s">
        <v>2107</v>
      </c>
      <c r="AI196">
        <v>0</v>
      </c>
    </row>
    <row r="197" spans="5:35" x14ac:dyDescent="0.45">
      <c r="E197" t="s">
        <v>1908</v>
      </c>
      <c r="G197" t="s">
        <v>373</v>
      </c>
      <c r="I197" t="s">
        <v>236</v>
      </c>
      <c r="J197" t="s">
        <v>2108</v>
      </c>
      <c r="K197">
        <v>0</v>
      </c>
      <c r="L197" t="s">
        <v>238</v>
      </c>
      <c r="N197" t="s">
        <v>346</v>
      </c>
      <c r="O197" t="s">
        <v>2108</v>
      </c>
      <c r="P197">
        <v>4.2136458828709948E-5</v>
      </c>
      <c r="Q197" t="s">
        <v>238</v>
      </c>
      <c r="S197" t="s">
        <v>347</v>
      </c>
      <c r="T197" t="s">
        <v>2108</v>
      </c>
      <c r="U197">
        <v>2.2346412536011461E-5</v>
      </c>
      <c r="V197" t="s">
        <v>238</v>
      </c>
      <c r="X197">
        <v>1.1415525114155251E-4</v>
      </c>
      <c r="Y197">
        <v>1.6574265138519424E-5</v>
      </c>
      <c r="Z197" t="s">
        <v>2108</v>
      </c>
      <c r="AA197" t="s">
        <v>25</v>
      </c>
      <c r="AC197" t="s">
        <v>22</v>
      </c>
      <c r="AD197" t="s">
        <v>2108</v>
      </c>
      <c r="AE197">
        <v>8.3076323098098639E-5</v>
      </c>
      <c r="AG197" t="s">
        <v>97</v>
      </c>
      <c r="AH197" t="s">
        <v>2108</v>
      </c>
      <c r="AI197">
        <v>0</v>
      </c>
    </row>
    <row r="198" spans="5:35" x14ac:dyDescent="0.45">
      <c r="E198" t="s">
        <v>1909</v>
      </c>
      <c r="G198" t="s">
        <v>373</v>
      </c>
      <c r="I198" t="s">
        <v>236</v>
      </c>
      <c r="J198" t="s">
        <v>2109</v>
      </c>
      <c r="K198">
        <v>0</v>
      </c>
      <c r="L198" t="s">
        <v>238</v>
      </c>
      <c r="N198" t="s">
        <v>346</v>
      </c>
      <c r="O198" t="s">
        <v>2109</v>
      </c>
      <c r="P198">
        <v>4.520515960004598E-5</v>
      </c>
      <c r="Q198" t="s">
        <v>238</v>
      </c>
      <c r="S198" t="s">
        <v>347</v>
      </c>
      <c r="T198" t="s">
        <v>2109</v>
      </c>
      <c r="U198">
        <v>2.0736358434882509E-5</v>
      </c>
      <c r="V198" t="s">
        <v>238</v>
      </c>
      <c r="X198">
        <v>1.1415525114155251E-4</v>
      </c>
      <c r="Y198">
        <v>1.4585353321897093E-5</v>
      </c>
      <c r="Z198" t="s">
        <v>2109</v>
      </c>
      <c r="AA198" t="s">
        <v>25</v>
      </c>
      <c r="AC198" t="s">
        <v>22</v>
      </c>
      <c r="AD198" t="s">
        <v>2109</v>
      </c>
      <c r="AE198">
        <v>8.6994512726677644E-5</v>
      </c>
      <c r="AG198" t="s">
        <v>97</v>
      </c>
      <c r="AH198" t="s">
        <v>2109</v>
      </c>
      <c r="AI198">
        <v>0</v>
      </c>
    </row>
    <row r="199" spans="5:35" x14ac:dyDescent="0.45">
      <c r="E199" t="s">
        <v>1910</v>
      </c>
      <c r="G199" t="s">
        <v>373</v>
      </c>
      <c r="I199" t="s">
        <v>236</v>
      </c>
      <c r="J199" t="s">
        <v>2110</v>
      </c>
      <c r="K199">
        <v>0</v>
      </c>
      <c r="L199" t="s">
        <v>238</v>
      </c>
      <c r="N199" t="s">
        <v>346</v>
      </c>
      <c r="O199" t="s">
        <v>2110</v>
      </c>
      <c r="P199">
        <v>5.3903248472823251E-5</v>
      </c>
      <c r="Q199" t="s">
        <v>238</v>
      </c>
      <c r="S199" t="s">
        <v>347</v>
      </c>
      <c r="T199" t="s">
        <v>2110</v>
      </c>
      <c r="U199">
        <v>2.583796691946927E-5</v>
      </c>
      <c r="V199" t="s">
        <v>238</v>
      </c>
      <c r="X199">
        <v>1.1415525114155251E-4</v>
      </c>
      <c r="Y199">
        <v>2.1215059377304864E-5</v>
      </c>
      <c r="Z199" t="s">
        <v>2110</v>
      </c>
      <c r="AA199" t="s">
        <v>25</v>
      </c>
      <c r="AC199" t="s">
        <v>22</v>
      </c>
      <c r="AD199" t="s">
        <v>2110</v>
      </c>
      <c r="AE199">
        <v>1.0277045692250712E-4</v>
      </c>
      <c r="AG199" t="s">
        <v>97</v>
      </c>
      <c r="AH199" t="s">
        <v>2110</v>
      </c>
      <c r="AI199">
        <v>0</v>
      </c>
    </row>
    <row r="200" spans="5:35" x14ac:dyDescent="0.45">
      <c r="E200" t="s">
        <v>1911</v>
      </c>
      <c r="G200" t="s">
        <v>373</v>
      </c>
      <c r="I200" t="s">
        <v>236</v>
      </c>
      <c r="J200" t="s">
        <v>2111</v>
      </c>
      <c r="K200">
        <v>0</v>
      </c>
      <c r="L200" t="s">
        <v>238</v>
      </c>
      <c r="N200" t="s">
        <v>346</v>
      </c>
      <c r="O200" t="s">
        <v>2111</v>
      </c>
      <c r="P200">
        <v>5.822659240474516E-5</v>
      </c>
      <c r="Q200" t="s">
        <v>238</v>
      </c>
      <c r="S200" t="s">
        <v>347</v>
      </c>
      <c r="T200" t="s">
        <v>2111</v>
      </c>
      <c r="U200">
        <v>3.2051102761351547E-5</v>
      </c>
      <c r="V200" t="s">
        <v>238</v>
      </c>
      <c r="X200">
        <v>1.1415525114155251E-4</v>
      </c>
      <c r="Y200">
        <v>5.7678442682047593E-5</v>
      </c>
      <c r="Z200" t="s">
        <v>2111</v>
      </c>
      <c r="AA200" t="s">
        <v>25</v>
      </c>
      <c r="AC200" t="s">
        <v>22</v>
      </c>
      <c r="AD200" t="s">
        <v>2111</v>
      </c>
      <c r="AE200">
        <v>1.2041234219237094E-4</v>
      </c>
      <c r="AG200" t="s">
        <v>97</v>
      </c>
      <c r="AH200" t="s">
        <v>2111</v>
      </c>
      <c r="AI200">
        <v>0</v>
      </c>
    </row>
    <row r="201" spans="5:35" x14ac:dyDescent="0.45">
      <c r="E201" t="s">
        <v>1912</v>
      </c>
      <c r="G201" t="s">
        <v>373</v>
      </c>
      <c r="I201" t="s">
        <v>236</v>
      </c>
      <c r="J201" t="s">
        <v>2112</v>
      </c>
      <c r="K201">
        <v>1.3971079066490001E-4</v>
      </c>
      <c r="L201" t="s">
        <v>238</v>
      </c>
      <c r="N201" t="s">
        <v>346</v>
      </c>
      <c r="O201" t="s">
        <v>2112</v>
      </c>
      <c r="P201">
        <v>5.748366080809034E-5</v>
      </c>
      <c r="Q201" t="s">
        <v>238</v>
      </c>
      <c r="S201" t="s">
        <v>347</v>
      </c>
      <c r="T201" t="s">
        <v>2112</v>
      </c>
      <c r="U201">
        <v>3.7847949912592567E-5</v>
      </c>
      <c r="V201" t="s">
        <v>238</v>
      </c>
      <c r="X201">
        <v>1.1415525114155251E-4</v>
      </c>
      <c r="Y201">
        <v>1.6905750441289813E-4</v>
      </c>
      <c r="Z201" t="s">
        <v>2112</v>
      </c>
      <c r="AA201" t="s">
        <v>25</v>
      </c>
      <c r="AC201" t="s">
        <v>22</v>
      </c>
      <c r="AD201" t="s">
        <v>2112</v>
      </c>
      <c r="AE201">
        <v>1.3253379350126681E-4</v>
      </c>
      <c r="AG201" t="s">
        <v>97</v>
      </c>
      <c r="AH201" t="s">
        <v>2112</v>
      </c>
      <c r="AI201">
        <v>0</v>
      </c>
    </row>
    <row r="202" spans="5:35" x14ac:dyDescent="0.45">
      <c r="E202" t="s">
        <v>1913</v>
      </c>
      <c r="G202" t="s">
        <v>373</v>
      </c>
      <c r="I202" t="s">
        <v>236</v>
      </c>
      <c r="J202" t="s">
        <v>2113</v>
      </c>
      <c r="K202">
        <v>2.832469973222E-4</v>
      </c>
      <c r="L202" t="s">
        <v>238</v>
      </c>
      <c r="N202" t="s">
        <v>346</v>
      </c>
      <c r="O202" t="s">
        <v>2113</v>
      </c>
      <c r="P202">
        <v>4.3557210251490097E-5</v>
      </c>
      <c r="Q202" t="s">
        <v>238</v>
      </c>
      <c r="S202" t="s">
        <v>347</v>
      </c>
      <c r="T202" t="s">
        <v>2113</v>
      </c>
      <c r="U202">
        <v>3.8807566879703521E-5</v>
      </c>
      <c r="V202" t="s">
        <v>238</v>
      </c>
      <c r="X202">
        <v>1.1415525114155251E-4</v>
      </c>
      <c r="Y202">
        <v>1.9060404909297337E-4</v>
      </c>
      <c r="Z202" t="s">
        <v>2113</v>
      </c>
      <c r="AA202" t="s">
        <v>25</v>
      </c>
      <c r="AC202" t="s">
        <v>22</v>
      </c>
      <c r="AD202" t="s">
        <v>2113</v>
      </c>
      <c r="AE202">
        <v>1.4523136486527927E-4</v>
      </c>
      <c r="AG202" t="s">
        <v>97</v>
      </c>
      <c r="AH202" t="s">
        <v>2113</v>
      </c>
      <c r="AI202">
        <v>0</v>
      </c>
    </row>
    <row r="203" spans="5:35" x14ac:dyDescent="0.45">
      <c r="E203" t="s">
        <v>415</v>
      </c>
      <c r="G203" t="s">
        <v>375</v>
      </c>
      <c r="I203" t="s">
        <v>236</v>
      </c>
      <c r="J203" t="s">
        <v>2114</v>
      </c>
      <c r="K203">
        <v>3.7327477190430002E-4</v>
      </c>
      <c r="L203" t="s">
        <v>238</v>
      </c>
      <c r="N203" t="s">
        <v>346</v>
      </c>
      <c r="O203" t="s">
        <v>2114</v>
      </c>
      <c r="P203">
        <v>2.9590200705911387E-5</v>
      </c>
      <c r="Q203" t="s">
        <v>238</v>
      </c>
      <c r="S203" t="s">
        <v>347</v>
      </c>
      <c r="T203" t="s">
        <v>2114</v>
      </c>
      <c r="U203">
        <v>3.8191859770881592E-5</v>
      </c>
      <c r="V203" t="s">
        <v>238</v>
      </c>
      <c r="X203">
        <v>1.1415525114155251E-4</v>
      </c>
      <c r="Y203">
        <v>1.4585353321897094E-4</v>
      </c>
      <c r="Z203" t="s">
        <v>2114</v>
      </c>
      <c r="AA203" t="s">
        <v>25</v>
      </c>
      <c r="AC203" t="s">
        <v>22</v>
      </c>
      <c r="AD203" t="s">
        <v>2114</v>
      </c>
      <c r="AE203">
        <v>1.4989478441589964E-4</v>
      </c>
      <c r="AG203" t="s">
        <v>97</v>
      </c>
      <c r="AH203" t="s">
        <v>2114</v>
      </c>
      <c r="AI203">
        <v>0</v>
      </c>
    </row>
    <row r="204" spans="5:35" x14ac:dyDescent="0.45">
      <c r="E204" t="s">
        <v>416</v>
      </c>
      <c r="G204" t="s">
        <v>375</v>
      </c>
      <c r="I204" t="s">
        <v>236</v>
      </c>
      <c r="J204" t="s">
        <v>2115</v>
      </c>
      <c r="K204">
        <v>4.4308840781270002E-4</v>
      </c>
      <c r="L204" t="s">
        <v>238</v>
      </c>
      <c r="N204" t="s">
        <v>346</v>
      </c>
      <c r="O204" t="s">
        <v>2115</v>
      </c>
      <c r="P204">
        <v>3.1574663061554067E-5</v>
      </c>
      <c r="Q204" t="s">
        <v>238</v>
      </c>
      <c r="S204" t="s">
        <v>347</v>
      </c>
      <c r="T204" t="s">
        <v>2115</v>
      </c>
      <c r="U204">
        <v>4.1625623337330241E-5</v>
      </c>
      <c r="V204" t="s">
        <v>238</v>
      </c>
      <c r="X204">
        <v>1.1415525114155251E-4</v>
      </c>
      <c r="Y204">
        <v>1.4452759200788939E-4</v>
      </c>
      <c r="Z204" t="s">
        <v>2115</v>
      </c>
      <c r="AA204" t="s">
        <v>25</v>
      </c>
      <c r="AC204" t="s">
        <v>22</v>
      </c>
      <c r="AD204" t="s">
        <v>2115</v>
      </c>
      <c r="AE204">
        <v>1.4814062783017153E-4</v>
      </c>
      <c r="AG204" t="s">
        <v>97</v>
      </c>
      <c r="AH204" t="s">
        <v>2115</v>
      </c>
      <c r="AI204">
        <v>0</v>
      </c>
    </row>
    <row r="205" spans="5:35" x14ac:dyDescent="0.45">
      <c r="E205" t="s">
        <v>417</v>
      </c>
      <c r="G205" t="s">
        <v>375</v>
      </c>
      <c r="I205" t="s">
        <v>236</v>
      </c>
      <c r="J205" t="s">
        <v>2116</v>
      </c>
      <c r="K205">
        <v>4.5796128205239999E-4</v>
      </c>
      <c r="L205" t="s">
        <v>238</v>
      </c>
      <c r="N205" t="s">
        <v>346</v>
      </c>
      <c r="O205" t="s">
        <v>2116</v>
      </c>
      <c r="P205">
        <v>3.1528900673836294E-5</v>
      </c>
      <c r="Q205" t="s">
        <v>238</v>
      </c>
      <c r="S205" t="s">
        <v>347</v>
      </c>
      <c r="T205" t="s">
        <v>2116</v>
      </c>
      <c r="U205">
        <v>4.1648140974422143E-5</v>
      </c>
      <c r="V205" t="s">
        <v>238</v>
      </c>
      <c r="X205">
        <v>1.1415525114155251E-4</v>
      </c>
      <c r="Y205">
        <v>1.408812536774151E-4</v>
      </c>
      <c r="Z205" t="s">
        <v>2116</v>
      </c>
      <c r="AA205" t="s">
        <v>25</v>
      </c>
      <c r="AC205" t="s">
        <v>22</v>
      </c>
      <c r="AD205" t="s">
        <v>2116</v>
      </c>
      <c r="AE205">
        <v>1.4534314935358547E-4</v>
      </c>
      <c r="AG205" t="s">
        <v>97</v>
      </c>
      <c r="AH205" t="s">
        <v>2116</v>
      </c>
      <c r="AI205">
        <v>0</v>
      </c>
    </row>
    <row r="206" spans="5:35" x14ac:dyDescent="0.45">
      <c r="E206" t="s">
        <v>418</v>
      </c>
      <c r="G206" t="s">
        <v>375</v>
      </c>
      <c r="I206" t="s">
        <v>236</v>
      </c>
      <c r="J206" t="s">
        <v>2117</v>
      </c>
      <c r="K206">
        <v>4.3161855147649998E-4</v>
      </c>
      <c r="L206" t="s">
        <v>238</v>
      </c>
      <c r="N206" t="s">
        <v>346</v>
      </c>
      <c r="O206" t="s">
        <v>2117</v>
      </c>
      <c r="P206">
        <v>2.8624819383025035E-5</v>
      </c>
      <c r="Q206" t="s">
        <v>238</v>
      </c>
      <c r="S206" t="s">
        <v>347</v>
      </c>
      <c r="T206" t="s">
        <v>2117</v>
      </c>
      <c r="U206">
        <v>3.8902390309576158E-5</v>
      </c>
      <c r="V206" t="s">
        <v>238</v>
      </c>
      <c r="X206">
        <v>1.1415525114155251E-4</v>
      </c>
      <c r="Y206">
        <v>1.4054976837464471E-4</v>
      </c>
      <c r="Z206" t="s">
        <v>2117</v>
      </c>
      <c r="AA206" t="s">
        <v>25</v>
      </c>
      <c r="AC206" t="s">
        <v>22</v>
      </c>
      <c r="AD206" t="s">
        <v>2117</v>
      </c>
      <c r="AE206">
        <v>1.4270044939926956E-4</v>
      </c>
      <c r="AG206" t="s">
        <v>97</v>
      </c>
      <c r="AH206" t="s">
        <v>2117</v>
      </c>
      <c r="AI206">
        <v>0</v>
      </c>
    </row>
    <row r="207" spans="5:35" x14ac:dyDescent="0.45">
      <c r="E207" t="s">
        <v>419</v>
      </c>
      <c r="G207" t="s">
        <v>375</v>
      </c>
      <c r="I207" t="s">
        <v>236</v>
      </c>
      <c r="J207" t="s">
        <v>2118</v>
      </c>
      <c r="K207">
        <v>3.9435506636320002E-4</v>
      </c>
      <c r="L207" t="s">
        <v>238</v>
      </c>
      <c r="N207" t="s">
        <v>346</v>
      </c>
      <c r="O207" t="s">
        <v>2118</v>
      </c>
      <c r="P207">
        <v>3.1672144390483976E-5</v>
      </c>
      <c r="Q207" t="s">
        <v>238</v>
      </c>
      <c r="S207" t="s">
        <v>347</v>
      </c>
      <c r="T207" t="s">
        <v>2118</v>
      </c>
      <c r="U207">
        <v>3.8575999621548957E-5</v>
      </c>
      <c r="V207" t="s">
        <v>238</v>
      </c>
      <c r="X207">
        <v>1.1415525114155251E-4</v>
      </c>
      <c r="Y207">
        <v>1.4253868019126702E-4</v>
      </c>
      <c r="Z207" t="s">
        <v>2118</v>
      </c>
      <c r="AA207" t="s">
        <v>25</v>
      </c>
      <c r="AC207" t="s">
        <v>22</v>
      </c>
      <c r="AD207" t="s">
        <v>2118</v>
      </c>
      <c r="AE207">
        <v>1.4232783443824887E-4</v>
      </c>
      <c r="AG207" t="s">
        <v>97</v>
      </c>
      <c r="AH207" t="s">
        <v>2118</v>
      </c>
      <c r="AI207">
        <v>0</v>
      </c>
    </row>
    <row r="208" spans="5:35" x14ac:dyDescent="0.45">
      <c r="E208" t="s">
        <v>420</v>
      </c>
      <c r="G208" t="s">
        <v>375</v>
      </c>
      <c r="I208" t="s">
        <v>236</v>
      </c>
      <c r="J208" t="s">
        <v>2119</v>
      </c>
      <c r="K208">
        <v>4.1384829278559999E-4</v>
      </c>
      <c r="L208" t="s">
        <v>238</v>
      </c>
      <c r="N208" t="s">
        <v>346</v>
      </c>
      <c r="O208" t="s">
        <v>2119</v>
      </c>
      <c r="P208">
        <v>3.4563705349937841E-5</v>
      </c>
      <c r="Q208" t="s">
        <v>238</v>
      </c>
      <c r="S208" t="s">
        <v>347</v>
      </c>
      <c r="T208" t="s">
        <v>2119</v>
      </c>
      <c r="U208">
        <v>4.2198868241946043E-5</v>
      </c>
      <c r="V208" t="s">
        <v>238</v>
      </c>
      <c r="X208">
        <v>1.1415525114155251E-4</v>
      </c>
      <c r="Y208">
        <v>1.4883690094390442E-4</v>
      </c>
      <c r="Z208" t="s">
        <v>2119</v>
      </c>
      <c r="AA208" t="s">
        <v>25</v>
      </c>
      <c r="AC208" t="s">
        <v>22</v>
      </c>
      <c r="AD208" t="s">
        <v>2119</v>
      </c>
      <c r="AE208">
        <v>1.4019246408470727E-4</v>
      </c>
      <c r="AG208" t="s">
        <v>97</v>
      </c>
      <c r="AH208" t="s">
        <v>2119</v>
      </c>
      <c r="AI208">
        <v>0</v>
      </c>
    </row>
    <row r="209" spans="5:35" x14ac:dyDescent="0.45">
      <c r="E209" t="s">
        <v>421</v>
      </c>
      <c r="G209" t="s">
        <v>375</v>
      </c>
      <c r="I209" t="s">
        <v>236</v>
      </c>
      <c r="J209" t="s">
        <v>2120</v>
      </c>
      <c r="K209">
        <v>4.1486339342209998E-4</v>
      </c>
      <c r="L209" t="s">
        <v>238</v>
      </c>
      <c r="N209" t="s">
        <v>346</v>
      </c>
      <c r="O209" t="s">
        <v>2120</v>
      </c>
      <c r="P209">
        <v>3.8975413510335286E-5</v>
      </c>
      <c r="Q209" t="s">
        <v>238</v>
      </c>
      <c r="S209" t="s">
        <v>347</v>
      </c>
      <c r="T209" t="s">
        <v>2120</v>
      </c>
      <c r="U209">
        <v>4.7667242703417601E-5</v>
      </c>
      <c r="V209" t="s">
        <v>238</v>
      </c>
      <c r="X209">
        <v>1.1415525114155251E-4</v>
      </c>
      <c r="Y209">
        <v>1.5049432745775637E-4</v>
      </c>
      <c r="Z209" t="s">
        <v>2120</v>
      </c>
      <c r="AA209" t="s">
        <v>25</v>
      </c>
      <c r="AC209" t="s">
        <v>22</v>
      </c>
      <c r="AD209" t="s">
        <v>2120</v>
      </c>
      <c r="AE209">
        <v>1.404790909778001E-4</v>
      </c>
      <c r="AG209" t="s">
        <v>97</v>
      </c>
      <c r="AH209" t="s">
        <v>2120</v>
      </c>
      <c r="AI209">
        <v>0</v>
      </c>
    </row>
    <row r="210" spans="5:35" x14ac:dyDescent="0.45">
      <c r="E210" t="s">
        <v>422</v>
      </c>
      <c r="G210" t="s">
        <v>375</v>
      </c>
      <c r="I210" t="s">
        <v>236</v>
      </c>
      <c r="J210" t="s">
        <v>2121</v>
      </c>
      <c r="K210">
        <v>4.0685140344509999E-4</v>
      </c>
      <c r="L210" t="s">
        <v>238</v>
      </c>
      <c r="N210" t="s">
        <v>346</v>
      </c>
      <c r="O210" t="s">
        <v>2121</v>
      </c>
      <c r="P210">
        <v>4.0910936794801887E-5</v>
      </c>
      <c r="Q210" t="s">
        <v>238</v>
      </c>
      <c r="S210" t="s">
        <v>347</v>
      </c>
      <c r="T210" t="s">
        <v>2121</v>
      </c>
      <c r="U210">
        <v>5.4821406218705079E-5</v>
      </c>
      <c r="V210" t="s">
        <v>238</v>
      </c>
      <c r="X210">
        <v>1.1415525114155251E-4</v>
      </c>
      <c r="Y210">
        <v>1.7237235744060203E-4</v>
      </c>
      <c r="Z210" t="s">
        <v>2121</v>
      </c>
      <c r="AA210" t="s">
        <v>25</v>
      </c>
      <c r="AC210" t="s">
        <v>22</v>
      </c>
      <c r="AD210" t="s">
        <v>2121</v>
      </c>
      <c r="AE210">
        <v>1.4057367785252076E-4</v>
      </c>
      <c r="AG210" t="s">
        <v>97</v>
      </c>
      <c r="AH210" t="s">
        <v>2121</v>
      </c>
      <c r="AI210">
        <v>0</v>
      </c>
    </row>
    <row r="211" spans="5:35" x14ac:dyDescent="0.45">
      <c r="E211" t="s">
        <v>423</v>
      </c>
      <c r="G211" t="s">
        <v>375</v>
      </c>
      <c r="I211" t="s">
        <v>236</v>
      </c>
      <c r="J211" t="s">
        <v>2122</v>
      </c>
      <c r="K211">
        <v>3.570947586046E-4</v>
      </c>
      <c r="L211" t="s">
        <v>238</v>
      </c>
      <c r="N211" t="s">
        <v>346</v>
      </c>
      <c r="O211" t="s">
        <v>2122</v>
      </c>
      <c r="P211">
        <v>3.7815961402998142E-5</v>
      </c>
      <c r="Q211" t="s">
        <v>238</v>
      </c>
      <c r="S211" t="s">
        <v>347</v>
      </c>
      <c r="T211" t="s">
        <v>2122</v>
      </c>
      <c r="U211">
        <v>6.1554676033999424E-5</v>
      </c>
      <c r="V211" t="s">
        <v>238</v>
      </c>
      <c r="X211">
        <v>1.1415525114155251E-4</v>
      </c>
      <c r="Y211">
        <v>2.2209515285616027E-4</v>
      </c>
      <c r="Z211" t="s">
        <v>2122</v>
      </c>
      <c r="AA211" t="s">
        <v>25</v>
      </c>
      <c r="AC211" t="s">
        <v>22</v>
      </c>
      <c r="AD211" t="s">
        <v>2122</v>
      </c>
      <c r="AE211">
        <v>1.4020392916043098E-4</v>
      </c>
      <c r="AG211" t="s">
        <v>97</v>
      </c>
      <c r="AH211" t="s">
        <v>2122</v>
      </c>
      <c r="AI211">
        <v>0</v>
      </c>
    </row>
    <row r="212" spans="5:35" x14ac:dyDescent="0.45">
      <c r="E212" t="s">
        <v>424</v>
      </c>
      <c r="G212" t="s">
        <v>375</v>
      </c>
      <c r="I212" t="s">
        <v>236</v>
      </c>
      <c r="J212" t="s">
        <v>2123</v>
      </c>
      <c r="K212">
        <v>2.9492075659370002E-4</v>
      </c>
      <c r="L212" t="s">
        <v>238</v>
      </c>
      <c r="N212" t="s">
        <v>346</v>
      </c>
      <c r="O212" t="s">
        <v>2123</v>
      </c>
      <c r="P212">
        <v>3.7633362008353175E-5</v>
      </c>
      <c r="Q212" t="s">
        <v>238</v>
      </c>
      <c r="S212" t="s">
        <v>347</v>
      </c>
      <c r="T212" t="s">
        <v>2123</v>
      </c>
      <c r="U212">
        <v>6.4147011949201591E-5</v>
      </c>
      <c r="V212" t="s">
        <v>238</v>
      </c>
      <c r="X212">
        <v>1.1415525114155251E-4</v>
      </c>
      <c r="Y212">
        <v>2.2209515285616027E-4</v>
      </c>
      <c r="Z212" t="s">
        <v>2123</v>
      </c>
      <c r="AA212" t="s">
        <v>25</v>
      </c>
      <c r="AC212" t="s">
        <v>22</v>
      </c>
      <c r="AD212" t="s">
        <v>2123</v>
      </c>
      <c r="AE212">
        <v>1.4260299625561799E-4</v>
      </c>
      <c r="AG212" t="s">
        <v>97</v>
      </c>
      <c r="AH212" t="s">
        <v>2123</v>
      </c>
      <c r="AI212">
        <v>0</v>
      </c>
    </row>
    <row r="213" spans="5:35" x14ac:dyDescent="0.45">
      <c r="E213" t="s">
        <v>425</v>
      </c>
      <c r="G213" t="s">
        <v>375</v>
      </c>
      <c r="I213" t="s">
        <v>236</v>
      </c>
      <c r="J213" t="s">
        <v>2124</v>
      </c>
      <c r="K213">
        <v>1.8853675944129999E-4</v>
      </c>
      <c r="L213" t="s">
        <v>238</v>
      </c>
      <c r="N213" t="s">
        <v>346</v>
      </c>
      <c r="O213" t="s">
        <v>2124</v>
      </c>
      <c r="P213">
        <v>5.4045103683874517E-5</v>
      </c>
      <c r="Q213" t="s">
        <v>238</v>
      </c>
      <c r="S213" t="s">
        <v>347</v>
      </c>
      <c r="T213" t="s">
        <v>2124</v>
      </c>
      <c r="U213">
        <v>6.4936530817429254E-5</v>
      </c>
      <c r="V213" t="s">
        <v>238</v>
      </c>
      <c r="X213">
        <v>1.1415525114155251E-4</v>
      </c>
      <c r="Y213">
        <v>1.7237235744060203E-4</v>
      </c>
      <c r="Z213" t="s">
        <v>2124</v>
      </c>
      <c r="AA213" t="s">
        <v>25</v>
      </c>
      <c r="AC213" t="s">
        <v>22</v>
      </c>
      <c r="AD213" t="s">
        <v>2124</v>
      </c>
      <c r="AE213">
        <v>1.4237656101007465E-4</v>
      </c>
      <c r="AG213" t="s">
        <v>97</v>
      </c>
      <c r="AH213" t="s">
        <v>2124</v>
      </c>
      <c r="AI213">
        <v>0</v>
      </c>
    </row>
    <row r="214" spans="5:35" x14ac:dyDescent="0.45">
      <c r="E214" t="s">
        <v>426</v>
      </c>
      <c r="G214" t="s">
        <v>375</v>
      </c>
      <c r="I214" t="s">
        <v>236</v>
      </c>
      <c r="J214" t="s">
        <v>2125</v>
      </c>
      <c r="K214">
        <v>2.8683608391657531E-5</v>
      </c>
      <c r="L214" t="s">
        <v>238</v>
      </c>
      <c r="N214" t="s">
        <v>346</v>
      </c>
      <c r="O214" t="s">
        <v>2125</v>
      </c>
      <c r="P214">
        <v>6.1348236092763391E-5</v>
      </c>
      <c r="Q214" t="s">
        <v>238</v>
      </c>
      <c r="S214" t="s">
        <v>347</v>
      </c>
      <c r="T214" t="s">
        <v>2125</v>
      </c>
      <c r="U214">
        <v>6.0614636390836763E-5</v>
      </c>
      <c r="V214" t="s">
        <v>238</v>
      </c>
      <c r="X214">
        <v>1.1415525114155251E-4</v>
      </c>
      <c r="Y214">
        <v>1.5579809230208258E-4</v>
      </c>
      <c r="Z214" t="s">
        <v>2125</v>
      </c>
      <c r="AA214" t="s">
        <v>25</v>
      </c>
      <c r="AC214" t="s">
        <v>22</v>
      </c>
      <c r="AD214" t="s">
        <v>2125</v>
      </c>
      <c r="AE214">
        <v>1.3824053494274508E-4</v>
      </c>
      <c r="AG214" t="s">
        <v>97</v>
      </c>
      <c r="AH214" t="s">
        <v>2125</v>
      </c>
      <c r="AI214">
        <v>0</v>
      </c>
    </row>
    <row r="215" spans="5:35" x14ac:dyDescent="0.45">
      <c r="E215" t="s">
        <v>427</v>
      </c>
      <c r="G215" t="s">
        <v>375</v>
      </c>
      <c r="I215" t="s">
        <v>236</v>
      </c>
      <c r="J215" t="s">
        <v>2126</v>
      </c>
      <c r="K215">
        <v>0</v>
      </c>
      <c r="L215" t="s">
        <v>238</v>
      </c>
      <c r="N215" t="s">
        <v>346</v>
      </c>
      <c r="O215" t="s">
        <v>2126</v>
      </c>
      <c r="P215">
        <v>5.7529964863501837E-5</v>
      </c>
      <c r="Q215" t="s">
        <v>238</v>
      </c>
      <c r="S215" t="s">
        <v>347</v>
      </c>
      <c r="T215" t="s">
        <v>2126</v>
      </c>
      <c r="U215">
        <v>5.5002331057993173E-5</v>
      </c>
      <c r="V215" t="s">
        <v>238</v>
      </c>
      <c r="X215">
        <v>1.1415525114155251E-4</v>
      </c>
      <c r="Y215">
        <v>1.093901499142282E-4</v>
      </c>
      <c r="Z215" t="s">
        <v>2126</v>
      </c>
      <c r="AA215" t="s">
        <v>25</v>
      </c>
      <c r="AC215" t="s">
        <v>22</v>
      </c>
      <c r="AD215" t="s">
        <v>2126</v>
      </c>
      <c r="AE215">
        <v>1.2951274604806835E-4</v>
      </c>
      <c r="AG215" t="s">
        <v>97</v>
      </c>
      <c r="AH215" t="s">
        <v>2126</v>
      </c>
      <c r="AI215">
        <v>0</v>
      </c>
    </row>
    <row r="216" spans="5:35" x14ac:dyDescent="0.45">
      <c r="E216" t="s">
        <v>428</v>
      </c>
      <c r="G216" t="s">
        <v>375</v>
      </c>
      <c r="I216" t="s">
        <v>236</v>
      </c>
      <c r="J216" t="s">
        <v>2127</v>
      </c>
      <c r="K216">
        <v>0</v>
      </c>
      <c r="L216" t="s">
        <v>238</v>
      </c>
      <c r="N216" t="s">
        <v>346</v>
      </c>
      <c r="O216" t="s">
        <v>2127</v>
      </c>
      <c r="P216">
        <v>4.907135681234734E-5</v>
      </c>
      <c r="Q216" t="s">
        <v>238</v>
      </c>
      <c r="S216" t="s">
        <v>347</v>
      </c>
      <c r="T216" t="s">
        <v>2127</v>
      </c>
      <c r="U216">
        <v>4.6597406546358327E-5</v>
      </c>
      <c r="V216" t="s">
        <v>238</v>
      </c>
      <c r="X216">
        <v>1.1415525114155251E-4</v>
      </c>
      <c r="Y216">
        <v>7.9556472664893237E-5</v>
      </c>
      <c r="Z216" t="s">
        <v>2127</v>
      </c>
      <c r="AA216" t="s">
        <v>25</v>
      </c>
      <c r="AC216" t="s">
        <v>22</v>
      </c>
      <c r="AD216" t="s">
        <v>2127</v>
      </c>
      <c r="AE216">
        <v>1.1847187812613248E-4</v>
      </c>
      <c r="AG216" t="s">
        <v>97</v>
      </c>
      <c r="AH216" t="s">
        <v>2127</v>
      </c>
      <c r="AI216">
        <v>0</v>
      </c>
    </row>
    <row r="217" spans="5:35" x14ac:dyDescent="0.45">
      <c r="E217" t="s">
        <v>429</v>
      </c>
      <c r="G217" t="s">
        <v>375</v>
      </c>
      <c r="I217" t="s">
        <v>236</v>
      </c>
      <c r="J217" t="s">
        <v>2128</v>
      </c>
      <c r="K217">
        <v>0</v>
      </c>
      <c r="L217" t="s">
        <v>238</v>
      </c>
      <c r="N217" t="s">
        <v>346</v>
      </c>
      <c r="O217" t="s">
        <v>2128</v>
      </c>
      <c r="P217">
        <v>4.8979401843466834E-5</v>
      </c>
      <c r="Q217" t="s">
        <v>238</v>
      </c>
      <c r="S217" t="s">
        <v>347</v>
      </c>
      <c r="T217" t="s">
        <v>2128</v>
      </c>
      <c r="U217">
        <v>4.9165394346193918E-5</v>
      </c>
      <c r="V217" t="s">
        <v>238</v>
      </c>
      <c r="X217">
        <v>1.1415525114155251E-4</v>
      </c>
      <c r="Y217">
        <v>5.6352501470966035E-5</v>
      </c>
      <c r="Z217" t="s">
        <v>2128</v>
      </c>
      <c r="AA217" t="s">
        <v>25</v>
      </c>
      <c r="AC217" t="s">
        <v>22</v>
      </c>
      <c r="AD217" t="s">
        <v>2128</v>
      </c>
      <c r="AE217">
        <v>9.352387335133238E-5</v>
      </c>
      <c r="AG217" t="s">
        <v>97</v>
      </c>
      <c r="AH217" t="s">
        <v>2128</v>
      </c>
      <c r="AI217">
        <v>0</v>
      </c>
    </row>
    <row r="218" spans="5:35" x14ac:dyDescent="0.45">
      <c r="E218" t="s">
        <v>430</v>
      </c>
      <c r="G218" t="s">
        <v>375</v>
      </c>
      <c r="I218" t="s">
        <v>236</v>
      </c>
      <c r="J218" t="s">
        <v>2129</v>
      </c>
      <c r="K218">
        <v>0</v>
      </c>
      <c r="L218" t="s">
        <v>238</v>
      </c>
      <c r="N218" t="s">
        <v>346</v>
      </c>
      <c r="O218" t="s">
        <v>2129</v>
      </c>
      <c r="P218">
        <v>4.0386172756613312E-5</v>
      </c>
      <c r="Q218" t="s">
        <v>238</v>
      </c>
      <c r="S218" t="s">
        <v>347</v>
      </c>
      <c r="T218" t="s">
        <v>2129</v>
      </c>
      <c r="U218">
        <v>3.8530674019770538E-5</v>
      </c>
      <c r="V218" t="s">
        <v>238</v>
      </c>
      <c r="X218">
        <v>1.1415525114155251E-4</v>
      </c>
      <c r="Y218">
        <v>2.9833677249334962E-5</v>
      </c>
      <c r="Z218" t="s">
        <v>2129</v>
      </c>
      <c r="AA218" t="s">
        <v>25</v>
      </c>
      <c r="AC218" t="s">
        <v>22</v>
      </c>
      <c r="AD218" t="s">
        <v>2129</v>
      </c>
      <c r="AE218">
        <v>8.8361723006730457E-5</v>
      </c>
      <c r="AG218" t="s">
        <v>97</v>
      </c>
      <c r="AH218" t="s">
        <v>2129</v>
      </c>
      <c r="AI218">
        <v>0</v>
      </c>
    </row>
    <row r="219" spans="5:35" x14ac:dyDescent="0.45">
      <c r="E219" t="s">
        <v>431</v>
      </c>
      <c r="G219" t="s">
        <v>375</v>
      </c>
      <c r="I219" t="s">
        <v>236</v>
      </c>
      <c r="J219" t="s">
        <v>328</v>
      </c>
      <c r="K219">
        <v>6.3061499319059574E-3</v>
      </c>
      <c r="L219" t="s">
        <v>238</v>
      </c>
      <c r="N219" t="s">
        <v>346</v>
      </c>
      <c r="O219" t="s">
        <v>328</v>
      </c>
      <c r="P219">
        <v>6.0641268397584137E-2</v>
      </c>
      <c r="Q219" t="s">
        <v>238</v>
      </c>
      <c r="S219" t="s">
        <v>347</v>
      </c>
      <c r="T219" t="s">
        <v>328</v>
      </c>
      <c r="U219">
        <v>6.2863060507635751E-2</v>
      </c>
      <c r="V219" t="s">
        <v>238</v>
      </c>
      <c r="X219">
        <v>8.0821917808219179E-2</v>
      </c>
      <c r="Y219">
        <v>1.7288947451292381E-2</v>
      </c>
      <c r="Z219" t="s">
        <v>328</v>
      </c>
      <c r="AA219" t="s">
        <v>25</v>
      </c>
      <c r="AC219" t="s">
        <v>22</v>
      </c>
      <c r="AD219" t="s">
        <v>328</v>
      </c>
      <c r="AE219">
        <v>4.847394321303429E-2</v>
      </c>
      <c r="AG219" t="s">
        <v>97</v>
      </c>
      <c r="AH219" t="s">
        <v>328</v>
      </c>
      <c r="AI219">
        <v>0.20836610804876221</v>
      </c>
    </row>
    <row r="220" spans="5:35" x14ac:dyDescent="0.45">
      <c r="E220" t="s">
        <v>432</v>
      </c>
      <c r="G220" t="s">
        <v>375</v>
      </c>
      <c r="I220" t="s">
        <v>236</v>
      </c>
      <c r="J220" t="s">
        <v>329</v>
      </c>
      <c r="K220">
        <v>1.6912822635317057E-2</v>
      </c>
      <c r="L220" t="s">
        <v>238</v>
      </c>
      <c r="N220" t="s">
        <v>346</v>
      </c>
      <c r="O220" t="s">
        <v>329</v>
      </c>
      <c r="P220">
        <v>9.5989160614753568E-3</v>
      </c>
      <c r="Q220" t="s">
        <v>238</v>
      </c>
      <c r="S220" t="s">
        <v>347</v>
      </c>
      <c r="T220" t="s">
        <v>329</v>
      </c>
      <c r="U220">
        <v>1.0478757221799105E-2</v>
      </c>
      <c r="V220" t="s">
        <v>238</v>
      </c>
      <c r="X220">
        <v>1.3470319634703196E-2</v>
      </c>
      <c r="Y220">
        <v>1.9948785520721976E-2</v>
      </c>
      <c r="Z220" t="s">
        <v>329</v>
      </c>
      <c r="AA220" t="s">
        <v>25</v>
      </c>
      <c r="AC220" t="s">
        <v>22</v>
      </c>
      <c r="AD220" t="s">
        <v>329</v>
      </c>
      <c r="AE220">
        <v>1.142217747613971E-2</v>
      </c>
      <c r="AG220" t="s">
        <v>97</v>
      </c>
      <c r="AH220" t="s">
        <v>329</v>
      </c>
      <c r="AI220">
        <v>0.11348329004410029</v>
      </c>
    </row>
    <row r="221" spans="5:35" x14ac:dyDescent="0.45">
      <c r="E221" t="s">
        <v>433</v>
      </c>
      <c r="G221" t="s">
        <v>375</v>
      </c>
      <c r="I221" t="s">
        <v>236</v>
      </c>
      <c r="J221" t="s">
        <v>330</v>
      </c>
      <c r="K221">
        <v>2.7077153662518359E-2</v>
      </c>
      <c r="L221" t="s">
        <v>238</v>
      </c>
      <c r="N221" t="s">
        <v>346</v>
      </c>
      <c r="O221" t="s">
        <v>330</v>
      </c>
      <c r="P221">
        <v>9.4377849926354576E-3</v>
      </c>
      <c r="Q221" t="s">
        <v>238</v>
      </c>
      <c r="S221" t="s">
        <v>347</v>
      </c>
      <c r="T221" t="s">
        <v>330</v>
      </c>
      <c r="U221">
        <v>1.0562088575437303E-2</v>
      </c>
      <c r="V221" t="s">
        <v>238</v>
      </c>
      <c r="X221">
        <v>1.3470319634703196E-2</v>
      </c>
      <c r="Y221">
        <v>2.2491277792970849E-2</v>
      </c>
      <c r="Z221" t="s">
        <v>330</v>
      </c>
      <c r="AA221" t="s">
        <v>25</v>
      </c>
      <c r="AC221" t="s">
        <v>22</v>
      </c>
      <c r="AD221" t="s">
        <v>330</v>
      </c>
      <c r="AE221">
        <v>1.2680045329015463E-2</v>
      </c>
      <c r="AG221" t="s">
        <v>97</v>
      </c>
      <c r="AH221" t="s">
        <v>330</v>
      </c>
      <c r="AI221">
        <v>0.10688026934179029</v>
      </c>
    </row>
    <row r="222" spans="5:35" x14ac:dyDescent="0.45">
      <c r="E222" t="s">
        <v>434</v>
      </c>
      <c r="G222" t="s">
        <v>375</v>
      </c>
      <c r="I222" t="s">
        <v>236</v>
      </c>
      <c r="J222" t="s">
        <v>331</v>
      </c>
      <c r="K222">
        <v>3.5161904936383943E-2</v>
      </c>
      <c r="L222" t="s">
        <v>238</v>
      </c>
      <c r="N222" t="s">
        <v>346</v>
      </c>
      <c r="O222" t="s">
        <v>331</v>
      </c>
      <c r="P222">
        <v>9.408251449395286E-3</v>
      </c>
      <c r="Q222" t="s">
        <v>238</v>
      </c>
      <c r="S222" t="s">
        <v>347</v>
      </c>
      <c r="T222" t="s">
        <v>331</v>
      </c>
      <c r="U222">
        <v>1.0630484701633218E-2</v>
      </c>
      <c r="V222" t="s">
        <v>238</v>
      </c>
      <c r="X222">
        <v>1.3470319634703196E-2</v>
      </c>
      <c r="Y222">
        <v>1.7210716919838571E-2</v>
      </c>
      <c r="Z222" t="s">
        <v>331</v>
      </c>
      <c r="AA222" t="s">
        <v>25</v>
      </c>
      <c r="AC222" t="s">
        <v>22</v>
      </c>
      <c r="AD222" t="s">
        <v>331</v>
      </c>
      <c r="AE222">
        <v>1.3501248575340016E-2</v>
      </c>
      <c r="AG222" t="s">
        <v>97</v>
      </c>
      <c r="AH222" t="s">
        <v>331</v>
      </c>
      <c r="AI222">
        <v>8.6510488221534398E-2</v>
      </c>
    </row>
    <row r="223" spans="5:35" x14ac:dyDescent="0.45">
      <c r="E223" t="s">
        <v>435</v>
      </c>
      <c r="G223" t="s">
        <v>375</v>
      </c>
      <c r="I223" t="s">
        <v>236</v>
      </c>
      <c r="J223" t="s">
        <v>332</v>
      </c>
      <c r="K223">
        <v>0.30211822656307685</v>
      </c>
      <c r="L223" t="s">
        <v>238</v>
      </c>
      <c r="N223" t="s">
        <v>346</v>
      </c>
      <c r="O223" t="s">
        <v>332</v>
      </c>
      <c r="P223">
        <v>7.0247870856740613E-2</v>
      </c>
      <c r="Q223" t="s">
        <v>238</v>
      </c>
      <c r="S223" t="s">
        <v>347</v>
      </c>
      <c r="T223" t="s">
        <v>332</v>
      </c>
      <c r="U223">
        <v>7.3978018276723623E-2</v>
      </c>
      <c r="V223" t="s">
        <v>238</v>
      </c>
      <c r="X223">
        <v>9.429223744292238E-2</v>
      </c>
      <c r="Y223">
        <v>0.12274370385103053</v>
      </c>
      <c r="Z223" t="s">
        <v>332</v>
      </c>
      <c r="AA223" t="s">
        <v>25</v>
      </c>
      <c r="AC223" t="s">
        <v>22</v>
      </c>
      <c r="AD223" t="s">
        <v>332</v>
      </c>
      <c r="AE223">
        <v>9.5231148716193412E-2</v>
      </c>
      <c r="AG223" t="s">
        <v>97</v>
      </c>
      <c r="AH223" t="s">
        <v>332</v>
      </c>
      <c r="AI223">
        <v>0.10091801333614403</v>
      </c>
    </row>
    <row r="224" spans="5:35" x14ac:dyDescent="0.45">
      <c r="E224" t="s">
        <v>436</v>
      </c>
      <c r="G224" t="s">
        <v>375</v>
      </c>
      <c r="I224" t="s">
        <v>236</v>
      </c>
      <c r="J224" t="s">
        <v>333</v>
      </c>
      <c r="K224">
        <v>3.4382715719406341E-2</v>
      </c>
      <c r="L224" t="s">
        <v>238</v>
      </c>
      <c r="N224" t="s">
        <v>346</v>
      </c>
      <c r="O224" t="s">
        <v>333</v>
      </c>
      <c r="P224">
        <v>1.0419394042695058E-2</v>
      </c>
      <c r="Q224" t="s">
        <v>238</v>
      </c>
      <c r="S224" t="s">
        <v>347</v>
      </c>
      <c r="T224" t="s">
        <v>333</v>
      </c>
      <c r="U224">
        <v>1.1041047874571198E-2</v>
      </c>
      <c r="V224" t="s">
        <v>238</v>
      </c>
      <c r="X224">
        <v>1.3470319634703196E-2</v>
      </c>
      <c r="Y224">
        <v>2.6207228037026908E-2</v>
      </c>
      <c r="Z224" t="s">
        <v>333</v>
      </c>
      <c r="AA224" t="s">
        <v>25</v>
      </c>
      <c r="AC224" t="s">
        <v>22</v>
      </c>
      <c r="AD224" t="s">
        <v>333</v>
      </c>
      <c r="AE224">
        <v>1.3458415052436222E-2</v>
      </c>
      <c r="AG224" t="s">
        <v>97</v>
      </c>
      <c r="AH224" t="s">
        <v>333</v>
      </c>
      <c r="AI224">
        <v>7.8151680014010294E-2</v>
      </c>
    </row>
    <row r="225" spans="5:35" x14ac:dyDescent="0.45">
      <c r="E225" t="s">
        <v>437</v>
      </c>
      <c r="G225" t="s">
        <v>375</v>
      </c>
      <c r="I225" t="s">
        <v>236</v>
      </c>
      <c r="J225" t="s">
        <v>334</v>
      </c>
      <c r="K225">
        <v>2.7445178989697911E-2</v>
      </c>
      <c r="L225" t="s">
        <v>238</v>
      </c>
      <c r="N225" t="s">
        <v>346</v>
      </c>
      <c r="O225" t="s">
        <v>334</v>
      </c>
      <c r="P225">
        <v>1.0138884391094767E-2</v>
      </c>
      <c r="Q225" t="s">
        <v>238</v>
      </c>
      <c r="S225" t="s">
        <v>347</v>
      </c>
      <c r="T225" t="s">
        <v>334</v>
      </c>
      <c r="U225">
        <v>1.1021345080153436E-2</v>
      </c>
      <c r="V225" t="s">
        <v>238</v>
      </c>
      <c r="X225">
        <v>1.3470319634703196E-2</v>
      </c>
      <c r="Y225">
        <v>2.6207228037026908E-2</v>
      </c>
      <c r="Z225" t="s">
        <v>334</v>
      </c>
      <c r="AA225" t="s">
        <v>25</v>
      </c>
      <c r="AC225" t="s">
        <v>22</v>
      </c>
      <c r="AD225" t="s">
        <v>334</v>
      </c>
      <c r="AE225">
        <v>1.3439996408286078E-2</v>
      </c>
      <c r="AG225" t="s">
        <v>97</v>
      </c>
      <c r="AH225" t="s">
        <v>334</v>
      </c>
      <c r="AI225">
        <v>7.8976589589250468E-2</v>
      </c>
    </row>
    <row r="226" spans="5:35" x14ac:dyDescent="0.45">
      <c r="E226" t="s">
        <v>438</v>
      </c>
      <c r="G226" t="s">
        <v>375</v>
      </c>
      <c r="I226" t="s">
        <v>236</v>
      </c>
      <c r="J226" t="s">
        <v>335</v>
      </c>
      <c r="K226">
        <v>2.9562602161963748E-2</v>
      </c>
      <c r="L226" t="s">
        <v>238</v>
      </c>
      <c r="N226" t="s">
        <v>346</v>
      </c>
      <c r="O226" t="s">
        <v>335</v>
      </c>
      <c r="P226">
        <v>6.3904180208249603E-2</v>
      </c>
      <c r="Q226" t="s">
        <v>238</v>
      </c>
      <c r="S226" t="s">
        <v>347</v>
      </c>
      <c r="T226" t="s">
        <v>335</v>
      </c>
      <c r="U226">
        <v>6.585140839065011E-2</v>
      </c>
      <c r="V226" t="s">
        <v>238</v>
      </c>
      <c r="X226">
        <v>8.0821917808219179E-2</v>
      </c>
      <c r="Y226">
        <v>7.1189783622968614E-2</v>
      </c>
      <c r="Z226" t="s">
        <v>335</v>
      </c>
      <c r="AA226" t="s">
        <v>25</v>
      </c>
      <c r="AC226" t="s">
        <v>22</v>
      </c>
      <c r="AD226" t="s">
        <v>335</v>
      </c>
      <c r="AE226">
        <v>6.9224383126557792E-2</v>
      </c>
      <c r="AG226" t="s">
        <v>97</v>
      </c>
      <c r="AH226" t="s">
        <v>335</v>
      </c>
      <c r="AI226">
        <v>0.16415685810610992</v>
      </c>
    </row>
    <row r="227" spans="5:35" x14ac:dyDescent="0.45">
      <c r="E227" t="s">
        <v>1914</v>
      </c>
      <c r="G227" t="s">
        <v>1822</v>
      </c>
      <c r="I227" t="s">
        <v>236</v>
      </c>
      <c r="J227" t="s">
        <v>2130</v>
      </c>
      <c r="K227">
        <v>0</v>
      </c>
      <c r="L227" t="s">
        <v>238</v>
      </c>
      <c r="N227" t="s">
        <v>346</v>
      </c>
      <c r="O227" t="s">
        <v>2130</v>
      </c>
      <c r="P227">
        <v>4.4454839205787691E-5</v>
      </c>
      <c r="Q227" t="s">
        <v>238</v>
      </c>
      <c r="S227" t="s">
        <v>347</v>
      </c>
      <c r="T227" t="s">
        <v>2130</v>
      </c>
      <c r="U227">
        <v>2.933357470758146E-5</v>
      </c>
      <c r="V227" t="s">
        <v>238</v>
      </c>
      <c r="X227">
        <v>1.1415525114155251E-4</v>
      </c>
      <c r="Y227">
        <v>2.1546544680075254E-5</v>
      </c>
      <c r="Z227" t="s">
        <v>2130</v>
      </c>
      <c r="AA227" t="s">
        <v>25</v>
      </c>
      <c r="AC227" t="s">
        <v>22</v>
      </c>
      <c r="AD227" t="s">
        <v>2130</v>
      </c>
      <c r="AE227">
        <v>5.8602133263400273E-5</v>
      </c>
      <c r="AG227" t="s">
        <v>97</v>
      </c>
      <c r="AH227" t="s">
        <v>2130</v>
      </c>
      <c r="AI227">
        <v>0</v>
      </c>
    </row>
    <row r="228" spans="5:35" x14ac:dyDescent="0.45">
      <c r="E228" t="s">
        <v>1915</v>
      </c>
      <c r="G228" t="s">
        <v>1822</v>
      </c>
      <c r="I228" t="s">
        <v>236</v>
      </c>
      <c r="J228" t="s">
        <v>2131</v>
      </c>
      <c r="K228">
        <v>0</v>
      </c>
      <c r="L228" t="s">
        <v>238</v>
      </c>
      <c r="N228" t="s">
        <v>346</v>
      </c>
      <c r="O228" t="s">
        <v>2131</v>
      </c>
      <c r="P228">
        <v>3.9489570932779549E-5</v>
      </c>
      <c r="Q228" t="s">
        <v>238</v>
      </c>
      <c r="S228" t="s">
        <v>347</v>
      </c>
      <c r="T228" t="s">
        <v>2131</v>
      </c>
      <c r="U228">
        <v>2.2297373745854239E-5</v>
      </c>
      <c r="V228" t="s">
        <v>238</v>
      </c>
      <c r="X228">
        <v>1.1415525114155251E-4</v>
      </c>
      <c r="Y228">
        <v>1.4916838624667481E-5</v>
      </c>
      <c r="Z228" t="s">
        <v>2131</v>
      </c>
      <c r="AA228" t="s">
        <v>25</v>
      </c>
      <c r="AC228" t="s">
        <v>22</v>
      </c>
      <c r="AD228" t="s">
        <v>2131</v>
      </c>
      <c r="AE228">
        <v>5.4365787783488195E-5</v>
      </c>
      <c r="AG228" t="s">
        <v>97</v>
      </c>
      <c r="AH228" t="s">
        <v>2131</v>
      </c>
      <c r="AI228">
        <v>0</v>
      </c>
    </row>
    <row r="229" spans="5:35" x14ac:dyDescent="0.45">
      <c r="E229" t="s">
        <v>1916</v>
      </c>
      <c r="G229" t="s">
        <v>1822</v>
      </c>
      <c r="I229" t="s">
        <v>236</v>
      </c>
      <c r="J229" t="s">
        <v>2132</v>
      </c>
      <c r="K229">
        <v>0</v>
      </c>
      <c r="L229" t="s">
        <v>238</v>
      </c>
      <c r="N229" t="s">
        <v>346</v>
      </c>
      <c r="O229" t="s">
        <v>2132</v>
      </c>
      <c r="P229">
        <v>3.4365372508302904E-5</v>
      </c>
      <c r="Q229" t="s">
        <v>238</v>
      </c>
      <c r="S229" t="s">
        <v>347</v>
      </c>
      <c r="T229" t="s">
        <v>2132</v>
      </c>
      <c r="U229">
        <v>1.4418949035746104E-5</v>
      </c>
      <c r="V229" t="s">
        <v>238</v>
      </c>
      <c r="X229">
        <v>1.1415525114155251E-4</v>
      </c>
      <c r="Y229">
        <v>1.6574265138519424E-5</v>
      </c>
      <c r="Z229" t="s">
        <v>2132</v>
      </c>
      <c r="AA229" t="s">
        <v>25</v>
      </c>
      <c r="AC229" t="s">
        <v>22</v>
      </c>
      <c r="AD229" t="s">
        <v>2132</v>
      </c>
      <c r="AE229">
        <v>5.4365787783488195E-5</v>
      </c>
      <c r="AG229" t="s">
        <v>97</v>
      </c>
      <c r="AH229" t="s">
        <v>2132</v>
      </c>
      <c r="AI229">
        <v>0</v>
      </c>
    </row>
    <row r="230" spans="5:35" x14ac:dyDescent="0.45">
      <c r="E230" t="s">
        <v>1917</v>
      </c>
      <c r="G230" t="s">
        <v>1822</v>
      </c>
      <c r="I230" t="s">
        <v>236</v>
      </c>
      <c r="J230" t="s">
        <v>2133</v>
      </c>
      <c r="K230">
        <v>0</v>
      </c>
      <c r="L230" t="s">
        <v>238</v>
      </c>
      <c r="N230" t="s">
        <v>346</v>
      </c>
      <c r="O230" t="s">
        <v>2133</v>
      </c>
      <c r="P230">
        <v>3.0651323500687591E-5</v>
      </c>
      <c r="Q230" t="s">
        <v>238</v>
      </c>
      <c r="S230" t="s">
        <v>347</v>
      </c>
      <c r="T230" t="s">
        <v>2133</v>
      </c>
      <c r="U230">
        <v>9.4299052837460606E-6</v>
      </c>
      <c r="V230" t="s">
        <v>238</v>
      </c>
      <c r="X230">
        <v>1.1415525114155251E-4</v>
      </c>
      <c r="Y230">
        <v>1.4585353321897093E-5</v>
      </c>
      <c r="Z230" t="s">
        <v>2133</v>
      </c>
      <c r="AA230" t="s">
        <v>25</v>
      </c>
      <c r="AC230" t="s">
        <v>22</v>
      </c>
      <c r="AD230" t="s">
        <v>2133</v>
      </c>
      <c r="AE230">
        <v>5.4466107196070708E-5</v>
      </c>
      <c r="AG230" t="s">
        <v>97</v>
      </c>
      <c r="AH230" t="s">
        <v>2133</v>
      </c>
      <c r="AI230">
        <v>0</v>
      </c>
    </row>
    <row r="231" spans="5:35" x14ac:dyDescent="0.45">
      <c r="E231" t="s">
        <v>1918</v>
      </c>
      <c r="G231" t="s">
        <v>1822</v>
      </c>
      <c r="I231" t="s">
        <v>236</v>
      </c>
      <c r="J231" t="s">
        <v>2134</v>
      </c>
      <c r="K231">
        <v>6.2365613072688848E-7</v>
      </c>
      <c r="L231" t="s">
        <v>238</v>
      </c>
      <c r="N231" t="s">
        <v>346</v>
      </c>
      <c r="O231" t="s">
        <v>2134</v>
      </c>
      <c r="P231">
        <v>2.8154272924531413E-5</v>
      </c>
      <c r="Q231" t="s">
        <v>238</v>
      </c>
      <c r="S231" t="s">
        <v>347</v>
      </c>
      <c r="T231" t="s">
        <v>2134</v>
      </c>
      <c r="U231">
        <v>8.2209896478639473E-6</v>
      </c>
      <c r="V231" t="s">
        <v>238</v>
      </c>
      <c r="X231">
        <v>1.1415525114155251E-4</v>
      </c>
      <c r="Y231">
        <v>2.1215059377304864E-5</v>
      </c>
      <c r="Z231" t="s">
        <v>2134</v>
      </c>
      <c r="AA231" t="s">
        <v>25</v>
      </c>
      <c r="AC231" t="s">
        <v>22</v>
      </c>
      <c r="AD231" t="s">
        <v>2134</v>
      </c>
      <c r="AE231">
        <v>5.4721205130923315E-5</v>
      </c>
      <c r="AG231" t="s">
        <v>97</v>
      </c>
      <c r="AH231" t="s">
        <v>2134</v>
      </c>
      <c r="AI231">
        <v>0</v>
      </c>
    </row>
    <row r="232" spans="5:35" x14ac:dyDescent="0.45">
      <c r="E232" t="s">
        <v>1919</v>
      </c>
      <c r="G232" t="s">
        <v>1822</v>
      </c>
      <c r="I232" t="s">
        <v>236</v>
      </c>
      <c r="J232" t="s">
        <v>2135</v>
      </c>
      <c r="K232">
        <v>1.072139778667E-4</v>
      </c>
      <c r="L232" t="s">
        <v>238</v>
      </c>
      <c r="N232" t="s">
        <v>346</v>
      </c>
      <c r="O232" t="s">
        <v>2135</v>
      </c>
      <c r="P232">
        <v>2.6193402159413614E-5</v>
      </c>
      <c r="Q232" t="s">
        <v>238</v>
      </c>
      <c r="S232" t="s">
        <v>347</v>
      </c>
      <c r="T232" t="s">
        <v>2135</v>
      </c>
      <c r="U232">
        <v>9.7665137584090192E-6</v>
      </c>
      <c r="V232" t="s">
        <v>238</v>
      </c>
      <c r="X232">
        <v>1.1415525114155251E-4</v>
      </c>
      <c r="Y232">
        <v>5.7678442682047593E-5</v>
      </c>
      <c r="Z232" t="s">
        <v>2135</v>
      </c>
      <c r="AA232" t="s">
        <v>25</v>
      </c>
      <c r="AC232" t="s">
        <v>22</v>
      </c>
      <c r="AD232" t="s">
        <v>2135</v>
      </c>
      <c r="AE232">
        <v>5.6859441753395832E-5</v>
      </c>
      <c r="AG232" t="s">
        <v>97</v>
      </c>
      <c r="AH232" t="s">
        <v>2135</v>
      </c>
      <c r="AI232">
        <v>0</v>
      </c>
    </row>
    <row r="233" spans="5:35" x14ac:dyDescent="0.45">
      <c r="E233" t="s">
        <v>1920</v>
      </c>
      <c r="G233" t="s">
        <v>1822</v>
      </c>
      <c r="I233" t="s">
        <v>236</v>
      </c>
      <c r="J233" t="s">
        <v>2136</v>
      </c>
      <c r="K233">
        <v>2.7435506390429998E-4</v>
      </c>
      <c r="L233" t="s">
        <v>238</v>
      </c>
      <c r="N233" t="s">
        <v>346</v>
      </c>
      <c r="O233" t="s">
        <v>2136</v>
      </c>
      <c r="P233">
        <v>1.9206328124745659E-5</v>
      </c>
      <c r="Q233" t="s">
        <v>238</v>
      </c>
      <c r="S233" t="s">
        <v>347</v>
      </c>
      <c r="T233" t="s">
        <v>2136</v>
      </c>
      <c r="U233">
        <v>1.0296113978275536E-5</v>
      </c>
      <c r="V233" t="s">
        <v>238</v>
      </c>
      <c r="X233">
        <v>1.1415525114155251E-4</v>
      </c>
      <c r="Y233">
        <v>1.6905750441289813E-4</v>
      </c>
      <c r="Z233" t="s">
        <v>2136</v>
      </c>
      <c r="AA233" t="s">
        <v>25</v>
      </c>
      <c r="AC233" t="s">
        <v>22</v>
      </c>
      <c r="AD233" t="s">
        <v>2136</v>
      </c>
      <c r="AE233">
        <v>6.7000301231020219E-5</v>
      </c>
      <c r="AG233" t="s">
        <v>97</v>
      </c>
      <c r="AH233" t="s">
        <v>2136</v>
      </c>
      <c r="AI233">
        <v>0</v>
      </c>
    </row>
    <row r="234" spans="5:35" x14ac:dyDescent="0.45">
      <c r="E234" t="s">
        <v>1921</v>
      </c>
      <c r="G234" t="s">
        <v>1822</v>
      </c>
      <c r="I234" t="s">
        <v>236</v>
      </c>
      <c r="J234" t="s">
        <v>2137</v>
      </c>
      <c r="K234">
        <v>3.9883492558600003E-4</v>
      </c>
      <c r="L234" t="s">
        <v>238</v>
      </c>
      <c r="N234" t="s">
        <v>346</v>
      </c>
      <c r="O234" t="s">
        <v>2137</v>
      </c>
      <c r="P234">
        <v>9.716300712575512E-6</v>
      </c>
      <c r="Q234" t="s">
        <v>238</v>
      </c>
      <c r="S234" t="s">
        <v>347</v>
      </c>
      <c r="T234" t="s">
        <v>2137</v>
      </c>
      <c r="U234">
        <v>8.4236305673875732E-6</v>
      </c>
      <c r="V234" t="s">
        <v>238</v>
      </c>
      <c r="X234">
        <v>1.1415525114155251E-4</v>
      </c>
      <c r="Y234">
        <v>1.9060404909297337E-4</v>
      </c>
      <c r="Z234" t="s">
        <v>2137</v>
      </c>
      <c r="AA234" t="s">
        <v>25</v>
      </c>
      <c r="AC234" t="s">
        <v>22</v>
      </c>
      <c r="AD234" t="s">
        <v>2137</v>
      </c>
      <c r="AE234">
        <v>7.5538916376255701E-5</v>
      </c>
      <c r="AG234" t="s">
        <v>97</v>
      </c>
      <c r="AH234" t="s">
        <v>2137</v>
      </c>
      <c r="AI234">
        <v>0</v>
      </c>
    </row>
    <row r="235" spans="5:35" x14ac:dyDescent="0.45">
      <c r="E235" t="s">
        <v>1922</v>
      </c>
      <c r="G235" t="s">
        <v>1822</v>
      </c>
      <c r="I235" t="s">
        <v>236</v>
      </c>
      <c r="J235" t="s">
        <v>2138</v>
      </c>
      <c r="K235">
        <v>4.8028560314989998E-4</v>
      </c>
      <c r="L235" t="s">
        <v>238</v>
      </c>
      <c r="N235" t="s">
        <v>346</v>
      </c>
      <c r="O235" t="s">
        <v>2138</v>
      </c>
      <c r="P235">
        <v>7.640202328341545E-6</v>
      </c>
      <c r="Q235" t="s">
        <v>238</v>
      </c>
      <c r="S235" t="s">
        <v>347</v>
      </c>
      <c r="T235" t="s">
        <v>2138</v>
      </c>
      <c r="U235">
        <v>7.6653083342019632E-6</v>
      </c>
      <c r="V235" t="s">
        <v>238</v>
      </c>
      <c r="X235">
        <v>1.1415525114155251E-4</v>
      </c>
      <c r="Y235">
        <v>1.4585353321897094E-4</v>
      </c>
      <c r="Z235" t="s">
        <v>2138</v>
      </c>
      <c r="AA235" t="s">
        <v>25</v>
      </c>
      <c r="AC235" t="s">
        <v>22</v>
      </c>
      <c r="AD235" t="s">
        <v>2138</v>
      </c>
      <c r="AE235">
        <v>8.6680103710774103E-5</v>
      </c>
      <c r="AG235" t="s">
        <v>97</v>
      </c>
      <c r="AH235" t="s">
        <v>2138</v>
      </c>
      <c r="AI235">
        <v>0</v>
      </c>
    </row>
    <row r="236" spans="5:35" x14ac:dyDescent="0.45">
      <c r="E236" t="s">
        <v>1923</v>
      </c>
      <c r="G236" t="s">
        <v>1822</v>
      </c>
      <c r="I236" t="s">
        <v>236</v>
      </c>
      <c r="J236" t="s">
        <v>2139</v>
      </c>
      <c r="K236">
        <v>5.2996311914850003E-4</v>
      </c>
      <c r="L236" t="s">
        <v>238</v>
      </c>
      <c r="N236" t="s">
        <v>346</v>
      </c>
      <c r="O236" t="s">
        <v>2139</v>
      </c>
      <c r="P236">
        <v>1.0785803001906076E-5</v>
      </c>
      <c r="Q236" t="s">
        <v>238</v>
      </c>
      <c r="S236" t="s">
        <v>347</v>
      </c>
      <c r="T236" t="s">
        <v>2139</v>
      </c>
      <c r="U236">
        <v>9.9477741329059564E-6</v>
      </c>
      <c r="V236" t="s">
        <v>238</v>
      </c>
      <c r="X236">
        <v>1.1415525114155251E-4</v>
      </c>
      <c r="Y236">
        <v>1.4452759200788939E-4</v>
      </c>
      <c r="Z236" t="s">
        <v>2139</v>
      </c>
      <c r="AA236" t="s">
        <v>25</v>
      </c>
      <c r="AC236" t="s">
        <v>22</v>
      </c>
      <c r="AD236" t="s">
        <v>2139</v>
      </c>
      <c r="AE236">
        <v>9.1676010457382147E-5</v>
      </c>
      <c r="AG236" t="s">
        <v>97</v>
      </c>
      <c r="AH236" t="s">
        <v>2139</v>
      </c>
      <c r="AI236">
        <v>0</v>
      </c>
    </row>
    <row r="237" spans="5:35" x14ac:dyDescent="0.45">
      <c r="E237" t="s">
        <v>1924</v>
      </c>
      <c r="G237" t="s">
        <v>1822</v>
      </c>
      <c r="I237" t="s">
        <v>236</v>
      </c>
      <c r="J237" t="s">
        <v>2140</v>
      </c>
      <c r="K237">
        <v>5.5322605771109998E-4</v>
      </c>
      <c r="L237" t="s">
        <v>238</v>
      </c>
      <c r="N237" t="s">
        <v>346</v>
      </c>
      <c r="O237" t="s">
        <v>2140</v>
      </c>
      <c r="P237">
        <v>1.3404374473478807E-5</v>
      </c>
      <c r="Q237" t="s">
        <v>238</v>
      </c>
      <c r="S237" t="s">
        <v>347</v>
      </c>
      <c r="T237" t="s">
        <v>2140</v>
      </c>
      <c r="U237">
        <v>1.4299216119703366E-5</v>
      </c>
      <c r="V237" t="s">
        <v>238</v>
      </c>
      <c r="X237">
        <v>1.1415525114155251E-4</v>
      </c>
      <c r="Y237">
        <v>1.408812536774151E-4</v>
      </c>
      <c r="Z237" t="s">
        <v>2140</v>
      </c>
      <c r="AA237" t="s">
        <v>25</v>
      </c>
      <c r="AC237" t="s">
        <v>22</v>
      </c>
      <c r="AD237" t="s">
        <v>2140</v>
      </c>
      <c r="AE237">
        <v>9.1896713165063627E-5</v>
      </c>
      <c r="AG237" t="s">
        <v>97</v>
      </c>
      <c r="AH237" t="s">
        <v>2140</v>
      </c>
      <c r="AI237">
        <v>0</v>
      </c>
    </row>
    <row r="238" spans="5:35" x14ac:dyDescent="0.45">
      <c r="E238" t="s">
        <v>1925</v>
      </c>
      <c r="G238" t="s">
        <v>1822</v>
      </c>
      <c r="I238" t="s">
        <v>236</v>
      </c>
      <c r="J238" t="s">
        <v>2141</v>
      </c>
      <c r="K238">
        <v>5.5182860231339998E-4</v>
      </c>
      <c r="L238" t="s">
        <v>238</v>
      </c>
      <c r="N238" t="s">
        <v>346</v>
      </c>
      <c r="O238" t="s">
        <v>2141</v>
      </c>
      <c r="P238">
        <v>1.1986780820858544E-5</v>
      </c>
      <c r="Q238" t="s">
        <v>238</v>
      </c>
      <c r="S238" t="s">
        <v>347</v>
      </c>
      <c r="T238" t="s">
        <v>2141</v>
      </c>
      <c r="U238">
        <v>1.4265993605417024E-5</v>
      </c>
      <c r="V238" t="s">
        <v>238</v>
      </c>
      <c r="X238">
        <v>1.1415525114155251E-4</v>
      </c>
      <c r="Y238">
        <v>1.4054976837464471E-4</v>
      </c>
      <c r="Z238" t="s">
        <v>2141</v>
      </c>
      <c r="AA238" t="s">
        <v>25</v>
      </c>
      <c r="AC238" t="s">
        <v>22</v>
      </c>
      <c r="AD238" t="s">
        <v>2141</v>
      </c>
      <c r="AE238">
        <v>9.2120282141676036E-5</v>
      </c>
      <c r="AG238" t="s">
        <v>97</v>
      </c>
      <c r="AH238" t="s">
        <v>2141</v>
      </c>
      <c r="AI238">
        <v>0</v>
      </c>
    </row>
    <row r="239" spans="5:35" x14ac:dyDescent="0.45">
      <c r="E239" t="s">
        <v>1926</v>
      </c>
      <c r="G239" t="s">
        <v>1822</v>
      </c>
      <c r="I239" t="s">
        <v>236</v>
      </c>
      <c r="J239" t="s">
        <v>2142</v>
      </c>
      <c r="K239">
        <v>5.2980622727460003E-4</v>
      </c>
      <c r="L239" t="s">
        <v>238</v>
      </c>
      <c r="N239" t="s">
        <v>346</v>
      </c>
      <c r="O239" t="s">
        <v>2142</v>
      </c>
      <c r="P239">
        <v>1.4638222936072771E-5</v>
      </c>
      <c r="Q239" t="s">
        <v>238</v>
      </c>
      <c r="S239" t="s">
        <v>347</v>
      </c>
      <c r="T239" t="s">
        <v>2142</v>
      </c>
      <c r="U239">
        <v>1.651430476755528E-5</v>
      </c>
      <c r="V239" t="s">
        <v>238</v>
      </c>
      <c r="X239">
        <v>1.1415525114155251E-4</v>
      </c>
      <c r="Y239">
        <v>1.4253868019126702E-4</v>
      </c>
      <c r="Z239" t="s">
        <v>2142</v>
      </c>
      <c r="AA239" t="s">
        <v>25</v>
      </c>
      <c r="AC239" t="s">
        <v>22</v>
      </c>
      <c r="AD239" t="s">
        <v>2142</v>
      </c>
      <c r="AE239">
        <v>9.259608278421013E-5</v>
      </c>
      <c r="AG239" t="s">
        <v>97</v>
      </c>
      <c r="AH239" t="s">
        <v>2142</v>
      </c>
      <c r="AI239">
        <v>0</v>
      </c>
    </row>
    <row r="240" spans="5:35" x14ac:dyDescent="0.45">
      <c r="E240" t="s">
        <v>1927</v>
      </c>
      <c r="G240" t="s">
        <v>1822</v>
      </c>
      <c r="I240" t="s">
        <v>236</v>
      </c>
      <c r="J240" t="s">
        <v>2143</v>
      </c>
      <c r="K240">
        <v>5.3486647014680002E-4</v>
      </c>
      <c r="L240" t="s">
        <v>238</v>
      </c>
      <c r="N240" t="s">
        <v>346</v>
      </c>
      <c r="O240" t="s">
        <v>2143</v>
      </c>
      <c r="P240">
        <v>1.6518250210882632E-5</v>
      </c>
      <c r="Q240" t="s">
        <v>238</v>
      </c>
      <c r="S240" t="s">
        <v>347</v>
      </c>
      <c r="T240" t="s">
        <v>2143</v>
      </c>
      <c r="U240">
        <v>1.8274711751458083E-5</v>
      </c>
      <c r="V240" t="s">
        <v>238</v>
      </c>
      <c r="X240">
        <v>1.1415525114155251E-4</v>
      </c>
      <c r="Y240">
        <v>1.4883690094390442E-4</v>
      </c>
      <c r="Z240" t="s">
        <v>2143</v>
      </c>
      <c r="AA240" t="s">
        <v>25</v>
      </c>
      <c r="AC240" t="s">
        <v>22</v>
      </c>
      <c r="AD240" t="s">
        <v>2143</v>
      </c>
      <c r="AE240">
        <v>9.0776002013070659E-5</v>
      </c>
      <c r="AG240" t="s">
        <v>97</v>
      </c>
      <c r="AH240" t="s">
        <v>2143</v>
      </c>
      <c r="AI240">
        <v>0</v>
      </c>
    </row>
    <row r="241" spans="5:35" x14ac:dyDescent="0.45">
      <c r="E241" t="s">
        <v>1928</v>
      </c>
      <c r="G241" t="s">
        <v>1822</v>
      </c>
      <c r="I241" t="s">
        <v>236</v>
      </c>
      <c r="J241" t="s">
        <v>2144</v>
      </c>
      <c r="K241">
        <v>5.4377824451970003E-4</v>
      </c>
      <c r="L241" t="s">
        <v>238</v>
      </c>
      <c r="N241" t="s">
        <v>346</v>
      </c>
      <c r="O241" t="s">
        <v>2144</v>
      </c>
      <c r="P241">
        <v>1.659247422310759E-5</v>
      </c>
      <c r="Q241" t="s">
        <v>238</v>
      </c>
      <c r="S241" t="s">
        <v>347</v>
      </c>
      <c r="T241" t="s">
        <v>2144</v>
      </c>
      <c r="U241">
        <v>1.8859244826016905E-5</v>
      </c>
      <c r="V241" t="s">
        <v>238</v>
      </c>
      <c r="X241">
        <v>1.1415525114155251E-4</v>
      </c>
      <c r="Y241">
        <v>1.5049432745775637E-4</v>
      </c>
      <c r="Z241" t="s">
        <v>2144</v>
      </c>
      <c r="AA241" t="s">
        <v>25</v>
      </c>
      <c r="AC241" t="s">
        <v>22</v>
      </c>
      <c r="AD241" t="s">
        <v>2144</v>
      </c>
      <c r="AE241">
        <v>9.0463578699599462E-5</v>
      </c>
      <c r="AG241" t="s">
        <v>97</v>
      </c>
      <c r="AH241" t="s">
        <v>2144</v>
      </c>
      <c r="AI241">
        <v>0</v>
      </c>
    </row>
    <row r="242" spans="5:35" x14ac:dyDescent="0.45">
      <c r="E242" t="s">
        <v>1929</v>
      </c>
      <c r="G242" t="s">
        <v>1822</v>
      </c>
      <c r="I242" t="s">
        <v>236</v>
      </c>
      <c r="J242" t="s">
        <v>2145</v>
      </c>
      <c r="K242">
        <v>5.3332416926559997E-4</v>
      </c>
      <c r="L242" t="s">
        <v>238</v>
      </c>
      <c r="N242" t="s">
        <v>346</v>
      </c>
      <c r="O242" t="s">
        <v>2145</v>
      </c>
      <c r="P242">
        <v>1.5914245434689076E-5</v>
      </c>
      <c r="Q242" t="s">
        <v>238</v>
      </c>
      <c r="S242" t="s">
        <v>347</v>
      </c>
      <c r="T242" t="s">
        <v>2145</v>
      </c>
      <c r="U242">
        <v>1.9364090374116871E-5</v>
      </c>
      <c r="V242" t="s">
        <v>238</v>
      </c>
      <c r="X242">
        <v>1.1415525114155251E-4</v>
      </c>
      <c r="Y242">
        <v>1.7237235744060203E-4</v>
      </c>
      <c r="Z242" t="s">
        <v>2145</v>
      </c>
      <c r="AA242" t="s">
        <v>25</v>
      </c>
      <c r="AC242" t="s">
        <v>22</v>
      </c>
      <c r="AD242" t="s">
        <v>2145</v>
      </c>
      <c r="AE242">
        <v>9.1211674890571764E-5</v>
      </c>
      <c r="AG242" t="s">
        <v>97</v>
      </c>
      <c r="AH242" t="s">
        <v>2145</v>
      </c>
      <c r="AI242">
        <v>0</v>
      </c>
    </row>
    <row r="243" spans="5:35" x14ac:dyDescent="0.45">
      <c r="E243" t="s">
        <v>1930</v>
      </c>
      <c r="G243" t="s">
        <v>1822</v>
      </c>
      <c r="I243" t="s">
        <v>236</v>
      </c>
      <c r="J243" t="s">
        <v>2146</v>
      </c>
      <c r="K243">
        <v>4.9377085261689997E-4</v>
      </c>
      <c r="L243" t="s">
        <v>238</v>
      </c>
      <c r="N243" t="s">
        <v>346</v>
      </c>
      <c r="O243" t="s">
        <v>2146</v>
      </c>
      <c r="P243">
        <v>1.6064406914669173E-5</v>
      </c>
      <c r="Q243" t="s">
        <v>238</v>
      </c>
      <c r="S243" t="s">
        <v>347</v>
      </c>
      <c r="T243" t="s">
        <v>2146</v>
      </c>
      <c r="U243">
        <v>2.0299620616046669E-5</v>
      </c>
      <c r="V243" t="s">
        <v>238</v>
      </c>
      <c r="X243">
        <v>1.1415525114155251E-4</v>
      </c>
      <c r="Y243">
        <v>2.2209515285616027E-4</v>
      </c>
      <c r="Z243" t="s">
        <v>2146</v>
      </c>
      <c r="AA243" t="s">
        <v>25</v>
      </c>
      <c r="AC243" t="s">
        <v>22</v>
      </c>
      <c r="AD243" t="s">
        <v>2146</v>
      </c>
      <c r="AE243">
        <v>9.2017096460162608E-5</v>
      </c>
      <c r="AG243" t="s">
        <v>97</v>
      </c>
      <c r="AH243" t="s">
        <v>2146</v>
      </c>
      <c r="AI243">
        <v>0</v>
      </c>
    </row>
    <row r="244" spans="5:35" x14ac:dyDescent="0.45">
      <c r="E244" t="s">
        <v>1931</v>
      </c>
      <c r="G244" t="s">
        <v>1822</v>
      </c>
      <c r="I244" t="s">
        <v>236</v>
      </c>
      <c r="J244" t="s">
        <v>2147</v>
      </c>
      <c r="K244">
        <v>4.3440101270210001E-4</v>
      </c>
      <c r="L244" t="s">
        <v>238</v>
      </c>
      <c r="N244" t="s">
        <v>346</v>
      </c>
      <c r="O244" t="s">
        <v>2147</v>
      </c>
      <c r="P244">
        <v>1.7602376355383238E-5</v>
      </c>
      <c r="Q244" t="s">
        <v>238</v>
      </c>
      <c r="S244" t="s">
        <v>347</v>
      </c>
      <c r="T244" t="s">
        <v>2147</v>
      </c>
      <c r="U244">
        <v>2.2300910368918338E-5</v>
      </c>
      <c r="V244" t="s">
        <v>238</v>
      </c>
      <c r="X244">
        <v>1.1415525114155251E-4</v>
      </c>
      <c r="Y244">
        <v>2.2209515285616027E-4</v>
      </c>
      <c r="Z244" t="s">
        <v>2147</v>
      </c>
      <c r="AA244" t="s">
        <v>25</v>
      </c>
      <c r="AC244" t="s">
        <v>22</v>
      </c>
      <c r="AD244" t="s">
        <v>2147</v>
      </c>
      <c r="AE244">
        <v>9.1446708942907883E-5</v>
      </c>
      <c r="AG244" t="s">
        <v>97</v>
      </c>
      <c r="AH244" t="s">
        <v>2147</v>
      </c>
      <c r="AI244">
        <v>0</v>
      </c>
    </row>
    <row r="245" spans="5:35" x14ac:dyDescent="0.45">
      <c r="E245" t="s">
        <v>1932</v>
      </c>
      <c r="G245" t="s">
        <v>1822</v>
      </c>
      <c r="I245" t="s">
        <v>236</v>
      </c>
      <c r="J245" t="s">
        <v>2148</v>
      </c>
      <c r="K245">
        <v>3.385312630171E-4</v>
      </c>
      <c r="L245" t="s">
        <v>238</v>
      </c>
      <c r="N245" t="s">
        <v>346</v>
      </c>
      <c r="O245" t="s">
        <v>2148</v>
      </c>
      <c r="P245">
        <v>2.2968930070292769E-5</v>
      </c>
      <c r="Q245" t="s">
        <v>238</v>
      </c>
      <c r="S245" t="s">
        <v>347</v>
      </c>
      <c r="T245" t="s">
        <v>2148</v>
      </c>
      <c r="U245">
        <v>2.4056867008984438E-5</v>
      </c>
      <c r="V245" t="s">
        <v>238</v>
      </c>
      <c r="X245">
        <v>1.1415525114155251E-4</v>
      </c>
      <c r="Y245">
        <v>1.7237235744060203E-4</v>
      </c>
      <c r="Z245" t="s">
        <v>2148</v>
      </c>
      <c r="AA245" t="s">
        <v>25</v>
      </c>
      <c r="AC245" t="s">
        <v>22</v>
      </c>
      <c r="AD245" t="s">
        <v>2148</v>
      </c>
      <c r="AE245">
        <v>9.1870916744685264E-5</v>
      </c>
      <c r="AG245" t="s">
        <v>97</v>
      </c>
      <c r="AH245" t="s">
        <v>2148</v>
      </c>
      <c r="AI245">
        <v>0</v>
      </c>
    </row>
    <row r="246" spans="5:35" x14ac:dyDescent="0.45">
      <c r="E246" t="s">
        <v>1933</v>
      </c>
      <c r="G246" t="s">
        <v>1822</v>
      </c>
      <c r="I246" t="s">
        <v>236</v>
      </c>
      <c r="J246" t="s">
        <v>2149</v>
      </c>
      <c r="K246">
        <v>2.149525345539E-4</v>
      </c>
      <c r="L246" t="s">
        <v>238</v>
      </c>
      <c r="N246" t="s">
        <v>346</v>
      </c>
      <c r="O246" t="s">
        <v>2149</v>
      </c>
      <c r="P246">
        <v>3.3127678542241163E-5</v>
      </c>
      <c r="Q246" t="s">
        <v>238</v>
      </c>
      <c r="S246" t="s">
        <v>347</v>
      </c>
      <c r="T246" t="s">
        <v>2149</v>
      </c>
      <c r="U246">
        <v>2.5006550176764028E-5</v>
      </c>
      <c r="V246" t="s">
        <v>238</v>
      </c>
      <c r="X246">
        <v>1.1415525114155251E-4</v>
      </c>
      <c r="Y246">
        <v>1.5579809230208258E-4</v>
      </c>
      <c r="Z246" t="s">
        <v>2149</v>
      </c>
      <c r="AA246" t="s">
        <v>25</v>
      </c>
      <c r="AC246" t="s">
        <v>22</v>
      </c>
      <c r="AD246" t="s">
        <v>2149</v>
      </c>
      <c r="AE246">
        <v>9.1386517295358386E-5</v>
      </c>
      <c r="AG246" t="s">
        <v>97</v>
      </c>
      <c r="AH246" t="s">
        <v>2149</v>
      </c>
      <c r="AI246">
        <v>0</v>
      </c>
    </row>
    <row r="247" spans="5:35" x14ac:dyDescent="0.45">
      <c r="E247" t="s">
        <v>1934</v>
      </c>
      <c r="G247" t="s">
        <v>1822</v>
      </c>
      <c r="I247" t="s">
        <v>236</v>
      </c>
      <c r="J247" t="s">
        <v>2150</v>
      </c>
      <c r="K247">
        <v>5.8255868375838261E-5</v>
      </c>
      <c r="L247" t="s">
        <v>238</v>
      </c>
      <c r="N247" t="s">
        <v>346</v>
      </c>
      <c r="O247" t="s">
        <v>2150</v>
      </c>
      <c r="P247">
        <v>4.0620087388836429E-5</v>
      </c>
      <c r="Q247" t="s">
        <v>238</v>
      </c>
      <c r="S247" t="s">
        <v>347</v>
      </c>
      <c r="T247" t="s">
        <v>2150</v>
      </c>
      <c r="U247">
        <v>2.434855341039916E-5</v>
      </c>
      <c r="V247" t="s">
        <v>238</v>
      </c>
      <c r="X247">
        <v>1.1415525114155251E-4</v>
      </c>
      <c r="Y247">
        <v>1.093901499142282E-4</v>
      </c>
      <c r="Z247" t="s">
        <v>2150</v>
      </c>
      <c r="AA247" t="s">
        <v>25</v>
      </c>
      <c r="AC247" t="s">
        <v>22</v>
      </c>
      <c r="AD247" t="s">
        <v>2150</v>
      </c>
      <c r="AE247">
        <v>8.9125031108855941E-5</v>
      </c>
      <c r="AG247" t="s">
        <v>97</v>
      </c>
      <c r="AH247" t="s">
        <v>2150</v>
      </c>
      <c r="AI247">
        <v>0</v>
      </c>
    </row>
    <row r="248" spans="5:35" x14ac:dyDescent="0.45">
      <c r="E248" t="s">
        <v>1935</v>
      </c>
      <c r="G248" t="s">
        <v>1822</v>
      </c>
      <c r="I248" t="s">
        <v>236</v>
      </c>
      <c r="J248" t="s">
        <v>2151</v>
      </c>
      <c r="K248">
        <v>0</v>
      </c>
      <c r="L248" t="s">
        <v>238</v>
      </c>
      <c r="N248" t="s">
        <v>346</v>
      </c>
      <c r="O248" t="s">
        <v>2151</v>
      </c>
      <c r="P248">
        <v>4.058940724247727E-5</v>
      </c>
      <c r="Q248" t="s">
        <v>238</v>
      </c>
      <c r="S248" t="s">
        <v>347</v>
      </c>
      <c r="T248" t="s">
        <v>2151</v>
      </c>
      <c r="U248">
        <v>2.2226328703920511E-5</v>
      </c>
      <c r="V248" t="s">
        <v>238</v>
      </c>
      <c r="X248">
        <v>1.1415525114155251E-4</v>
      </c>
      <c r="Y248">
        <v>7.9556472664893237E-5</v>
      </c>
      <c r="Z248" t="s">
        <v>2151</v>
      </c>
      <c r="AA248" t="s">
        <v>25</v>
      </c>
      <c r="AC248" t="s">
        <v>22</v>
      </c>
      <c r="AD248" t="s">
        <v>2151</v>
      </c>
      <c r="AE248">
        <v>8.7067050016449422E-5</v>
      </c>
      <c r="AG248" t="s">
        <v>97</v>
      </c>
      <c r="AH248" t="s">
        <v>2151</v>
      </c>
      <c r="AI248">
        <v>0</v>
      </c>
    </row>
    <row r="249" spans="5:35" x14ac:dyDescent="0.45">
      <c r="E249" t="s">
        <v>1936</v>
      </c>
      <c r="G249" t="s">
        <v>1822</v>
      </c>
      <c r="I249" t="s">
        <v>236</v>
      </c>
      <c r="J249" t="s">
        <v>2152</v>
      </c>
      <c r="K249">
        <v>0</v>
      </c>
      <c r="L249" t="s">
        <v>238</v>
      </c>
      <c r="N249" t="s">
        <v>346</v>
      </c>
      <c r="O249" t="s">
        <v>2152</v>
      </c>
      <c r="P249">
        <v>4.099800687262415E-5</v>
      </c>
      <c r="Q249" t="s">
        <v>238</v>
      </c>
      <c r="S249" t="s">
        <v>347</v>
      </c>
      <c r="T249" t="s">
        <v>2152</v>
      </c>
      <c r="U249">
        <v>2.3918009228775744E-5</v>
      </c>
      <c r="V249" t="s">
        <v>238</v>
      </c>
      <c r="X249">
        <v>1.1415525114155251E-4</v>
      </c>
      <c r="Y249">
        <v>5.6352501470966035E-5</v>
      </c>
      <c r="Z249" t="s">
        <v>2152</v>
      </c>
      <c r="AA249" t="s">
        <v>25</v>
      </c>
      <c r="AC249" t="s">
        <v>22</v>
      </c>
      <c r="AD249" t="s">
        <v>2152</v>
      </c>
      <c r="AE249">
        <v>9.9357611192270044E-5</v>
      </c>
      <c r="AG249" t="s">
        <v>97</v>
      </c>
      <c r="AH249" t="s">
        <v>2152</v>
      </c>
      <c r="AI249">
        <v>0</v>
      </c>
    </row>
    <row r="250" spans="5:35" x14ac:dyDescent="0.45">
      <c r="E250" t="s">
        <v>1937</v>
      </c>
      <c r="G250" t="s">
        <v>1822</v>
      </c>
      <c r="I250" t="s">
        <v>236</v>
      </c>
      <c r="J250" t="s">
        <v>2153</v>
      </c>
      <c r="K250">
        <v>0</v>
      </c>
      <c r="L250" t="s">
        <v>238</v>
      </c>
      <c r="N250" t="s">
        <v>346</v>
      </c>
      <c r="O250" t="s">
        <v>2153</v>
      </c>
      <c r="P250">
        <v>3.4116422149115899E-5</v>
      </c>
      <c r="Q250" t="s">
        <v>238</v>
      </c>
      <c r="S250" t="s">
        <v>347</v>
      </c>
      <c r="T250" t="s">
        <v>2153</v>
      </c>
      <c r="U250">
        <v>1.8643389733968697E-5</v>
      </c>
      <c r="V250" t="s">
        <v>238</v>
      </c>
      <c r="X250">
        <v>1.1415525114155251E-4</v>
      </c>
      <c r="Y250">
        <v>2.9833677249334962E-5</v>
      </c>
      <c r="Z250" t="s">
        <v>2153</v>
      </c>
      <c r="AA250" t="s">
        <v>25</v>
      </c>
      <c r="AC250" t="s">
        <v>22</v>
      </c>
      <c r="AD250" t="s">
        <v>2153</v>
      </c>
      <c r="AE250">
        <v>8.0818583747025677E-5</v>
      </c>
      <c r="AG250" t="s">
        <v>97</v>
      </c>
      <c r="AH250" t="s">
        <v>2153</v>
      </c>
      <c r="AI250">
        <v>0</v>
      </c>
    </row>
    <row r="251" spans="5:35" x14ac:dyDescent="0.45">
      <c r="E251" t="s">
        <v>439</v>
      </c>
      <c r="G251" t="s">
        <v>1824</v>
      </c>
      <c r="I251" t="s">
        <v>236</v>
      </c>
      <c r="J251" t="s">
        <v>2154</v>
      </c>
      <c r="K251">
        <v>0</v>
      </c>
      <c r="L251" t="s">
        <v>238</v>
      </c>
      <c r="N251" t="s">
        <v>346</v>
      </c>
      <c r="O251" t="s">
        <v>2154</v>
      </c>
      <c r="P251">
        <v>2.8439024429614009E-5</v>
      </c>
      <c r="Q251" t="s">
        <v>238</v>
      </c>
      <c r="S251" t="s">
        <v>347</v>
      </c>
      <c r="T251" t="s">
        <v>2154</v>
      </c>
      <c r="U251">
        <v>1.4764135202726117E-5</v>
      </c>
      <c r="V251" t="s">
        <v>238</v>
      </c>
      <c r="X251">
        <v>1.1415525114155251E-4</v>
      </c>
      <c r="Y251">
        <v>2.1546544680075254E-5</v>
      </c>
      <c r="Z251" t="s">
        <v>2154</v>
      </c>
      <c r="AA251" t="s">
        <v>25</v>
      </c>
      <c r="AC251" t="s">
        <v>22</v>
      </c>
      <c r="AD251" t="s">
        <v>2154</v>
      </c>
      <c r="AE251">
        <v>6.7679606967650254E-5</v>
      </c>
      <c r="AG251" t="s">
        <v>97</v>
      </c>
      <c r="AH251" t="s">
        <v>2154</v>
      </c>
      <c r="AI251">
        <v>0</v>
      </c>
    </row>
    <row r="252" spans="5:35" x14ac:dyDescent="0.45">
      <c r="E252" t="s">
        <v>440</v>
      </c>
      <c r="G252" t="s">
        <v>1824</v>
      </c>
      <c r="I252" t="s">
        <v>236</v>
      </c>
      <c r="J252" t="s">
        <v>2155</v>
      </c>
      <c r="K252">
        <v>0</v>
      </c>
      <c r="L252" t="s">
        <v>238</v>
      </c>
      <c r="N252" t="s">
        <v>346</v>
      </c>
      <c r="O252" t="s">
        <v>2155</v>
      </c>
      <c r="P252">
        <v>2.482934090891142E-5</v>
      </c>
      <c r="Q252" t="s">
        <v>238</v>
      </c>
      <c r="S252" t="s">
        <v>347</v>
      </c>
      <c r="T252" t="s">
        <v>2155</v>
      </c>
      <c r="U252">
        <v>1.4237159897864258E-5</v>
      </c>
      <c r="V252" t="s">
        <v>238</v>
      </c>
      <c r="X252">
        <v>1.1415525114155251E-4</v>
      </c>
      <c r="Y252">
        <v>1.4916838624667481E-5</v>
      </c>
      <c r="Z252" t="s">
        <v>2155</v>
      </c>
      <c r="AA252" t="s">
        <v>25</v>
      </c>
      <c r="AC252" t="s">
        <v>22</v>
      </c>
      <c r="AD252" t="s">
        <v>2155</v>
      </c>
      <c r="AE252">
        <v>6.4870663415340492E-5</v>
      </c>
      <c r="AG252" t="s">
        <v>97</v>
      </c>
      <c r="AH252" t="s">
        <v>2155</v>
      </c>
      <c r="AI252">
        <v>0</v>
      </c>
    </row>
    <row r="253" spans="5:35" x14ac:dyDescent="0.45">
      <c r="E253" t="s">
        <v>441</v>
      </c>
      <c r="G253" t="s">
        <v>1824</v>
      </c>
      <c r="I253" t="s">
        <v>236</v>
      </c>
      <c r="J253" t="s">
        <v>2156</v>
      </c>
      <c r="K253">
        <v>0</v>
      </c>
      <c r="L253" t="s">
        <v>238</v>
      </c>
      <c r="N253" t="s">
        <v>346</v>
      </c>
      <c r="O253" t="s">
        <v>2156</v>
      </c>
      <c r="P253">
        <v>2.1160911116713665E-5</v>
      </c>
      <c r="Q253" t="s">
        <v>238</v>
      </c>
      <c r="S253" t="s">
        <v>347</v>
      </c>
      <c r="T253" t="s">
        <v>2156</v>
      </c>
      <c r="U253">
        <v>1.5247543038971204E-5</v>
      </c>
      <c r="V253" t="s">
        <v>238</v>
      </c>
      <c r="X253">
        <v>1.1415525114155251E-4</v>
      </c>
      <c r="Y253">
        <v>1.6574265138519424E-5</v>
      </c>
      <c r="Z253" t="s">
        <v>2156</v>
      </c>
      <c r="AA253" t="s">
        <v>25</v>
      </c>
      <c r="AC253" t="s">
        <v>22</v>
      </c>
      <c r="AD253" t="s">
        <v>2156</v>
      </c>
      <c r="AE253">
        <v>6.4870663415340492E-5</v>
      </c>
      <c r="AG253" t="s">
        <v>97</v>
      </c>
      <c r="AH253" t="s">
        <v>2156</v>
      </c>
      <c r="AI253">
        <v>0</v>
      </c>
    </row>
    <row r="254" spans="5:35" x14ac:dyDescent="0.45">
      <c r="E254" t="s">
        <v>442</v>
      </c>
      <c r="G254" t="s">
        <v>1824</v>
      </c>
      <c r="I254" t="s">
        <v>236</v>
      </c>
      <c r="J254" t="s">
        <v>2157</v>
      </c>
      <c r="K254">
        <v>0</v>
      </c>
      <c r="L254" t="s">
        <v>238</v>
      </c>
      <c r="N254" t="s">
        <v>346</v>
      </c>
      <c r="O254" t="s">
        <v>2157</v>
      </c>
      <c r="P254">
        <v>1.8188128285928182E-5</v>
      </c>
      <c r="Q254" t="s">
        <v>238</v>
      </c>
      <c r="S254" t="s">
        <v>347</v>
      </c>
      <c r="T254" t="s">
        <v>2157</v>
      </c>
      <c r="U254">
        <v>1.646410137286928E-5</v>
      </c>
      <c r="V254" t="s">
        <v>238</v>
      </c>
      <c r="X254">
        <v>1.1415525114155251E-4</v>
      </c>
      <c r="Y254">
        <v>1.4585353321897093E-5</v>
      </c>
      <c r="Z254" t="s">
        <v>2157</v>
      </c>
      <c r="AA254" t="s">
        <v>25</v>
      </c>
      <c r="AC254" t="s">
        <v>22</v>
      </c>
      <c r="AD254" t="s">
        <v>2157</v>
      </c>
      <c r="AE254">
        <v>6.5269074796739536E-5</v>
      </c>
      <c r="AG254" t="s">
        <v>97</v>
      </c>
      <c r="AH254" t="s">
        <v>2157</v>
      </c>
      <c r="AI254">
        <v>0</v>
      </c>
    </row>
    <row r="255" spans="5:35" x14ac:dyDescent="0.45">
      <c r="E255" t="s">
        <v>443</v>
      </c>
      <c r="G255" t="s">
        <v>1824</v>
      </c>
      <c r="I255" t="s">
        <v>236</v>
      </c>
      <c r="J255" t="s">
        <v>2158</v>
      </c>
      <c r="K255">
        <v>6.3135585985271429E-7</v>
      </c>
      <c r="L255" t="s">
        <v>238</v>
      </c>
      <c r="N255" t="s">
        <v>346</v>
      </c>
      <c r="O255" t="s">
        <v>2158</v>
      </c>
      <c r="P255">
        <v>1.5359449889583462E-5</v>
      </c>
      <c r="Q255" t="s">
        <v>238</v>
      </c>
      <c r="S255" t="s">
        <v>347</v>
      </c>
      <c r="T255" t="s">
        <v>2158</v>
      </c>
      <c r="U255">
        <v>1.6661171344091871E-5</v>
      </c>
      <c r="V255" t="s">
        <v>238</v>
      </c>
      <c r="X255">
        <v>1.1415525114155251E-4</v>
      </c>
      <c r="Y255">
        <v>2.1215059377304864E-5</v>
      </c>
      <c r="Z255" t="s">
        <v>2158</v>
      </c>
      <c r="AA255" t="s">
        <v>25</v>
      </c>
      <c r="AC255" t="s">
        <v>22</v>
      </c>
      <c r="AD255" t="s">
        <v>2158</v>
      </c>
      <c r="AE255">
        <v>7.3030931061693411E-5</v>
      </c>
      <c r="AG255" t="s">
        <v>97</v>
      </c>
      <c r="AH255" t="s">
        <v>2158</v>
      </c>
      <c r="AI255">
        <v>0</v>
      </c>
    </row>
    <row r="256" spans="5:35" x14ac:dyDescent="0.45">
      <c r="E256" t="s">
        <v>444</v>
      </c>
      <c r="G256" t="s">
        <v>1824</v>
      </c>
      <c r="I256" t="s">
        <v>236</v>
      </c>
      <c r="J256" t="s">
        <v>2159</v>
      </c>
      <c r="K256">
        <v>1.1068150503500001E-4</v>
      </c>
      <c r="L256" t="s">
        <v>238</v>
      </c>
      <c r="N256" t="s">
        <v>346</v>
      </c>
      <c r="O256" t="s">
        <v>2159</v>
      </c>
      <c r="P256">
        <v>1.2995403640146162E-5</v>
      </c>
      <c r="Q256" t="s">
        <v>238</v>
      </c>
      <c r="S256" t="s">
        <v>347</v>
      </c>
      <c r="T256" t="s">
        <v>2159</v>
      </c>
      <c r="U256">
        <v>1.5841725018270172E-5</v>
      </c>
      <c r="V256" t="s">
        <v>238</v>
      </c>
      <c r="X256">
        <v>1.1415525114155251E-4</v>
      </c>
      <c r="Y256">
        <v>5.7678442682047593E-5</v>
      </c>
      <c r="Z256" t="s">
        <v>2159</v>
      </c>
      <c r="AA256" t="s">
        <v>25</v>
      </c>
      <c r="AC256" t="s">
        <v>22</v>
      </c>
      <c r="AD256" t="s">
        <v>2159</v>
      </c>
      <c r="AE256">
        <v>9.4189728309806279E-5</v>
      </c>
      <c r="AG256" t="s">
        <v>97</v>
      </c>
      <c r="AH256" t="s">
        <v>2159</v>
      </c>
      <c r="AI256">
        <v>0</v>
      </c>
    </row>
    <row r="257" spans="5:35" x14ac:dyDescent="0.45">
      <c r="E257" t="s">
        <v>445</v>
      </c>
      <c r="G257" t="s">
        <v>1824</v>
      </c>
      <c r="I257" t="s">
        <v>236</v>
      </c>
      <c r="J257" t="s">
        <v>2160</v>
      </c>
      <c r="K257">
        <v>2.8190054888340002E-4</v>
      </c>
      <c r="L257" t="s">
        <v>238</v>
      </c>
      <c r="N257" t="s">
        <v>346</v>
      </c>
      <c r="O257" t="s">
        <v>2160</v>
      </c>
      <c r="P257">
        <v>7.4718442214721857E-6</v>
      </c>
      <c r="Q257" t="s">
        <v>238</v>
      </c>
      <c r="S257" t="s">
        <v>347</v>
      </c>
      <c r="T257" t="s">
        <v>2160</v>
      </c>
      <c r="U257">
        <v>1.3290362871574324E-5</v>
      </c>
      <c r="V257" t="s">
        <v>238</v>
      </c>
      <c r="X257">
        <v>1.1415525114155251E-4</v>
      </c>
      <c r="Y257">
        <v>1.6905750441289813E-4</v>
      </c>
      <c r="Z257" t="s">
        <v>2160</v>
      </c>
      <c r="AA257" t="s">
        <v>25</v>
      </c>
      <c r="AC257" t="s">
        <v>22</v>
      </c>
      <c r="AD257" t="s">
        <v>2160</v>
      </c>
      <c r="AE257">
        <v>1.1214403689314128E-4</v>
      </c>
      <c r="AG257" t="s">
        <v>97</v>
      </c>
      <c r="AH257" t="s">
        <v>2160</v>
      </c>
      <c r="AI257">
        <v>0</v>
      </c>
    </row>
    <row r="258" spans="5:35" x14ac:dyDescent="0.45">
      <c r="E258" t="s">
        <v>446</v>
      </c>
      <c r="G258" t="s">
        <v>1824</v>
      </c>
      <c r="I258" t="s">
        <v>236</v>
      </c>
      <c r="J258" t="s">
        <v>2161</v>
      </c>
      <c r="K258">
        <v>4.013672825898E-4</v>
      </c>
      <c r="L258" t="s">
        <v>238</v>
      </c>
      <c r="N258" t="s">
        <v>346</v>
      </c>
      <c r="O258" t="s">
        <v>2161</v>
      </c>
      <c r="P258">
        <v>1.1291775505999558E-6</v>
      </c>
      <c r="Q258" t="s">
        <v>238</v>
      </c>
      <c r="S258" t="s">
        <v>347</v>
      </c>
      <c r="T258" t="s">
        <v>2161</v>
      </c>
      <c r="U258">
        <v>1.0241743245699064E-5</v>
      </c>
      <c r="V258" t="s">
        <v>238</v>
      </c>
      <c r="X258">
        <v>1.1415525114155251E-4</v>
      </c>
      <c r="Y258">
        <v>1.9060404909297337E-4</v>
      </c>
      <c r="Z258" t="s">
        <v>2161</v>
      </c>
      <c r="AA258" t="s">
        <v>25</v>
      </c>
      <c r="AC258" t="s">
        <v>22</v>
      </c>
      <c r="AD258" t="s">
        <v>2161</v>
      </c>
      <c r="AE258">
        <v>1.2412790729335259E-4</v>
      </c>
      <c r="AG258" t="s">
        <v>97</v>
      </c>
      <c r="AH258" t="s">
        <v>2161</v>
      </c>
      <c r="AI258">
        <v>0</v>
      </c>
    </row>
    <row r="259" spans="5:35" x14ac:dyDescent="0.45">
      <c r="E259" t="s">
        <v>447</v>
      </c>
      <c r="G259" t="s">
        <v>1824</v>
      </c>
      <c r="I259" t="s">
        <v>236</v>
      </c>
      <c r="J259" t="s">
        <v>2162</v>
      </c>
      <c r="K259">
        <v>4.7800154739070002E-4</v>
      </c>
      <c r="L259" t="s">
        <v>238</v>
      </c>
      <c r="N259" t="s">
        <v>346</v>
      </c>
      <c r="O259" t="s">
        <v>2162</v>
      </c>
      <c r="P259">
        <v>5.4424819785674687E-7</v>
      </c>
      <c r="Q259" t="s">
        <v>238</v>
      </c>
      <c r="S259" t="s">
        <v>347</v>
      </c>
      <c r="T259" t="s">
        <v>2162</v>
      </c>
      <c r="U259">
        <v>7.3266540861570697E-6</v>
      </c>
      <c r="V259" t="s">
        <v>238</v>
      </c>
      <c r="X259">
        <v>1.1415525114155251E-4</v>
      </c>
      <c r="Y259">
        <v>1.4585353321897094E-4</v>
      </c>
      <c r="Z259" t="s">
        <v>2162</v>
      </c>
      <c r="AA259" t="s">
        <v>25</v>
      </c>
      <c r="AC259" t="s">
        <v>22</v>
      </c>
      <c r="AD259" t="s">
        <v>2162</v>
      </c>
      <c r="AE259">
        <v>1.2855915906056774E-4</v>
      </c>
      <c r="AG259" t="s">
        <v>97</v>
      </c>
      <c r="AH259" t="s">
        <v>2162</v>
      </c>
      <c r="AI259">
        <v>0</v>
      </c>
    </row>
    <row r="260" spans="5:35" x14ac:dyDescent="0.45">
      <c r="E260" t="s">
        <v>448</v>
      </c>
      <c r="G260" t="s">
        <v>1824</v>
      </c>
      <c r="I260" t="s">
        <v>236</v>
      </c>
      <c r="J260" t="s">
        <v>2163</v>
      </c>
      <c r="K260">
        <v>5.2757073298079996E-4</v>
      </c>
      <c r="L260" t="s">
        <v>238</v>
      </c>
      <c r="N260" t="s">
        <v>346</v>
      </c>
      <c r="O260" t="s">
        <v>2163</v>
      </c>
      <c r="P260">
        <v>5.6007212476138578E-7</v>
      </c>
      <c r="Q260" t="s">
        <v>238</v>
      </c>
      <c r="S260" t="s">
        <v>347</v>
      </c>
      <c r="T260" t="s">
        <v>2163</v>
      </c>
      <c r="U260">
        <v>5.6204848554580699E-6</v>
      </c>
      <c r="V260" t="s">
        <v>238</v>
      </c>
      <c r="X260">
        <v>1.1415525114155251E-4</v>
      </c>
      <c r="Y260">
        <v>1.4452759200788939E-4</v>
      </c>
      <c r="Z260" t="s">
        <v>2163</v>
      </c>
      <c r="AA260" t="s">
        <v>25</v>
      </c>
      <c r="AC260" t="s">
        <v>22</v>
      </c>
      <c r="AD260" t="s">
        <v>2163</v>
      </c>
      <c r="AE260">
        <v>1.3215346029995189E-4</v>
      </c>
      <c r="AG260" t="s">
        <v>97</v>
      </c>
      <c r="AH260" t="s">
        <v>2163</v>
      </c>
      <c r="AI260">
        <v>0</v>
      </c>
    </row>
    <row r="261" spans="5:35" x14ac:dyDescent="0.45">
      <c r="E261" t="s">
        <v>449</v>
      </c>
      <c r="G261" t="s">
        <v>1824</v>
      </c>
      <c r="I261" t="s">
        <v>236</v>
      </c>
      <c r="J261" t="s">
        <v>2164</v>
      </c>
      <c r="K261">
        <v>5.4841810754760001E-4</v>
      </c>
      <c r="L261" t="s">
        <v>238</v>
      </c>
      <c r="N261" t="s">
        <v>346</v>
      </c>
      <c r="O261" t="s">
        <v>2164</v>
      </c>
      <c r="P261">
        <v>1.3831313559784792E-6</v>
      </c>
      <c r="Q261" t="s">
        <v>238</v>
      </c>
      <c r="S261" t="s">
        <v>347</v>
      </c>
      <c r="T261" t="s">
        <v>2164</v>
      </c>
      <c r="U261">
        <v>9.8691859736739436E-6</v>
      </c>
      <c r="V261" t="s">
        <v>238</v>
      </c>
      <c r="X261">
        <v>1.1415525114155251E-4</v>
      </c>
      <c r="Y261">
        <v>1.408812536774151E-4</v>
      </c>
      <c r="Z261" t="s">
        <v>2164</v>
      </c>
      <c r="AA261" t="s">
        <v>25</v>
      </c>
      <c r="AC261" t="s">
        <v>22</v>
      </c>
      <c r="AD261" t="s">
        <v>2164</v>
      </c>
      <c r="AE261">
        <v>1.3306206755105617E-4</v>
      </c>
      <c r="AG261" t="s">
        <v>97</v>
      </c>
      <c r="AH261" t="s">
        <v>2164</v>
      </c>
      <c r="AI261">
        <v>0</v>
      </c>
    </row>
    <row r="262" spans="5:35" x14ac:dyDescent="0.45">
      <c r="E262" t="s">
        <v>450</v>
      </c>
      <c r="G262" t="s">
        <v>1824</v>
      </c>
      <c r="I262" t="s">
        <v>236</v>
      </c>
      <c r="J262" t="s">
        <v>2165</v>
      </c>
      <c r="K262">
        <v>5.4744929401090003E-4</v>
      </c>
      <c r="L262" t="s">
        <v>238</v>
      </c>
      <c r="N262" t="s">
        <v>346</v>
      </c>
      <c r="O262" t="s">
        <v>2165</v>
      </c>
      <c r="P262">
        <v>8.1030560986045748E-7</v>
      </c>
      <c r="Q262" t="s">
        <v>238</v>
      </c>
      <c r="S262" t="s">
        <v>347</v>
      </c>
      <c r="T262" t="s">
        <v>2165</v>
      </c>
      <c r="U262">
        <v>9.9292325698443957E-6</v>
      </c>
      <c r="V262" t="s">
        <v>238</v>
      </c>
      <c r="X262">
        <v>1.1415525114155251E-4</v>
      </c>
      <c r="Y262">
        <v>1.4054976837464471E-4</v>
      </c>
      <c r="Z262" t="s">
        <v>2165</v>
      </c>
      <c r="AA262" t="s">
        <v>25</v>
      </c>
      <c r="AC262" t="s">
        <v>22</v>
      </c>
      <c r="AD262" t="s">
        <v>2165</v>
      </c>
      <c r="AE262">
        <v>1.3474170114458013E-4</v>
      </c>
      <c r="AG262" t="s">
        <v>97</v>
      </c>
      <c r="AH262" t="s">
        <v>2165</v>
      </c>
      <c r="AI262">
        <v>0</v>
      </c>
    </row>
    <row r="263" spans="5:35" x14ac:dyDescent="0.45">
      <c r="E263" t="s">
        <v>451</v>
      </c>
      <c r="G263" t="s">
        <v>1824</v>
      </c>
      <c r="I263" t="s">
        <v>236</v>
      </c>
      <c r="J263" t="s">
        <v>2166</v>
      </c>
      <c r="K263">
        <v>5.260828616492E-4</v>
      </c>
      <c r="L263" t="s">
        <v>238</v>
      </c>
      <c r="N263" t="s">
        <v>346</v>
      </c>
      <c r="O263" t="s">
        <v>2166</v>
      </c>
      <c r="P263">
        <v>7.0318211638461291E-7</v>
      </c>
      <c r="Q263" t="s">
        <v>238</v>
      </c>
      <c r="S263" t="s">
        <v>347</v>
      </c>
      <c r="T263" t="s">
        <v>2166</v>
      </c>
      <c r="U263">
        <v>1.2048231561339872E-5</v>
      </c>
      <c r="V263" t="s">
        <v>238</v>
      </c>
      <c r="X263">
        <v>1.1415525114155251E-4</v>
      </c>
      <c r="Y263">
        <v>1.4253868019126702E-4</v>
      </c>
      <c r="Z263" t="s">
        <v>2166</v>
      </c>
      <c r="AA263" t="s">
        <v>25</v>
      </c>
      <c r="AC263" t="s">
        <v>22</v>
      </c>
      <c r="AD263" t="s">
        <v>2166</v>
      </c>
      <c r="AE263">
        <v>1.3480475906106057E-4</v>
      </c>
      <c r="AG263" t="s">
        <v>97</v>
      </c>
      <c r="AH263" t="s">
        <v>2166</v>
      </c>
      <c r="AI263">
        <v>0</v>
      </c>
    </row>
    <row r="264" spans="5:35" x14ac:dyDescent="0.45">
      <c r="E264" t="s">
        <v>452</v>
      </c>
      <c r="G264" t="s">
        <v>1824</v>
      </c>
      <c r="I264" t="s">
        <v>236</v>
      </c>
      <c r="J264" t="s">
        <v>2167</v>
      </c>
      <c r="K264">
        <v>5.3062178953559999E-4</v>
      </c>
      <c r="L264" t="s">
        <v>238</v>
      </c>
      <c r="N264" t="s">
        <v>346</v>
      </c>
      <c r="O264" t="s">
        <v>2167</v>
      </c>
      <c r="P264">
        <v>7.8803714041880227E-7</v>
      </c>
      <c r="Q264" t="s">
        <v>238</v>
      </c>
      <c r="S264" t="s">
        <v>347</v>
      </c>
      <c r="T264" t="s">
        <v>2167</v>
      </c>
      <c r="U264">
        <v>1.5676806933168461E-5</v>
      </c>
      <c r="V264" t="s">
        <v>238</v>
      </c>
      <c r="X264">
        <v>1.1415525114155251E-4</v>
      </c>
      <c r="Y264">
        <v>1.4883690094390442E-4</v>
      </c>
      <c r="Z264" t="s">
        <v>2167</v>
      </c>
      <c r="AA264" t="s">
        <v>25</v>
      </c>
      <c r="AC264" t="s">
        <v>22</v>
      </c>
      <c r="AD264" t="s">
        <v>2167</v>
      </c>
      <c r="AE264">
        <v>1.3417704616518726E-4</v>
      </c>
      <c r="AG264" t="s">
        <v>97</v>
      </c>
      <c r="AH264" t="s">
        <v>2167</v>
      </c>
      <c r="AI264">
        <v>0</v>
      </c>
    </row>
    <row r="265" spans="5:35" x14ac:dyDescent="0.45">
      <c r="E265" t="s">
        <v>453</v>
      </c>
      <c r="G265" t="s">
        <v>1824</v>
      </c>
      <c r="I265" t="s">
        <v>236</v>
      </c>
      <c r="J265" t="s">
        <v>2168</v>
      </c>
      <c r="K265">
        <v>5.4001392743080001E-4</v>
      </c>
      <c r="L265" t="s">
        <v>238</v>
      </c>
      <c r="N265" t="s">
        <v>346</v>
      </c>
      <c r="O265" t="s">
        <v>2168</v>
      </c>
      <c r="P265">
        <v>1.7759106658191499E-6</v>
      </c>
      <c r="Q265" t="s">
        <v>238</v>
      </c>
      <c r="S265" t="s">
        <v>347</v>
      </c>
      <c r="T265" t="s">
        <v>2168</v>
      </c>
      <c r="U265">
        <v>1.8620425304720083E-5</v>
      </c>
      <c r="V265" t="s">
        <v>238</v>
      </c>
      <c r="X265">
        <v>1.1415525114155251E-4</v>
      </c>
      <c r="Y265">
        <v>1.5049432745775637E-4</v>
      </c>
      <c r="Z265" t="s">
        <v>2168</v>
      </c>
      <c r="AA265" t="s">
        <v>25</v>
      </c>
      <c r="AC265" t="s">
        <v>22</v>
      </c>
      <c r="AD265" t="s">
        <v>2168</v>
      </c>
      <c r="AE265">
        <v>1.3179231041465491E-4</v>
      </c>
      <c r="AG265" t="s">
        <v>97</v>
      </c>
      <c r="AH265" t="s">
        <v>2168</v>
      </c>
      <c r="AI265">
        <v>0</v>
      </c>
    </row>
    <row r="266" spans="5:35" x14ac:dyDescent="0.45">
      <c r="E266" t="s">
        <v>454</v>
      </c>
      <c r="G266" t="s">
        <v>1824</v>
      </c>
      <c r="I266" t="s">
        <v>236</v>
      </c>
      <c r="J266" t="s">
        <v>2169</v>
      </c>
      <c r="K266">
        <v>5.2555398269989997E-4</v>
      </c>
      <c r="L266" t="s">
        <v>238</v>
      </c>
      <c r="N266" t="s">
        <v>346</v>
      </c>
      <c r="O266" t="s">
        <v>2169</v>
      </c>
      <c r="P266">
        <v>5.0002546698241546E-6</v>
      </c>
      <c r="Q266" t="s">
        <v>238</v>
      </c>
      <c r="S266" t="s">
        <v>347</v>
      </c>
      <c r="T266" t="s">
        <v>2169</v>
      </c>
      <c r="U266">
        <v>2.3937277855578679E-5</v>
      </c>
      <c r="V266" t="s">
        <v>238</v>
      </c>
      <c r="X266">
        <v>1.1415525114155251E-4</v>
      </c>
      <c r="Y266">
        <v>1.7237235744060203E-4</v>
      </c>
      <c r="Z266" t="s">
        <v>2169</v>
      </c>
      <c r="AA266" t="s">
        <v>25</v>
      </c>
      <c r="AC266" t="s">
        <v>22</v>
      </c>
      <c r="AD266" t="s">
        <v>2169</v>
      </c>
      <c r="AE266">
        <v>1.3059707627045781E-4</v>
      </c>
      <c r="AG266" t="s">
        <v>97</v>
      </c>
      <c r="AH266" t="s">
        <v>2169</v>
      </c>
      <c r="AI266">
        <v>0</v>
      </c>
    </row>
    <row r="267" spans="5:35" x14ac:dyDescent="0.45">
      <c r="E267" t="s">
        <v>455</v>
      </c>
      <c r="G267" t="s">
        <v>1824</v>
      </c>
      <c r="I267" t="s">
        <v>236</v>
      </c>
      <c r="J267" t="s">
        <v>2170</v>
      </c>
      <c r="K267">
        <v>4.7962388130240002E-4</v>
      </c>
      <c r="L267" t="s">
        <v>238</v>
      </c>
      <c r="N267" t="s">
        <v>346</v>
      </c>
      <c r="O267" t="s">
        <v>2170</v>
      </c>
      <c r="P267">
        <v>1.2037025345135362E-5</v>
      </c>
      <c r="Q267" t="s">
        <v>238</v>
      </c>
      <c r="S267" t="s">
        <v>347</v>
      </c>
      <c r="T267" t="s">
        <v>2170</v>
      </c>
      <c r="U267">
        <v>3.4101812650796703E-5</v>
      </c>
      <c r="V267" t="s">
        <v>238</v>
      </c>
      <c r="X267">
        <v>1.1415525114155251E-4</v>
      </c>
      <c r="Y267">
        <v>2.2209515285616027E-4</v>
      </c>
      <c r="Z267" t="s">
        <v>2170</v>
      </c>
      <c r="AA267" t="s">
        <v>25</v>
      </c>
      <c r="AC267" t="s">
        <v>22</v>
      </c>
      <c r="AD267" t="s">
        <v>2170</v>
      </c>
      <c r="AE267">
        <v>1.2905788985454928E-4</v>
      </c>
      <c r="AG267" t="s">
        <v>97</v>
      </c>
      <c r="AH267" t="s">
        <v>2170</v>
      </c>
      <c r="AI267">
        <v>0</v>
      </c>
    </row>
    <row r="268" spans="5:35" x14ac:dyDescent="0.45">
      <c r="E268" t="s">
        <v>456</v>
      </c>
      <c r="G268" t="s">
        <v>1824</v>
      </c>
      <c r="I268" t="s">
        <v>236</v>
      </c>
      <c r="J268" t="s">
        <v>2171</v>
      </c>
      <c r="K268">
        <v>4.12221325289E-4</v>
      </c>
      <c r="L268" t="s">
        <v>238</v>
      </c>
      <c r="N268" t="s">
        <v>346</v>
      </c>
      <c r="O268" t="s">
        <v>2171</v>
      </c>
      <c r="P268">
        <v>2.4490657455681759E-5</v>
      </c>
      <c r="Q268" t="s">
        <v>238</v>
      </c>
      <c r="S268" t="s">
        <v>347</v>
      </c>
      <c r="T268" t="s">
        <v>2171</v>
      </c>
      <c r="U268">
        <v>4.4653255851947532E-5</v>
      </c>
      <c r="V268" t="s">
        <v>238</v>
      </c>
      <c r="X268">
        <v>1.1415525114155251E-4</v>
      </c>
      <c r="Y268">
        <v>2.2209515285616027E-4</v>
      </c>
      <c r="Z268" t="s">
        <v>2171</v>
      </c>
      <c r="AA268" t="s">
        <v>25</v>
      </c>
      <c r="AC268" t="s">
        <v>22</v>
      </c>
      <c r="AD268" t="s">
        <v>2171</v>
      </c>
      <c r="AE268">
        <v>1.2840438053829764E-4</v>
      </c>
      <c r="AG268" t="s">
        <v>97</v>
      </c>
      <c r="AH268" t="s">
        <v>2171</v>
      </c>
      <c r="AI268">
        <v>0</v>
      </c>
    </row>
    <row r="269" spans="5:35" x14ac:dyDescent="0.45">
      <c r="E269" t="s">
        <v>457</v>
      </c>
      <c r="G269" t="s">
        <v>1824</v>
      </c>
      <c r="I269" t="s">
        <v>236</v>
      </c>
      <c r="J269" t="s">
        <v>2172</v>
      </c>
      <c r="K269">
        <v>3.0928325327980001E-4</v>
      </c>
      <c r="L269" t="s">
        <v>238</v>
      </c>
      <c r="N269" t="s">
        <v>346</v>
      </c>
      <c r="O269" t="s">
        <v>2172</v>
      </c>
      <c r="P269">
        <v>4.273595788938711E-5</v>
      </c>
      <c r="Q269" t="s">
        <v>238</v>
      </c>
      <c r="S269" t="s">
        <v>347</v>
      </c>
      <c r="T269" t="s">
        <v>2172</v>
      </c>
      <c r="U269">
        <v>5.3866805022263107E-5</v>
      </c>
      <c r="V269" t="s">
        <v>238</v>
      </c>
      <c r="X269">
        <v>1.1415525114155251E-4</v>
      </c>
      <c r="Y269">
        <v>1.7237235744060203E-4</v>
      </c>
      <c r="Z269" t="s">
        <v>2172</v>
      </c>
      <c r="AA269" t="s">
        <v>25</v>
      </c>
      <c r="AC269" t="s">
        <v>22</v>
      </c>
      <c r="AD269" t="s">
        <v>2172</v>
      </c>
      <c r="AE269">
        <v>1.2837858411791927E-4</v>
      </c>
      <c r="AG269" t="s">
        <v>97</v>
      </c>
      <c r="AH269" t="s">
        <v>2172</v>
      </c>
      <c r="AI269">
        <v>0</v>
      </c>
    </row>
    <row r="270" spans="5:35" x14ac:dyDescent="0.45">
      <c r="E270" t="s">
        <v>458</v>
      </c>
      <c r="G270" t="s">
        <v>1824</v>
      </c>
      <c r="I270" t="s">
        <v>236</v>
      </c>
      <c r="J270" t="s">
        <v>2173</v>
      </c>
      <c r="K270">
        <v>1.9311065919759999E-4</v>
      </c>
      <c r="L270" t="s">
        <v>238</v>
      </c>
      <c r="N270" t="s">
        <v>346</v>
      </c>
      <c r="O270" t="s">
        <v>2173</v>
      </c>
      <c r="P270">
        <v>5.7691403261641975E-5</v>
      </c>
      <c r="Q270" t="s">
        <v>238</v>
      </c>
      <c r="S270" t="s">
        <v>347</v>
      </c>
      <c r="T270" t="s">
        <v>2173</v>
      </c>
      <c r="U270">
        <v>5.821047471913311E-5</v>
      </c>
      <c r="V270" t="s">
        <v>238</v>
      </c>
      <c r="X270">
        <v>1.1415525114155251E-4</v>
      </c>
      <c r="Y270">
        <v>1.5579809230208258E-4</v>
      </c>
      <c r="Z270" t="s">
        <v>2173</v>
      </c>
      <c r="AA270" t="s">
        <v>25</v>
      </c>
      <c r="AC270" t="s">
        <v>22</v>
      </c>
      <c r="AD270" t="s">
        <v>2173</v>
      </c>
      <c r="AE270">
        <v>1.2342280513634424E-4</v>
      </c>
      <c r="AG270" t="s">
        <v>97</v>
      </c>
      <c r="AH270" t="s">
        <v>2173</v>
      </c>
      <c r="AI270">
        <v>0</v>
      </c>
    </row>
    <row r="271" spans="5:35" x14ac:dyDescent="0.45">
      <c r="E271" t="s">
        <v>459</v>
      </c>
      <c r="G271" t="s">
        <v>1824</v>
      </c>
      <c r="I271" t="s">
        <v>236</v>
      </c>
      <c r="J271" t="s">
        <v>2174</v>
      </c>
      <c r="K271">
        <v>5.7971572210701074E-5</v>
      </c>
      <c r="L271" t="s">
        <v>238</v>
      </c>
      <c r="N271" t="s">
        <v>346</v>
      </c>
      <c r="O271" t="s">
        <v>2174</v>
      </c>
      <c r="P271">
        <v>6.3631706589634365E-5</v>
      </c>
      <c r="Q271" t="s">
        <v>238</v>
      </c>
      <c r="S271" t="s">
        <v>347</v>
      </c>
      <c r="T271" t="s">
        <v>2174</v>
      </c>
      <c r="U271">
        <v>5.6925368112019038E-5</v>
      </c>
      <c r="V271" t="s">
        <v>238</v>
      </c>
      <c r="X271">
        <v>1.1415525114155251E-4</v>
      </c>
      <c r="Y271">
        <v>1.093901499142282E-4</v>
      </c>
      <c r="Z271" t="s">
        <v>2174</v>
      </c>
      <c r="AA271" t="s">
        <v>25</v>
      </c>
      <c r="AC271" t="s">
        <v>22</v>
      </c>
      <c r="AD271" t="s">
        <v>2174</v>
      </c>
      <c r="AE271">
        <v>1.1347685194602292E-4</v>
      </c>
      <c r="AG271" t="s">
        <v>97</v>
      </c>
      <c r="AH271" t="s">
        <v>2174</v>
      </c>
      <c r="AI271">
        <v>0</v>
      </c>
    </row>
    <row r="272" spans="5:35" x14ac:dyDescent="0.45">
      <c r="E272" t="s">
        <v>460</v>
      </c>
      <c r="G272" t="s">
        <v>1824</v>
      </c>
      <c r="I272" t="s">
        <v>236</v>
      </c>
      <c r="J272" t="s">
        <v>2175</v>
      </c>
      <c r="K272">
        <v>0</v>
      </c>
      <c r="L272" t="s">
        <v>238</v>
      </c>
      <c r="N272" t="s">
        <v>346</v>
      </c>
      <c r="O272" t="s">
        <v>2175</v>
      </c>
      <c r="P272">
        <v>6.4472973281004295E-5</v>
      </c>
      <c r="Q272" t="s">
        <v>238</v>
      </c>
      <c r="S272" t="s">
        <v>347</v>
      </c>
      <c r="T272" t="s">
        <v>2175</v>
      </c>
      <c r="U272">
        <v>5.2304664797119697E-5</v>
      </c>
      <c r="V272" t="s">
        <v>238</v>
      </c>
      <c r="X272">
        <v>1.1415525114155251E-4</v>
      </c>
      <c r="Y272">
        <v>7.9556472664893237E-5</v>
      </c>
      <c r="Z272" t="s">
        <v>2175</v>
      </c>
      <c r="AA272" t="s">
        <v>25</v>
      </c>
      <c r="AC272" t="s">
        <v>22</v>
      </c>
      <c r="AD272" t="s">
        <v>2175</v>
      </c>
      <c r="AE272">
        <v>1.0751214630076112E-4</v>
      </c>
      <c r="AG272" t="s">
        <v>97</v>
      </c>
      <c r="AH272" t="s">
        <v>2175</v>
      </c>
      <c r="AI272">
        <v>0</v>
      </c>
    </row>
    <row r="273" spans="5:35" x14ac:dyDescent="0.45">
      <c r="E273" t="s">
        <v>461</v>
      </c>
      <c r="G273" t="s">
        <v>1824</v>
      </c>
      <c r="I273" t="s">
        <v>236</v>
      </c>
      <c r="J273" t="s">
        <v>2176</v>
      </c>
      <c r="K273">
        <v>0</v>
      </c>
      <c r="L273" t="s">
        <v>238</v>
      </c>
      <c r="N273" t="s">
        <v>346</v>
      </c>
      <c r="O273" t="s">
        <v>2176</v>
      </c>
      <c r="P273">
        <v>7.4339982594893194E-5</v>
      </c>
      <c r="Q273" t="s">
        <v>238</v>
      </c>
      <c r="S273" t="s">
        <v>347</v>
      </c>
      <c r="T273" t="s">
        <v>2176</v>
      </c>
      <c r="U273">
        <v>6.8248661335307387E-5</v>
      </c>
      <c r="V273" t="s">
        <v>238</v>
      </c>
      <c r="X273">
        <v>1.1415525114155251E-4</v>
      </c>
      <c r="Y273">
        <v>5.6352501470966035E-5</v>
      </c>
      <c r="Z273" t="s">
        <v>2176</v>
      </c>
      <c r="AA273" t="s">
        <v>25</v>
      </c>
      <c r="AC273" t="s">
        <v>22</v>
      </c>
      <c r="AD273" t="s">
        <v>2176</v>
      </c>
      <c r="AE273">
        <v>9.9592645244606163E-5</v>
      </c>
      <c r="AG273" t="s">
        <v>97</v>
      </c>
      <c r="AH273" t="s">
        <v>2176</v>
      </c>
      <c r="AI273">
        <v>0</v>
      </c>
    </row>
    <row r="274" spans="5:35" x14ac:dyDescent="0.45">
      <c r="E274" t="s">
        <v>462</v>
      </c>
      <c r="G274" t="s">
        <v>1824</v>
      </c>
      <c r="I274" t="s">
        <v>236</v>
      </c>
      <c r="J274" t="s">
        <v>2177</v>
      </c>
      <c r="K274">
        <v>0</v>
      </c>
      <c r="L274" t="s">
        <v>238</v>
      </c>
      <c r="N274" t="s">
        <v>346</v>
      </c>
      <c r="O274" t="s">
        <v>2177</v>
      </c>
      <c r="P274">
        <v>6.0551852574528273E-5</v>
      </c>
      <c r="Q274" t="s">
        <v>238</v>
      </c>
      <c r="S274" t="s">
        <v>347</v>
      </c>
      <c r="T274" t="s">
        <v>2177</v>
      </c>
      <c r="U274">
        <v>5.5058062235953296E-5</v>
      </c>
      <c r="V274" t="s">
        <v>238</v>
      </c>
      <c r="X274">
        <v>1.1415525114155251E-4</v>
      </c>
      <c r="Y274">
        <v>2.9833677249334962E-5</v>
      </c>
      <c r="Z274" t="s">
        <v>2177</v>
      </c>
      <c r="AA274" t="s">
        <v>25</v>
      </c>
      <c r="AC274" t="s">
        <v>22</v>
      </c>
      <c r="AD274" t="s">
        <v>2177</v>
      </c>
      <c r="AE274">
        <v>8.5390282691856327E-5</v>
      </c>
      <c r="AG274" t="s">
        <v>97</v>
      </c>
      <c r="AH274" t="s">
        <v>2177</v>
      </c>
      <c r="AI274">
        <v>0</v>
      </c>
    </row>
    <row r="275" spans="5:35" x14ac:dyDescent="0.45">
      <c r="E275" t="s">
        <v>463</v>
      </c>
      <c r="G275" t="s">
        <v>1826</v>
      </c>
      <c r="I275" t="s">
        <v>236</v>
      </c>
      <c r="J275" t="s">
        <v>2178</v>
      </c>
      <c r="K275">
        <v>0</v>
      </c>
      <c r="L275" t="s">
        <v>238</v>
      </c>
      <c r="N275" t="s">
        <v>346</v>
      </c>
      <c r="O275" t="s">
        <v>2178</v>
      </c>
      <c r="P275">
        <v>9.6020104559308578E-5</v>
      </c>
      <c r="Q275" t="s">
        <v>238</v>
      </c>
      <c r="S275" t="s">
        <v>347</v>
      </c>
      <c r="T275" t="s">
        <v>2178</v>
      </c>
      <c r="U275">
        <v>6.824845387722602E-5</v>
      </c>
      <c r="V275" t="s">
        <v>238</v>
      </c>
      <c r="X275">
        <v>1.1415525114155251E-4</v>
      </c>
      <c r="Y275">
        <v>2.1546544680075254E-5</v>
      </c>
      <c r="Z275" t="s">
        <v>2178</v>
      </c>
      <c r="AA275" t="s">
        <v>25</v>
      </c>
      <c r="AC275" t="s">
        <v>22</v>
      </c>
      <c r="AD275" t="s">
        <v>2178</v>
      </c>
      <c r="AE275">
        <v>7.4590181360118427E-5</v>
      </c>
      <c r="AG275" t="s">
        <v>97</v>
      </c>
      <c r="AH275" t="s">
        <v>2178</v>
      </c>
      <c r="AI275">
        <v>0</v>
      </c>
    </row>
    <row r="276" spans="5:35" x14ac:dyDescent="0.45">
      <c r="E276" t="s">
        <v>464</v>
      </c>
      <c r="G276" t="s">
        <v>1826</v>
      </c>
      <c r="I276" t="s">
        <v>236</v>
      </c>
      <c r="J276" t="s">
        <v>2179</v>
      </c>
      <c r="K276">
        <v>0</v>
      </c>
      <c r="L276" t="s">
        <v>238</v>
      </c>
      <c r="N276" t="s">
        <v>346</v>
      </c>
      <c r="O276" t="s">
        <v>2179</v>
      </c>
      <c r="P276">
        <v>8.842173732732635E-5</v>
      </c>
      <c r="Q276" t="s">
        <v>238</v>
      </c>
      <c r="S276" t="s">
        <v>347</v>
      </c>
      <c r="T276" t="s">
        <v>2179</v>
      </c>
      <c r="U276">
        <v>5.8617873924495153E-5</v>
      </c>
      <c r="V276" t="s">
        <v>238</v>
      </c>
      <c r="X276">
        <v>1.1415525114155251E-4</v>
      </c>
      <c r="Y276">
        <v>1.4916838624667481E-5</v>
      </c>
      <c r="Z276" t="s">
        <v>2179</v>
      </c>
      <c r="AA276" t="s">
        <v>25</v>
      </c>
      <c r="AC276" t="s">
        <v>22</v>
      </c>
      <c r="AD276" t="s">
        <v>2179</v>
      </c>
      <c r="AE276">
        <v>7.1144926105142574E-5</v>
      </c>
      <c r="AG276" t="s">
        <v>97</v>
      </c>
      <c r="AH276" t="s">
        <v>2179</v>
      </c>
      <c r="AI276">
        <v>0</v>
      </c>
    </row>
    <row r="277" spans="5:35" x14ac:dyDescent="0.45">
      <c r="E277" t="s">
        <v>465</v>
      </c>
      <c r="G277" t="s">
        <v>1826</v>
      </c>
      <c r="I277" t="s">
        <v>236</v>
      </c>
      <c r="J277" t="s">
        <v>2180</v>
      </c>
      <c r="K277">
        <v>0</v>
      </c>
      <c r="L277" t="s">
        <v>238</v>
      </c>
      <c r="N277" t="s">
        <v>346</v>
      </c>
      <c r="O277" t="s">
        <v>2180</v>
      </c>
      <c r="P277">
        <v>9.0694207383262279E-5</v>
      </c>
      <c r="Q277" t="s">
        <v>238</v>
      </c>
      <c r="S277" t="s">
        <v>347</v>
      </c>
      <c r="T277" t="s">
        <v>2180</v>
      </c>
      <c r="U277">
        <v>5.4986067175418438E-5</v>
      </c>
      <c r="V277" t="s">
        <v>238</v>
      </c>
      <c r="X277">
        <v>1.1415525114155251E-4</v>
      </c>
      <c r="Y277">
        <v>1.6574265138519424E-5</v>
      </c>
      <c r="Z277" t="s">
        <v>2180</v>
      </c>
      <c r="AA277" t="s">
        <v>25</v>
      </c>
      <c r="AC277" t="s">
        <v>22</v>
      </c>
      <c r="AD277" t="s">
        <v>2180</v>
      </c>
      <c r="AE277">
        <v>6.9321979065072175E-5</v>
      </c>
      <c r="AG277" t="s">
        <v>97</v>
      </c>
      <c r="AH277" t="s">
        <v>2180</v>
      </c>
      <c r="AI277">
        <v>0</v>
      </c>
    </row>
    <row r="278" spans="5:35" x14ac:dyDescent="0.45">
      <c r="E278" t="s">
        <v>466</v>
      </c>
      <c r="G278" t="s">
        <v>1826</v>
      </c>
      <c r="I278" t="s">
        <v>236</v>
      </c>
      <c r="J278" t="s">
        <v>2181</v>
      </c>
      <c r="K278">
        <v>0</v>
      </c>
      <c r="L278" t="s">
        <v>238</v>
      </c>
      <c r="N278" t="s">
        <v>346</v>
      </c>
      <c r="O278" t="s">
        <v>2181</v>
      </c>
      <c r="P278">
        <v>1.022502511586E-4</v>
      </c>
      <c r="Q278" t="s">
        <v>238</v>
      </c>
      <c r="S278" t="s">
        <v>347</v>
      </c>
      <c r="T278" t="s">
        <v>2181</v>
      </c>
      <c r="U278">
        <v>4.5944008886942729E-5</v>
      </c>
      <c r="V278" t="s">
        <v>238</v>
      </c>
      <c r="X278">
        <v>1.1415525114155251E-4</v>
      </c>
      <c r="Y278">
        <v>1.4585353321897093E-5</v>
      </c>
      <c r="Z278" t="s">
        <v>2181</v>
      </c>
      <c r="AA278" t="s">
        <v>25</v>
      </c>
      <c r="AC278" t="s">
        <v>22</v>
      </c>
      <c r="AD278" t="s">
        <v>2181</v>
      </c>
      <c r="AE278">
        <v>6.9256054879660836E-5</v>
      </c>
      <c r="AG278" t="s">
        <v>97</v>
      </c>
      <c r="AH278" t="s">
        <v>2181</v>
      </c>
      <c r="AI278">
        <v>0</v>
      </c>
    </row>
    <row r="279" spans="5:35" x14ac:dyDescent="0.45">
      <c r="E279" t="s">
        <v>467</v>
      </c>
      <c r="G279" t="s">
        <v>1826</v>
      </c>
      <c r="I279" t="s">
        <v>236</v>
      </c>
      <c r="J279" t="s">
        <v>2182</v>
      </c>
      <c r="K279">
        <v>0</v>
      </c>
      <c r="L279" t="s">
        <v>238</v>
      </c>
      <c r="N279" t="s">
        <v>346</v>
      </c>
      <c r="O279" t="s">
        <v>2182</v>
      </c>
      <c r="P279">
        <v>1.1462281571590001E-4</v>
      </c>
      <c r="Q279" t="s">
        <v>238</v>
      </c>
      <c r="S279" t="s">
        <v>347</v>
      </c>
      <c r="T279" t="s">
        <v>2182</v>
      </c>
      <c r="U279">
        <v>4.272740291902393E-5</v>
      </c>
      <c r="V279" t="s">
        <v>238</v>
      </c>
      <c r="X279">
        <v>1.1415525114155251E-4</v>
      </c>
      <c r="Y279">
        <v>2.1215059377304864E-5</v>
      </c>
      <c r="Z279" t="s">
        <v>2182</v>
      </c>
      <c r="AA279" t="s">
        <v>25</v>
      </c>
      <c r="AC279" t="s">
        <v>22</v>
      </c>
      <c r="AD279" t="s">
        <v>2182</v>
      </c>
      <c r="AE279">
        <v>6.7590752630791479E-5</v>
      </c>
      <c r="AG279" t="s">
        <v>97</v>
      </c>
      <c r="AH279" t="s">
        <v>2182</v>
      </c>
      <c r="AI279">
        <v>0</v>
      </c>
    </row>
    <row r="280" spans="5:35" x14ac:dyDescent="0.45">
      <c r="E280" t="s">
        <v>468</v>
      </c>
      <c r="G280" t="s">
        <v>1826</v>
      </c>
      <c r="I280" t="s">
        <v>236</v>
      </c>
      <c r="J280" t="s">
        <v>2183</v>
      </c>
      <c r="K280">
        <v>5.8654664373344606E-5</v>
      </c>
      <c r="L280" t="s">
        <v>238</v>
      </c>
      <c r="N280" t="s">
        <v>346</v>
      </c>
      <c r="O280" t="s">
        <v>2183</v>
      </c>
      <c r="P280">
        <v>1.3156770043610001E-4</v>
      </c>
      <c r="Q280" t="s">
        <v>238</v>
      </c>
      <c r="S280" t="s">
        <v>347</v>
      </c>
      <c r="T280" t="s">
        <v>2183</v>
      </c>
      <c r="U280">
        <v>6.2834831478371752E-5</v>
      </c>
      <c r="V280" t="s">
        <v>238</v>
      </c>
      <c r="X280">
        <v>1.1415525114155251E-4</v>
      </c>
      <c r="Y280">
        <v>5.7678442682047593E-5</v>
      </c>
      <c r="Z280" t="s">
        <v>2183</v>
      </c>
      <c r="AA280" t="s">
        <v>25</v>
      </c>
      <c r="AC280" t="s">
        <v>22</v>
      </c>
      <c r="AD280" t="s">
        <v>2183</v>
      </c>
      <c r="AE280">
        <v>6.8694266169198895E-5</v>
      </c>
      <c r="AG280" t="s">
        <v>97</v>
      </c>
      <c r="AH280" t="s">
        <v>2183</v>
      </c>
      <c r="AI280">
        <v>0</v>
      </c>
    </row>
    <row r="281" spans="5:35" x14ac:dyDescent="0.45">
      <c r="E281" t="s">
        <v>469</v>
      </c>
      <c r="G281" t="s">
        <v>1826</v>
      </c>
      <c r="I281" t="s">
        <v>236</v>
      </c>
      <c r="J281" t="s">
        <v>2184</v>
      </c>
      <c r="K281">
        <v>1.6820114463259999E-4</v>
      </c>
      <c r="L281" t="s">
        <v>238</v>
      </c>
      <c r="N281" t="s">
        <v>346</v>
      </c>
      <c r="O281" t="s">
        <v>2184</v>
      </c>
      <c r="P281">
        <v>1.514323344071E-4</v>
      </c>
      <c r="Q281" t="s">
        <v>238</v>
      </c>
      <c r="S281" t="s">
        <v>347</v>
      </c>
      <c r="T281" t="s">
        <v>2184</v>
      </c>
      <c r="U281">
        <v>8.8363109307285792E-5</v>
      </c>
      <c r="V281" t="s">
        <v>238</v>
      </c>
      <c r="X281">
        <v>1.1415525114155251E-4</v>
      </c>
      <c r="Y281">
        <v>1.6905750441289813E-4</v>
      </c>
      <c r="Z281" t="s">
        <v>2184</v>
      </c>
      <c r="AA281" t="s">
        <v>25</v>
      </c>
      <c r="AC281" t="s">
        <v>22</v>
      </c>
      <c r="AD281" t="s">
        <v>2184</v>
      </c>
      <c r="AE281">
        <v>7.3050994944209906E-5</v>
      </c>
      <c r="AG281" t="s">
        <v>97</v>
      </c>
      <c r="AH281" t="s">
        <v>2184</v>
      </c>
      <c r="AI281">
        <v>0</v>
      </c>
    </row>
    <row r="282" spans="5:35" x14ac:dyDescent="0.45">
      <c r="E282" t="s">
        <v>470</v>
      </c>
      <c r="G282" t="s">
        <v>1826</v>
      </c>
      <c r="I282" t="s">
        <v>236</v>
      </c>
      <c r="J282" t="s">
        <v>2185</v>
      </c>
      <c r="K282">
        <v>2.8783937067240002E-4</v>
      </c>
      <c r="L282" t="s">
        <v>238</v>
      </c>
      <c r="N282" t="s">
        <v>346</v>
      </c>
      <c r="O282" t="s">
        <v>2185</v>
      </c>
      <c r="P282">
        <v>1.5964107862730001E-4</v>
      </c>
      <c r="Q282" t="s">
        <v>238</v>
      </c>
      <c r="S282" t="s">
        <v>347</v>
      </c>
      <c r="T282" t="s">
        <v>2185</v>
      </c>
      <c r="U282">
        <v>1.18844610021E-4</v>
      </c>
      <c r="V282" t="s">
        <v>238</v>
      </c>
      <c r="X282">
        <v>1.1415525114155251E-4</v>
      </c>
      <c r="Y282">
        <v>1.9060404909297337E-4</v>
      </c>
      <c r="Z282" t="s">
        <v>2185</v>
      </c>
      <c r="AA282" t="s">
        <v>25</v>
      </c>
      <c r="AC282" t="s">
        <v>22</v>
      </c>
      <c r="AD282" t="s">
        <v>2185</v>
      </c>
      <c r="AE282">
        <v>7.7003579799960059E-5</v>
      </c>
      <c r="AG282" t="s">
        <v>97</v>
      </c>
      <c r="AH282" t="s">
        <v>2185</v>
      </c>
      <c r="AI282">
        <v>0</v>
      </c>
    </row>
    <row r="283" spans="5:35" x14ac:dyDescent="0.45">
      <c r="E283" t="s">
        <v>471</v>
      </c>
      <c r="G283" t="s">
        <v>1826</v>
      </c>
      <c r="I283" t="s">
        <v>236</v>
      </c>
      <c r="J283" t="s">
        <v>2186</v>
      </c>
      <c r="K283">
        <v>3.040051565813E-4</v>
      </c>
      <c r="L283" t="s">
        <v>238</v>
      </c>
      <c r="N283" t="s">
        <v>346</v>
      </c>
      <c r="O283" t="s">
        <v>2186</v>
      </c>
      <c r="P283">
        <v>1.4559203016030001E-4</v>
      </c>
      <c r="Q283" t="s">
        <v>238</v>
      </c>
      <c r="S283" t="s">
        <v>347</v>
      </c>
      <c r="T283" t="s">
        <v>2186</v>
      </c>
      <c r="U283">
        <v>1.5844826884320001E-4</v>
      </c>
      <c r="V283" t="s">
        <v>238</v>
      </c>
      <c r="X283">
        <v>1.1415525114155251E-4</v>
      </c>
      <c r="Y283">
        <v>1.4585353321897094E-4</v>
      </c>
      <c r="Z283" t="s">
        <v>2186</v>
      </c>
      <c r="AA283" t="s">
        <v>25</v>
      </c>
      <c r="AC283" t="s">
        <v>22</v>
      </c>
      <c r="AD283" t="s">
        <v>2186</v>
      </c>
      <c r="AE283">
        <v>8.9434588153396196E-5</v>
      </c>
      <c r="AG283" t="s">
        <v>97</v>
      </c>
      <c r="AH283" t="s">
        <v>2186</v>
      </c>
      <c r="AI283">
        <v>0</v>
      </c>
    </row>
    <row r="284" spans="5:35" x14ac:dyDescent="0.45">
      <c r="E284" t="s">
        <v>472</v>
      </c>
      <c r="G284" t="s">
        <v>1826</v>
      </c>
      <c r="I284" t="s">
        <v>236</v>
      </c>
      <c r="J284" t="s">
        <v>2187</v>
      </c>
      <c r="K284">
        <v>3.664498044219E-4</v>
      </c>
      <c r="L284" t="s">
        <v>238</v>
      </c>
      <c r="N284" t="s">
        <v>346</v>
      </c>
      <c r="O284" t="s">
        <v>2187</v>
      </c>
      <c r="P284">
        <v>1.4771495367839999E-4</v>
      </c>
      <c r="Q284" t="s">
        <v>238</v>
      </c>
      <c r="S284" t="s">
        <v>347</v>
      </c>
      <c r="T284" t="s">
        <v>2187</v>
      </c>
      <c r="U284">
        <v>1.8740173523250001E-4</v>
      </c>
      <c r="V284" t="s">
        <v>238</v>
      </c>
      <c r="X284">
        <v>1.1415525114155251E-4</v>
      </c>
      <c r="Y284">
        <v>1.4452759200788939E-4</v>
      </c>
      <c r="Z284" t="s">
        <v>2187</v>
      </c>
      <c r="AA284" t="s">
        <v>25</v>
      </c>
      <c r="AC284" t="s">
        <v>22</v>
      </c>
      <c r="AD284" t="s">
        <v>2187</v>
      </c>
      <c r="AE284">
        <v>9.2057224225195611E-5</v>
      </c>
      <c r="AG284" t="s">
        <v>97</v>
      </c>
      <c r="AH284" t="s">
        <v>2187</v>
      </c>
      <c r="AI284">
        <v>0</v>
      </c>
    </row>
    <row r="285" spans="5:35" x14ac:dyDescent="0.45">
      <c r="E285" t="s">
        <v>473</v>
      </c>
      <c r="G285" t="s">
        <v>1826</v>
      </c>
      <c r="I285" t="s">
        <v>236</v>
      </c>
      <c r="J285" t="s">
        <v>2188</v>
      </c>
      <c r="K285">
        <v>4.1930043525789998E-4</v>
      </c>
      <c r="L285" t="s">
        <v>238</v>
      </c>
      <c r="N285" t="s">
        <v>346</v>
      </c>
      <c r="O285" t="s">
        <v>2188</v>
      </c>
      <c r="P285">
        <v>1.307591483585E-4</v>
      </c>
      <c r="Q285" t="s">
        <v>238</v>
      </c>
      <c r="S285" t="s">
        <v>347</v>
      </c>
      <c r="T285" t="s">
        <v>2188</v>
      </c>
      <c r="U285">
        <v>1.8378413854150001E-4</v>
      </c>
      <c r="V285" t="s">
        <v>238</v>
      </c>
      <c r="X285">
        <v>1.1415525114155251E-4</v>
      </c>
      <c r="Y285">
        <v>1.408812536774151E-4</v>
      </c>
      <c r="Z285" t="s">
        <v>2188</v>
      </c>
      <c r="AA285" t="s">
        <v>25</v>
      </c>
      <c r="AC285" t="s">
        <v>22</v>
      </c>
      <c r="AD285" t="s">
        <v>2188</v>
      </c>
      <c r="AE285">
        <v>9.1896713165063627E-5</v>
      </c>
      <c r="AG285" t="s">
        <v>97</v>
      </c>
      <c r="AH285" t="s">
        <v>2188</v>
      </c>
      <c r="AI285">
        <v>0</v>
      </c>
    </row>
    <row r="286" spans="5:35" x14ac:dyDescent="0.45">
      <c r="E286" t="s">
        <v>474</v>
      </c>
      <c r="G286" t="s">
        <v>1826</v>
      </c>
      <c r="I286" t="s">
        <v>236</v>
      </c>
      <c r="J286" t="s">
        <v>2189</v>
      </c>
      <c r="K286">
        <v>4.6306268237299999E-4</v>
      </c>
      <c r="L286" t="s">
        <v>238</v>
      </c>
      <c r="N286" t="s">
        <v>346</v>
      </c>
      <c r="O286" t="s">
        <v>2189</v>
      </c>
      <c r="P286">
        <v>1.166956123951E-4</v>
      </c>
      <c r="Q286" t="s">
        <v>238</v>
      </c>
      <c r="S286" t="s">
        <v>347</v>
      </c>
      <c r="T286" t="s">
        <v>2189</v>
      </c>
      <c r="U286">
        <v>1.8103079843970001E-4</v>
      </c>
      <c r="V286" t="s">
        <v>238</v>
      </c>
      <c r="X286">
        <v>1.1415525114155251E-4</v>
      </c>
      <c r="Y286">
        <v>1.4054976837464471E-4</v>
      </c>
      <c r="Z286" t="s">
        <v>2189</v>
      </c>
      <c r="AA286" t="s">
        <v>25</v>
      </c>
      <c r="AC286" t="s">
        <v>22</v>
      </c>
      <c r="AD286" t="s">
        <v>2189</v>
      </c>
      <c r="AE286">
        <v>9.2120282141676036E-5</v>
      </c>
      <c r="AG286" t="s">
        <v>97</v>
      </c>
      <c r="AH286" t="s">
        <v>2189</v>
      </c>
      <c r="AI286">
        <v>0</v>
      </c>
    </row>
    <row r="287" spans="5:35" x14ac:dyDescent="0.45">
      <c r="E287" t="s">
        <v>475</v>
      </c>
      <c r="G287" t="s">
        <v>1826</v>
      </c>
      <c r="I287" t="s">
        <v>236</v>
      </c>
      <c r="J287" t="s">
        <v>2190</v>
      </c>
      <c r="K287">
        <v>4.4235548937209999E-4</v>
      </c>
      <c r="L287" t="s">
        <v>238</v>
      </c>
      <c r="N287" t="s">
        <v>346</v>
      </c>
      <c r="O287" t="s">
        <v>2190</v>
      </c>
      <c r="P287">
        <v>1.120881171859E-4</v>
      </c>
      <c r="Q287" t="s">
        <v>238</v>
      </c>
      <c r="S287" t="s">
        <v>347</v>
      </c>
      <c r="T287" t="s">
        <v>2190</v>
      </c>
      <c r="U287">
        <v>1.7283460242190001E-4</v>
      </c>
      <c r="V287" t="s">
        <v>238</v>
      </c>
      <c r="X287">
        <v>1.1415525114155251E-4</v>
      </c>
      <c r="Y287">
        <v>1.4253868019126702E-4</v>
      </c>
      <c r="Z287" t="s">
        <v>2190</v>
      </c>
      <c r="AA287" t="s">
        <v>25</v>
      </c>
      <c r="AC287" t="s">
        <v>22</v>
      </c>
      <c r="AD287" t="s">
        <v>2190</v>
      </c>
      <c r="AE287">
        <v>9.2108817065952338E-5</v>
      </c>
      <c r="AG287" t="s">
        <v>97</v>
      </c>
      <c r="AH287" t="s">
        <v>2190</v>
      </c>
      <c r="AI287">
        <v>0</v>
      </c>
    </row>
    <row r="288" spans="5:35" x14ac:dyDescent="0.45">
      <c r="E288" t="s">
        <v>476</v>
      </c>
      <c r="G288" t="s">
        <v>1826</v>
      </c>
      <c r="I288" t="s">
        <v>236</v>
      </c>
      <c r="J288" t="s">
        <v>2191</v>
      </c>
      <c r="K288">
        <v>4.3000823768940002E-4</v>
      </c>
      <c r="L288" t="s">
        <v>238</v>
      </c>
      <c r="N288" t="s">
        <v>346</v>
      </c>
      <c r="O288" t="s">
        <v>2191</v>
      </c>
      <c r="P288">
        <v>8.9552607050219919E-5</v>
      </c>
      <c r="Q288" t="s">
        <v>238</v>
      </c>
      <c r="S288" t="s">
        <v>347</v>
      </c>
      <c r="T288" t="s">
        <v>2191</v>
      </c>
      <c r="U288">
        <v>1.643074612473E-4</v>
      </c>
      <c r="V288" t="s">
        <v>238</v>
      </c>
      <c r="X288">
        <v>1.1415525114155251E-4</v>
      </c>
      <c r="Y288">
        <v>1.4883690094390442E-4</v>
      </c>
      <c r="Z288" t="s">
        <v>2191</v>
      </c>
      <c r="AA288" t="s">
        <v>25</v>
      </c>
      <c r="AC288" t="s">
        <v>22</v>
      </c>
      <c r="AD288" t="s">
        <v>2191</v>
      </c>
      <c r="AE288">
        <v>9.0976640838235631E-5</v>
      </c>
      <c r="AG288" t="s">
        <v>97</v>
      </c>
      <c r="AH288" t="s">
        <v>2191</v>
      </c>
      <c r="AI288">
        <v>0</v>
      </c>
    </row>
    <row r="289" spans="5:35" x14ac:dyDescent="0.45">
      <c r="E289" t="s">
        <v>477</v>
      </c>
      <c r="G289" t="s">
        <v>1826</v>
      </c>
      <c r="I289" t="s">
        <v>236</v>
      </c>
      <c r="J289" t="s">
        <v>2192</v>
      </c>
      <c r="K289">
        <v>4.2295784820540002E-4</v>
      </c>
      <c r="L289" t="s">
        <v>238</v>
      </c>
      <c r="N289" t="s">
        <v>346</v>
      </c>
      <c r="O289" t="s">
        <v>2192</v>
      </c>
      <c r="P289">
        <v>7.1594403093973015E-5</v>
      </c>
      <c r="Q289" t="s">
        <v>238</v>
      </c>
      <c r="S289" t="s">
        <v>347</v>
      </c>
      <c r="T289" t="s">
        <v>2192</v>
      </c>
      <c r="U289">
        <v>1.485734195561E-4</v>
      </c>
      <c r="V289" t="s">
        <v>238</v>
      </c>
      <c r="X289">
        <v>1.1415525114155251E-4</v>
      </c>
      <c r="Y289">
        <v>1.5049432745775637E-4</v>
      </c>
      <c r="Z289" t="s">
        <v>2192</v>
      </c>
      <c r="AA289" t="s">
        <v>25</v>
      </c>
      <c r="AC289" t="s">
        <v>22</v>
      </c>
      <c r="AD289" t="s">
        <v>2192</v>
      </c>
      <c r="AE289">
        <v>9.0549566767527323E-5</v>
      </c>
      <c r="AG289" t="s">
        <v>97</v>
      </c>
      <c r="AH289" t="s">
        <v>2192</v>
      </c>
      <c r="AI289">
        <v>0</v>
      </c>
    </row>
    <row r="290" spans="5:35" x14ac:dyDescent="0.45">
      <c r="E290" t="s">
        <v>478</v>
      </c>
      <c r="G290" t="s">
        <v>1826</v>
      </c>
      <c r="I290" t="s">
        <v>236</v>
      </c>
      <c r="J290" t="s">
        <v>2193</v>
      </c>
      <c r="K290">
        <v>4.0008748324129998E-4</v>
      </c>
      <c r="L290" t="s">
        <v>238</v>
      </c>
      <c r="N290" t="s">
        <v>346</v>
      </c>
      <c r="O290" t="s">
        <v>2193</v>
      </c>
      <c r="P290">
        <v>5.5460795361208041E-5</v>
      </c>
      <c r="Q290" t="s">
        <v>238</v>
      </c>
      <c r="S290" t="s">
        <v>347</v>
      </c>
      <c r="T290" t="s">
        <v>2193</v>
      </c>
      <c r="U290">
        <v>1.2751899014879999E-4</v>
      </c>
      <c r="V290" t="s">
        <v>238</v>
      </c>
      <c r="X290">
        <v>1.1415525114155251E-4</v>
      </c>
      <c r="Y290">
        <v>1.7237235744060203E-4</v>
      </c>
      <c r="Z290" t="s">
        <v>2193</v>
      </c>
      <c r="AA290" t="s">
        <v>25</v>
      </c>
      <c r="AC290" t="s">
        <v>22</v>
      </c>
      <c r="AD290" t="s">
        <v>2193</v>
      </c>
      <c r="AE290">
        <v>9.0065167318200418E-5</v>
      </c>
      <c r="AG290" t="s">
        <v>97</v>
      </c>
      <c r="AH290" t="s">
        <v>2193</v>
      </c>
      <c r="AI290">
        <v>0</v>
      </c>
    </row>
    <row r="291" spans="5:35" x14ac:dyDescent="0.45">
      <c r="E291" t="s">
        <v>479</v>
      </c>
      <c r="G291" t="s">
        <v>1826</v>
      </c>
      <c r="I291" t="s">
        <v>236</v>
      </c>
      <c r="J291" t="s">
        <v>2194</v>
      </c>
      <c r="K291">
        <v>3.2060085139149998E-4</v>
      </c>
      <c r="L291" t="s">
        <v>238</v>
      </c>
      <c r="N291" t="s">
        <v>346</v>
      </c>
      <c r="O291" t="s">
        <v>2194</v>
      </c>
      <c r="P291">
        <v>3.7936472207936473E-5</v>
      </c>
      <c r="Q291" t="s">
        <v>238</v>
      </c>
      <c r="S291" t="s">
        <v>347</v>
      </c>
      <c r="T291" t="s">
        <v>2194</v>
      </c>
      <c r="U291">
        <v>9.5305487660522623E-5</v>
      </c>
      <c r="V291" t="s">
        <v>238</v>
      </c>
      <c r="X291">
        <v>1.1415525114155251E-4</v>
      </c>
      <c r="Y291">
        <v>2.2209515285616027E-4</v>
      </c>
      <c r="Z291" t="s">
        <v>2194</v>
      </c>
      <c r="AA291" t="s">
        <v>25</v>
      </c>
      <c r="AC291" t="s">
        <v>22</v>
      </c>
      <c r="AD291" t="s">
        <v>2194</v>
      </c>
      <c r="AE291">
        <v>9.1045431292577898E-5</v>
      </c>
      <c r="AG291" t="s">
        <v>97</v>
      </c>
      <c r="AH291" t="s">
        <v>2194</v>
      </c>
      <c r="AI291">
        <v>0</v>
      </c>
    </row>
    <row r="292" spans="5:35" x14ac:dyDescent="0.45">
      <c r="E292" t="s">
        <v>480</v>
      </c>
      <c r="G292" t="s">
        <v>1826</v>
      </c>
      <c r="I292" t="s">
        <v>236</v>
      </c>
      <c r="J292" t="s">
        <v>2195</v>
      </c>
      <c r="K292">
        <v>2.6214891203500001E-4</v>
      </c>
      <c r="L292" t="s">
        <v>238</v>
      </c>
      <c r="N292" t="s">
        <v>346</v>
      </c>
      <c r="O292" t="s">
        <v>2195</v>
      </c>
      <c r="P292">
        <v>2.8653529650223103E-5</v>
      </c>
      <c r="Q292" t="s">
        <v>238</v>
      </c>
      <c r="S292" t="s">
        <v>347</v>
      </c>
      <c r="T292" t="s">
        <v>2195</v>
      </c>
      <c r="U292">
        <v>6.8756819853930232E-5</v>
      </c>
      <c r="V292" t="s">
        <v>238</v>
      </c>
      <c r="X292">
        <v>1.1415525114155251E-4</v>
      </c>
      <c r="Y292">
        <v>2.2209515285616027E-4</v>
      </c>
      <c r="Z292" t="s">
        <v>2195</v>
      </c>
      <c r="AA292" t="s">
        <v>25</v>
      </c>
      <c r="AC292" t="s">
        <v>22</v>
      </c>
      <c r="AD292" t="s">
        <v>2195</v>
      </c>
      <c r="AE292">
        <v>9.1045431292577925E-5</v>
      </c>
      <c r="AG292" t="s">
        <v>97</v>
      </c>
      <c r="AH292" t="s">
        <v>2195</v>
      </c>
      <c r="AI292">
        <v>0</v>
      </c>
    </row>
    <row r="293" spans="5:35" x14ac:dyDescent="0.45">
      <c r="E293" t="s">
        <v>481</v>
      </c>
      <c r="G293" t="s">
        <v>1826</v>
      </c>
      <c r="I293" t="s">
        <v>236</v>
      </c>
      <c r="J293" t="s">
        <v>2196</v>
      </c>
      <c r="K293">
        <v>1.7445391429809999E-4</v>
      </c>
      <c r="L293" t="s">
        <v>238</v>
      </c>
      <c r="N293" t="s">
        <v>346</v>
      </c>
      <c r="O293" t="s">
        <v>2196</v>
      </c>
      <c r="P293">
        <v>2.4402739387710229E-5</v>
      </c>
      <c r="Q293" t="s">
        <v>238</v>
      </c>
      <c r="S293" t="s">
        <v>347</v>
      </c>
      <c r="T293" t="s">
        <v>2196</v>
      </c>
      <c r="U293">
        <v>6.3429575402803941E-5</v>
      </c>
      <c r="V293" t="s">
        <v>238</v>
      </c>
      <c r="X293">
        <v>1.1415525114155251E-4</v>
      </c>
      <c r="Y293">
        <v>1.7237235744060203E-4</v>
      </c>
      <c r="Z293" t="s">
        <v>2196</v>
      </c>
      <c r="AA293" t="s">
        <v>25</v>
      </c>
      <c r="AC293" t="s">
        <v>22</v>
      </c>
      <c r="AD293" t="s">
        <v>2196</v>
      </c>
      <c r="AE293">
        <v>9.1386517295358386E-5</v>
      </c>
      <c r="AG293" t="s">
        <v>97</v>
      </c>
      <c r="AH293" t="s">
        <v>2196</v>
      </c>
      <c r="AI293">
        <v>0</v>
      </c>
    </row>
    <row r="294" spans="5:35" x14ac:dyDescent="0.45">
      <c r="E294" t="s">
        <v>482</v>
      </c>
      <c r="G294" t="s">
        <v>1826</v>
      </c>
      <c r="I294" t="s">
        <v>236</v>
      </c>
      <c r="J294" t="s">
        <v>2197</v>
      </c>
      <c r="K294">
        <v>7.2923524245613547E-5</v>
      </c>
      <c r="L294" t="s">
        <v>238</v>
      </c>
      <c r="N294" t="s">
        <v>346</v>
      </c>
      <c r="O294" t="s">
        <v>2197</v>
      </c>
      <c r="P294">
        <v>2.7161895999727259E-5</v>
      </c>
      <c r="Q294" t="s">
        <v>238</v>
      </c>
      <c r="S294" t="s">
        <v>347</v>
      </c>
      <c r="T294" t="s">
        <v>2197</v>
      </c>
      <c r="U294">
        <v>5.8249544076213279E-5</v>
      </c>
      <c r="V294" t="s">
        <v>238</v>
      </c>
      <c r="X294">
        <v>1.1415525114155251E-4</v>
      </c>
      <c r="Y294">
        <v>1.5579809230208258E-4</v>
      </c>
      <c r="Z294" t="s">
        <v>2197</v>
      </c>
      <c r="AA294" t="s">
        <v>25</v>
      </c>
      <c r="AC294" t="s">
        <v>22</v>
      </c>
      <c r="AD294" t="s">
        <v>2197</v>
      </c>
      <c r="AE294">
        <v>8.8649230466321833E-5</v>
      </c>
      <c r="AG294" t="s">
        <v>97</v>
      </c>
      <c r="AH294" t="s">
        <v>2197</v>
      </c>
      <c r="AI294">
        <v>0</v>
      </c>
    </row>
    <row r="295" spans="5:35" x14ac:dyDescent="0.45">
      <c r="E295" t="s">
        <v>483</v>
      </c>
      <c r="G295" t="s">
        <v>1826</v>
      </c>
      <c r="I295" t="s">
        <v>236</v>
      </c>
      <c r="J295" t="s">
        <v>2198</v>
      </c>
      <c r="K295">
        <v>2.2951421042146638E-5</v>
      </c>
      <c r="L295" t="s">
        <v>238</v>
      </c>
      <c r="N295" t="s">
        <v>346</v>
      </c>
      <c r="O295" t="s">
        <v>2198</v>
      </c>
      <c r="P295">
        <v>2.7905862457884323E-5</v>
      </c>
      <c r="Q295" t="s">
        <v>238</v>
      </c>
      <c r="S295" t="s">
        <v>347</v>
      </c>
      <c r="T295" t="s">
        <v>2198</v>
      </c>
      <c r="U295">
        <v>4.5137877697825563E-5</v>
      </c>
      <c r="V295" t="s">
        <v>238</v>
      </c>
      <c r="X295">
        <v>1.1415525114155251E-4</v>
      </c>
      <c r="Y295">
        <v>1.093901499142282E-4</v>
      </c>
      <c r="Z295" t="s">
        <v>2198</v>
      </c>
      <c r="AA295" t="s">
        <v>25</v>
      </c>
      <c r="AC295" t="s">
        <v>22</v>
      </c>
      <c r="AD295" t="s">
        <v>2198</v>
      </c>
      <c r="AE295">
        <v>8.905624065451366E-5</v>
      </c>
      <c r="AG295" t="s">
        <v>97</v>
      </c>
      <c r="AH295" t="s">
        <v>2198</v>
      </c>
      <c r="AI295">
        <v>0</v>
      </c>
    </row>
    <row r="296" spans="5:35" x14ac:dyDescent="0.45">
      <c r="E296" t="s">
        <v>484</v>
      </c>
      <c r="G296" t="s">
        <v>1826</v>
      </c>
      <c r="I296" t="s">
        <v>236</v>
      </c>
      <c r="J296" t="s">
        <v>2199</v>
      </c>
      <c r="K296">
        <v>0</v>
      </c>
      <c r="L296" t="s">
        <v>238</v>
      </c>
      <c r="N296" t="s">
        <v>346</v>
      </c>
      <c r="O296" t="s">
        <v>2199</v>
      </c>
      <c r="P296">
        <v>2.3807920252968417E-5</v>
      </c>
      <c r="Q296" t="s">
        <v>238</v>
      </c>
      <c r="S296" t="s">
        <v>347</v>
      </c>
      <c r="T296" t="s">
        <v>2199</v>
      </c>
      <c r="U296">
        <v>3.3006503326831923E-5</v>
      </c>
      <c r="V296" t="s">
        <v>238</v>
      </c>
      <c r="X296">
        <v>1.1415525114155251E-4</v>
      </c>
      <c r="Y296">
        <v>7.9556472664893237E-5</v>
      </c>
      <c r="Z296" t="s">
        <v>2199</v>
      </c>
      <c r="AA296" t="s">
        <v>25</v>
      </c>
      <c r="AC296" t="s">
        <v>22</v>
      </c>
      <c r="AD296" t="s">
        <v>2199</v>
      </c>
      <c r="AE296">
        <v>8.7067050016449409E-5</v>
      </c>
      <c r="AG296" t="s">
        <v>97</v>
      </c>
      <c r="AH296" t="s">
        <v>2199</v>
      </c>
      <c r="AI296">
        <v>0</v>
      </c>
    </row>
    <row r="297" spans="5:35" x14ac:dyDescent="0.45">
      <c r="E297" t="s">
        <v>485</v>
      </c>
      <c r="G297" t="s">
        <v>1826</v>
      </c>
      <c r="I297" t="s">
        <v>236</v>
      </c>
      <c r="J297" t="s">
        <v>2200</v>
      </c>
      <c r="K297">
        <v>0</v>
      </c>
      <c r="L297" t="s">
        <v>238</v>
      </c>
      <c r="N297" t="s">
        <v>346</v>
      </c>
      <c r="O297" t="s">
        <v>2200</v>
      </c>
      <c r="P297">
        <v>2.0882738336887981E-5</v>
      </c>
      <c r="Q297" t="s">
        <v>238</v>
      </c>
      <c r="S297" t="s">
        <v>347</v>
      </c>
      <c r="T297" t="s">
        <v>2200</v>
      </c>
      <c r="U297">
        <v>2.0029551960882932E-5</v>
      </c>
      <c r="V297" t="s">
        <v>238</v>
      </c>
      <c r="X297">
        <v>1.1415525114155251E-4</v>
      </c>
      <c r="Y297">
        <v>5.6352501470966035E-5</v>
      </c>
      <c r="Z297" t="s">
        <v>2200</v>
      </c>
      <c r="AA297" t="s">
        <v>25</v>
      </c>
      <c r="AC297" t="s">
        <v>22</v>
      </c>
      <c r="AD297" t="s">
        <v>2200</v>
      </c>
      <c r="AE297">
        <v>9.9592645244606163E-5</v>
      </c>
      <c r="AG297" t="s">
        <v>97</v>
      </c>
      <c r="AH297" t="s">
        <v>2200</v>
      </c>
      <c r="AI297">
        <v>0</v>
      </c>
    </row>
    <row r="298" spans="5:35" x14ac:dyDescent="0.45">
      <c r="E298" t="s">
        <v>486</v>
      </c>
      <c r="G298" t="s">
        <v>1826</v>
      </c>
      <c r="I298" t="s">
        <v>236</v>
      </c>
      <c r="J298" t="s">
        <v>2201</v>
      </c>
      <c r="K298">
        <v>0</v>
      </c>
      <c r="L298" t="s">
        <v>238</v>
      </c>
      <c r="N298" t="s">
        <v>346</v>
      </c>
      <c r="O298" t="s">
        <v>2201</v>
      </c>
      <c r="P298">
        <v>8.4545643384501763E-6</v>
      </c>
      <c r="Q298" t="s">
        <v>238</v>
      </c>
      <c r="S298" t="s">
        <v>347</v>
      </c>
      <c r="T298" t="s">
        <v>2201</v>
      </c>
      <c r="U298">
        <v>1.4984030033363296E-5</v>
      </c>
      <c r="V298" t="s">
        <v>238</v>
      </c>
      <c r="X298">
        <v>1.1415525114155251E-4</v>
      </c>
      <c r="Y298">
        <v>2.9833677249334962E-5</v>
      </c>
      <c r="Z298" t="s">
        <v>2201</v>
      </c>
      <c r="AA298" t="s">
        <v>25</v>
      </c>
      <c r="AC298" t="s">
        <v>22</v>
      </c>
      <c r="AD298" t="s">
        <v>2201</v>
      </c>
      <c r="AE298">
        <v>8.892152601476004E-5</v>
      </c>
      <c r="AG298" t="s">
        <v>97</v>
      </c>
      <c r="AH298" t="s">
        <v>2201</v>
      </c>
      <c r="AI298">
        <v>0</v>
      </c>
    </row>
    <row r="299" spans="5:35" x14ac:dyDescent="0.45">
      <c r="E299" t="s">
        <v>202</v>
      </c>
      <c r="G299" t="s">
        <v>1828</v>
      </c>
      <c r="I299" t="s">
        <v>236</v>
      </c>
      <c r="J299" t="s">
        <v>2202</v>
      </c>
      <c r="K299">
        <v>0</v>
      </c>
      <c r="L299" t="s">
        <v>238</v>
      </c>
      <c r="N299" t="s">
        <v>346</v>
      </c>
      <c r="O299" t="s">
        <v>2202</v>
      </c>
      <c r="P299">
        <v>7.8754746536389956E-5</v>
      </c>
      <c r="Q299" t="s">
        <v>238</v>
      </c>
      <c r="S299" t="s">
        <v>347</v>
      </c>
      <c r="T299" t="s">
        <v>2202</v>
      </c>
      <c r="U299">
        <v>5.0403738017174607E-5</v>
      </c>
      <c r="V299" t="s">
        <v>238</v>
      </c>
      <c r="X299">
        <v>1.1415525114155251E-4</v>
      </c>
      <c r="Y299">
        <v>2.1546544680075254E-5</v>
      </c>
      <c r="Z299" t="s">
        <v>2202</v>
      </c>
      <c r="AA299" t="s">
        <v>25</v>
      </c>
      <c r="AC299" t="s">
        <v>22</v>
      </c>
      <c r="AD299" t="s">
        <v>2202</v>
      </c>
      <c r="AE299">
        <v>6.7115100615077708E-5</v>
      </c>
      <c r="AG299" t="s">
        <v>97</v>
      </c>
      <c r="AH299" t="s">
        <v>2202</v>
      </c>
      <c r="AI299">
        <v>0</v>
      </c>
    </row>
    <row r="300" spans="5:35" x14ac:dyDescent="0.45">
      <c r="E300" t="s">
        <v>203</v>
      </c>
      <c r="G300" t="s">
        <v>1828</v>
      </c>
      <c r="I300" t="s">
        <v>236</v>
      </c>
      <c r="J300" t="s">
        <v>2203</v>
      </c>
      <c r="K300">
        <v>0</v>
      </c>
      <c r="L300" t="s">
        <v>238</v>
      </c>
      <c r="N300" t="s">
        <v>346</v>
      </c>
      <c r="O300" t="s">
        <v>2203</v>
      </c>
      <c r="P300">
        <v>6.2620767179446388E-5</v>
      </c>
      <c r="Q300" t="s">
        <v>238</v>
      </c>
      <c r="S300" t="s">
        <v>347</v>
      </c>
      <c r="T300" t="s">
        <v>2203</v>
      </c>
      <c r="U300">
        <v>3.8752643587695992E-5</v>
      </c>
      <c r="V300" t="s">
        <v>238</v>
      </c>
      <c r="X300">
        <v>1.1415525114155251E-4</v>
      </c>
      <c r="Y300">
        <v>1.4916838624667481E-5</v>
      </c>
      <c r="Z300" t="s">
        <v>2203</v>
      </c>
      <c r="AA300" t="s">
        <v>25</v>
      </c>
      <c r="AC300" t="s">
        <v>22</v>
      </c>
      <c r="AD300" t="s">
        <v>2203</v>
      </c>
      <c r="AE300">
        <v>6.5295019843938237E-5</v>
      </c>
      <c r="AG300" t="s">
        <v>97</v>
      </c>
      <c r="AH300" t="s">
        <v>2203</v>
      </c>
      <c r="AI300">
        <v>0</v>
      </c>
    </row>
    <row r="301" spans="5:35" x14ac:dyDescent="0.45">
      <c r="E301" t="s">
        <v>204</v>
      </c>
      <c r="G301" t="s">
        <v>1828</v>
      </c>
      <c r="I301" t="s">
        <v>236</v>
      </c>
      <c r="J301" t="s">
        <v>2204</v>
      </c>
      <c r="K301">
        <v>0</v>
      </c>
      <c r="L301" t="s">
        <v>238</v>
      </c>
      <c r="N301" t="s">
        <v>346</v>
      </c>
      <c r="O301" t="s">
        <v>2204</v>
      </c>
      <c r="P301">
        <v>4.8481744185950607E-5</v>
      </c>
      <c r="Q301" t="s">
        <v>238</v>
      </c>
      <c r="S301" t="s">
        <v>347</v>
      </c>
      <c r="T301" t="s">
        <v>2204</v>
      </c>
      <c r="U301">
        <v>2.965610691269327E-5</v>
      </c>
      <c r="V301" t="s">
        <v>238</v>
      </c>
      <c r="X301">
        <v>1.1415525114155251E-4</v>
      </c>
      <c r="Y301">
        <v>1.6574265138519424E-5</v>
      </c>
      <c r="Z301" t="s">
        <v>2204</v>
      </c>
      <c r="AA301" t="s">
        <v>25</v>
      </c>
      <c r="AC301" t="s">
        <v>22</v>
      </c>
      <c r="AD301" t="s">
        <v>2204</v>
      </c>
      <c r="AE301">
        <v>6.5295019843938237E-5</v>
      </c>
      <c r="AG301" t="s">
        <v>97</v>
      </c>
      <c r="AH301" t="s">
        <v>2204</v>
      </c>
      <c r="AI301">
        <v>0</v>
      </c>
    </row>
    <row r="302" spans="5:35" x14ac:dyDescent="0.45">
      <c r="E302" t="s">
        <v>205</v>
      </c>
      <c r="G302" t="s">
        <v>1828</v>
      </c>
      <c r="I302" t="s">
        <v>236</v>
      </c>
      <c r="J302" t="s">
        <v>2205</v>
      </c>
      <c r="K302">
        <v>0</v>
      </c>
      <c r="L302" t="s">
        <v>238</v>
      </c>
      <c r="N302" t="s">
        <v>346</v>
      </c>
      <c r="O302" t="s">
        <v>2205</v>
      </c>
      <c r="P302">
        <v>3.5024779813601112E-5</v>
      </c>
      <c r="Q302" t="s">
        <v>238</v>
      </c>
      <c r="S302" t="s">
        <v>347</v>
      </c>
      <c r="T302" t="s">
        <v>2205</v>
      </c>
      <c r="U302">
        <v>2.0655443935861949E-5</v>
      </c>
      <c r="V302" t="s">
        <v>238</v>
      </c>
      <c r="X302">
        <v>1.1415525114155251E-4</v>
      </c>
      <c r="Y302">
        <v>1.4585353321897093E-5</v>
      </c>
      <c r="Z302" t="s">
        <v>2205</v>
      </c>
      <c r="AA302" t="s">
        <v>25</v>
      </c>
      <c r="AC302" t="s">
        <v>22</v>
      </c>
      <c r="AD302" t="s">
        <v>2205</v>
      </c>
      <c r="AE302">
        <v>6.6043116034910526E-5</v>
      </c>
      <c r="AG302" t="s">
        <v>97</v>
      </c>
      <c r="AH302" t="s">
        <v>2205</v>
      </c>
      <c r="AI302">
        <v>0</v>
      </c>
    </row>
    <row r="303" spans="5:35" x14ac:dyDescent="0.45">
      <c r="E303" t="s">
        <v>206</v>
      </c>
      <c r="G303" t="s">
        <v>1828</v>
      </c>
      <c r="I303" t="s">
        <v>236</v>
      </c>
      <c r="J303" t="s">
        <v>2206</v>
      </c>
      <c r="K303">
        <v>0</v>
      </c>
      <c r="L303" t="s">
        <v>238</v>
      </c>
      <c r="N303" t="s">
        <v>346</v>
      </c>
      <c r="O303" t="s">
        <v>2206</v>
      </c>
      <c r="P303">
        <v>2.274756732348428E-5</v>
      </c>
      <c r="Q303" t="s">
        <v>238</v>
      </c>
      <c r="S303" t="s">
        <v>347</v>
      </c>
      <c r="T303" t="s">
        <v>2206</v>
      </c>
      <c r="U303">
        <v>1.3372479616743222E-5</v>
      </c>
      <c r="V303" t="s">
        <v>238</v>
      </c>
      <c r="X303">
        <v>1.1415525114155251E-4</v>
      </c>
      <c r="Y303">
        <v>2.1215059377304864E-5</v>
      </c>
      <c r="Z303" t="s">
        <v>2206</v>
      </c>
      <c r="AA303" t="s">
        <v>25</v>
      </c>
      <c r="AC303" t="s">
        <v>22</v>
      </c>
      <c r="AD303" t="s">
        <v>2206</v>
      </c>
      <c r="AE303">
        <v>7.5834290702961655E-5</v>
      </c>
      <c r="AG303" t="s">
        <v>97</v>
      </c>
      <c r="AH303" t="s">
        <v>2206</v>
      </c>
      <c r="AI303">
        <v>0</v>
      </c>
    </row>
    <row r="304" spans="5:35" x14ac:dyDescent="0.45">
      <c r="E304" t="s">
        <v>207</v>
      </c>
      <c r="G304" t="s">
        <v>1828</v>
      </c>
      <c r="I304" t="s">
        <v>236</v>
      </c>
      <c r="J304" t="s">
        <v>2207</v>
      </c>
      <c r="K304">
        <v>0</v>
      </c>
      <c r="L304" t="s">
        <v>238</v>
      </c>
      <c r="N304" t="s">
        <v>346</v>
      </c>
      <c r="O304" t="s">
        <v>2207</v>
      </c>
      <c r="P304">
        <v>1.5409307998802086E-5</v>
      </c>
      <c r="Q304" t="s">
        <v>238</v>
      </c>
      <c r="S304" t="s">
        <v>347</v>
      </c>
      <c r="T304" t="s">
        <v>2207</v>
      </c>
      <c r="U304">
        <v>8.9891997255924775E-6</v>
      </c>
      <c r="V304" t="s">
        <v>238</v>
      </c>
      <c r="X304">
        <v>1.1415525114155251E-4</v>
      </c>
      <c r="Y304">
        <v>5.7678442682047593E-5</v>
      </c>
      <c r="Z304" t="s">
        <v>2207</v>
      </c>
      <c r="AA304" t="s">
        <v>25</v>
      </c>
      <c r="AC304" t="s">
        <v>22</v>
      </c>
      <c r="AD304" t="s">
        <v>2207</v>
      </c>
      <c r="AE304">
        <v>9.5597214981712431E-5</v>
      </c>
      <c r="AG304" t="s">
        <v>97</v>
      </c>
      <c r="AH304" t="s">
        <v>2207</v>
      </c>
      <c r="AI304">
        <v>0</v>
      </c>
    </row>
    <row r="305" spans="5:35" x14ac:dyDescent="0.45">
      <c r="E305" t="s">
        <v>208</v>
      </c>
      <c r="G305" t="s">
        <v>1828</v>
      </c>
      <c r="I305" t="s">
        <v>236</v>
      </c>
      <c r="J305" t="s">
        <v>2208</v>
      </c>
      <c r="K305">
        <v>3.4144491119010874E-8</v>
      </c>
      <c r="L305" t="s">
        <v>238</v>
      </c>
      <c r="N305" t="s">
        <v>346</v>
      </c>
      <c r="O305" t="s">
        <v>2208</v>
      </c>
      <c r="P305">
        <v>1.3084754611836489E-5</v>
      </c>
      <c r="Q305" t="s">
        <v>238</v>
      </c>
      <c r="S305" t="s">
        <v>347</v>
      </c>
      <c r="T305" t="s">
        <v>2208</v>
      </c>
      <c r="U305">
        <v>7.3884468252039276E-6</v>
      </c>
      <c r="V305" t="s">
        <v>238</v>
      </c>
      <c r="X305">
        <v>1.1415525114155251E-4</v>
      </c>
      <c r="Y305">
        <v>1.6905750441289813E-4</v>
      </c>
      <c r="Z305" t="s">
        <v>2208</v>
      </c>
      <c r="AA305" t="s">
        <v>25</v>
      </c>
      <c r="AC305" t="s">
        <v>22</v>
      </c>
      <c r="AD305" t="s">
        <v>2208</v>
      </c>
      <c r="AE305">
        <v>1.115967281541543E-4</v>
      </c>
      <c r="AG305" t="s">
        <v>97</v>
      </c>
      <c r="AH305" t="s">
        <v>2208</v>
      </c>
      <c r="AI305">
        <v>0</v>
      </c>
    </row>
    <row r="306" spans="5:35" x14ac:dyDescent="0.45">
      <c r="E306" t="s">
        <v>209</v>
      </c>
      <c r="G306" t="s">
        <v>1828</v>
      </c>
      <c r="I306" t="s">
        <v>236</v>
      </c>
      <c r="J306" t="s">
        <v>2209</v>
      </c>
      <c r="K306">
        <v>5.8998597463627431E-6</v>
      </c>
      <c r="L306" t="s">
        <v>238</v>
      </c>
      <c r="N306" t="s">
        <v>346</v>
      </c>
      <c r="O306" t="s">
        <v>2209</v>
      </c>
      <c r="P306">
        <v>1.0312291597070038E-5</v>
      </c>
      <c r="Q306" t="s">
        <v>238</v>
      </c>
      <c r="S306" t="s">
        <v>347</v>
      </c>
      <c r="T306" t="s">
        <v>2209</v>
      </c>
      <c r="U306">
        <v>7.8526544617481623E-6</v>
      </c>
      <c r="V306" t="s">
        <v>238</v>
      </c>
      <c r="X306">
        <v>1.1415525114155251E-4</v>
      </c>
      <c r="Y306">
        <v>1.9060404909297337E-4</v>
      </c>
      <c r="Z306" t="s">
        <v>2209</v>
      </c>
      <c r="AA306" t="s">
        <v>25</v>
      </c>
      <c r="AC306" t="s">
        <v>22</v>
      </c>
      <c r="AD306" t="s">
        <v>2209</v>
      </c>
      <c r="AE306">
        <v>1.2374970842129039E-4</v>
      </c>
      <c r="AG306" t="s">
        <v>97</v>
      </c>
      <c r="AH306" t="s">
        <v>2209</v>
      </c>
      <c r="AI306">
        <v>0</v>
      </c>
    </row>
    <row r="307" spans="5:35" x14ac:dyDescent="0.45">
      <c r="E307" t="s">
        <v>210</v>
      </c>
      <c r="G307" t="s">
        <v>1828</v>
      </c>
      <c r="I307" t="s">
        <v>236</v>
      </c>
      <c r="J307" t="s">
        <v>2210</v>
      </c>
      <c r="K307">
        <v>1.1691646601908256E-5</v>
      </c>
      <c r="L307" t="s">
        <v>238</v>
      </c>
      <c r="N307" t="s">
        <v>346</v>
      </c>
      <c r="O307" t="s">
        <v>2210</v>
      </c>
      <c r="P307">
        <v>8.0939110132505165E-6</v>
      </c>
      <c r="Q307" t="s">
        <v>238</v>
      </c>
      <c r="S307" t="s">
        <v>347</v>
      </c>
      <c r="T307" t="s">
        <v>2210</v>
      </c>
      <c r="U307">
        <v>7.2565486533324377E-6</v>
      </c>
      <c r="V307" t="s">
        <v>238</v>
      </c>
      <c r="X307">
        <v>1.1415525114155251E-4</v>
      </c>
      <c r="Y307">
        <v>1.4585353321897094E-4</v>
      </c>
      <c r="Z307" t="s">
        <v>2210</v>
      </c>
      <c r="AA307" t="s">
        <v>25</v>
      </c>
      <c r="AC307" t="s">
        <v>22</v>
      </c>
      <c r="AD307" t="s">
        <v>2210</v>
      </c>
      <c r="AE307">
        <v>1.2884306831155001E-4</v>
      </c>
      <c r="AG307" t="s">
        <v>97</v>
      </c>
      <c r="AH307" t="s">
        <v>2210</v>
      </c>
      <c r="AI307">
        <v>0</v>
      </c>
    </row>
    <row r="308" spans="5:35" x14ac:dyDescent="0.45">
      <c r="E308" t="s">
        <v>211</v>
      </c>
      <c r="G308" t="s">
        <v>1828</v>
      </c>
      <c r="I308" t="s">
        <v>236</v>
      </c>
      <c r="J308" t="s">
        <v>2211</v>
      </c>
      <c r="K308">
        <v>2.4271269854274324E-5</v>
      </c>
      <c r="L308" t="s">
        <v>238</v>
      </c>
      <c r="N308" t="s">
        <v>346</v>
      </c>
      <c r="O308" t="s">
        <v>2211</v>
      </c>
      <c r="P308">
        <v>8.9781751169694002E-6</v>
      </c>
      <c r="Q308" t="s">
        <v>238</v>
      </c>
      <c r="S308" t="s">
        <v>347</v>
      </c>
      <c r="T308" t="s">
        <v>2211</v>
      </c>
      <c r="U308">
        <v>7.7436895405579989E-6</v>
      </c>
      <c r="V308" t="s">
        <v>238</v>
      </c>
      <c r="X308">
        <v>1.1415525114155251E-4</v>
      </c>
      <c r="Y308">
        <v>1.4452759200788939E-4</v>
      </c>
      <c r="Z308" t="s">
        <v>2211</v>
      </c>
      <c r="AA308" t="s">
        <v>25</v>
      </c>
      <c r="AC308" t="s">
        <v>22</v>
      </c>
      <c r="AD308" t="s">
        <v>2211</v>
      </c>
      <c r="AE308">
        <v>1.2890899249696139E-4</v>
      </c>
      <c r="AG308" t="s">
        <v>97</v>
      </c>
      <c r="AH308" t="s">
        <v>2211</v>
      </c>
      <c r="AI308">
        <v>0</v>
      </c>
    </row>
    <row r="309" spans="5:35" x14ac:dyDescent="0.45">
      <c r="E309" t="s">
        <v>212</v>
      </c>
      <c r="G309" t="s">
        <v>1828</v>
      </c>
      <c r="I309" t="s">
        <v>236</v>
      </c>
      <c r="J309" t="s">
        <v>2212</v>
      </c>
      <c r="K309">
        <v>4.4876190409686962E-5</v>
      </c>
      <c r="L309" t="s">
        <v>238</v>
      </c>
      <c r="N309" t="s">
        <v>346</v>
      </c>
      <c r="O309" t="s">
        <v>2212</v>
      </c>
      <c r="P309">
        <v>9.6968945690961742E-6</v>
      </c>
      <c r="Q309" t="s">
        <v>238</v>
      </c>
      <c r="S309" t="s">
        <v>347</v>
      </c>
      <c r="T309" t="s">
        <v>2212</v>
      </c>
      <c r="U309">
        <v>1.2330287585756752E-5</v>
      </c>
      <c r="V309" t="s">
        <v>238</v>
      </c>
      <c r="X309">
        <v>1.1415525114155251E-4</v>
      </c>
      <c r="Y309">
        <v>1.408812536774151E-4</v>
      </c>
      <c r="Z309" t="s">
        <v>2212</v>
      </c>
      <c r="AA309" t="s">
        <v>25</v>
      </c>
      <c r="AC309" t="s">
        <v>22</v>
      </c>
      <c r="AD309" t="s">
        <v>2212</v>
      </c>
      <c r="AE309">
        <v>1.278083452274849E-4</v>
      </c>
      <c r="AG309" t="s">
        <v>97</v>
      </c>
      <c r="AH309" t="s">
        <v>2212</v>
      </c>
      <c r="AI309">
        <v>0</v>
      </c>
    </row>
    <row r="310" spans="5:35" x14ac:dyDescent="0.45">
      <c r="E310" t="s">
        <v>213</v>
      </c>
      <c r="G310" t="s">
        <v>1828</v>
      </c>
      <c r="I310" t="s">
        <v>236</v>
      </c>
      <c r="J310" t="s">
        <v>2213</v>
      </c>
      <c r="K310">
        <v>7.3350626394807207E-5</v>
      </c>
      <c r="L310" t="s">
        <v>238</v>
      </c>
      <c r="N310" t="s">
        <v>346</v>
      </c>
      <c r="O310" t="s">
        <v>2213</v>
      </c>
      <c r="P310">
        <v>1.2236553197127912E-5</v>
      </c>
      <c r="Q310" t="s">
        <v>238</v>
      </c>
      <c r="S310" t="s">
        <v>347</v>
      </c>
      <c r="T310" t="s">
        <v>2213</v>
      </c>
      <c r="U310">
        <v>1.463027731867886E-5</v>
      </c>
      <c r="V310" t="s">
        <v>238</v>
      </c>
      <c r="X310">
        <v>1.1415525114155251E-4</v>
      </c>
      <c r="Y310">
        <v>1.4054976837464471E-4</v>
      </c>
      <c r="Z310" t="s">
        <v>2213</v>
      </c>
      <c r="AA310" t="s">
        <v>25</v>
      </c>
      <c r="AC310" t="s">
        <v>22</v>
      </c>
      <c r="AD310" t="s">
        <v>2213</v>
      </c>
      <c r="AE310">
        <v>1.2697712723751565E-4</v>
      </c>
      <c r="AG310" t="s">
        <v>97</v>
      </c>
      <c r="AH310" t="s">
        <v>2213</v>
      </c>
      <c r="AI310">
        <v>0</v>
      </c>
    </row>
    <row r="311" spans="5:35" x14ac:dyDescent="0.45">
      <c r="E311" t="s">
        <v>214</v>
      </c>
      <c r="G311" t="s">
        <v>1828</v>
      </c>
      <c r="I311" t="s">
        <v>236</v>
      </c>
      <c r="J311" t="s">
        <v>2214</v>
      </c>
      <c r="K311">
        <v>1.031725304408E-4</v>
      </c>
      <c r="L311" t="s">
        <v>238</v>
      </c>
      <c r="N311" t="s">
        <v>346</v>
      </c>
      <c r="O311" t="s">
        <v>2214</v>
      </c>
      <c r="P311">
        <v>1.3735529348751976E-5</v>
      </c>
      <c r="Q311" t="s">
        <v>238</v>
      </c>
      <c r="S311" t="s">
        <v>347</v>
      </c>
      <c r="T311" t="s">
        <v>2214</v>
      </c>
      <c r="U311">
        <v>1.7528991271401469E-5</v>
      </c>
      <c r="V311" t="s">
        <v>238</v>
      </c>
      <c r="X311">
        <v>1.1415525114155251E-4</v>
      </c>
      <c r="Y311">
        <v>1.4253868019126702E-4</v>
      </c>
      <c r="Z311" t="s">
        <v>2214</v>
      </c>
      <c r="AA311" t="s">
        <v>25</v>
      </c>
      <c r="AC311" t="s">
        <v>22</v>
      </c>
      <c r="AD311" t="s">
        <v>2214</v>
      </c>
      <c r="AE311">
        <v>1.27364073543191E-4</v>
      </c>
      <c r="AG311" t="s">
        <v>97</v>
      </c>
      <c r="AH311" t="s">
        <v>2214</v>
      </c>
      <c r="AI311">
        <v>0</v>
      </c>
    </row>
    <row r="312" spans="5:35" x14ac:dyDescent="0.45">
      <c r="E312" t="s">
        <v>215</v>
      </c>
      <c r="G312" t="s">
        <v>1828</v>
      </c>
      <c r="I312" t="s">
        <v>236</v>
      </c>
      <c r="J312" t="s">
        <v>2215</v>
      </c>
      <c r="K312">
        <v>1.323837674391E-4</v>
      </c>
      <c r="L312" t="s">
        <v>238</v>
      </c>
      <c r="N312" t="s">
        <v>346</v>
      </c>
      <c r="O312" t="s">
        <v>2215</v>
      </c>
      <c r="P312">
        <v>1.3997215297294631E-5</v>
      </c>
      <c r="Q312" t="s">
        <v>238</v>
      </c>
      <c r="S312" t="s">
        <v>347</v>
      </c>
      <c r="T312" t="s">
        <v>2215</v>
      </c>
      <c r="U312">
        <v>1.9761120224883481E-5</v>
      </c>
      <c r="V312" t="s">
        <v>238</v>
      </c>
      <c r="X312">
        <v>1.1415525114155251E-4</v>
      </c>
      <c r="Y312">
        <v>1.4883690094390442E-4</v>
      </c>
      <c r="Z312" t="s">
        <v>2215</v>
      </c>
      <c r="AA312" t="s">
        <v>25</v>
      </c>
      <c r="AC312" t="s">
        <v>22</v>
      </c>
      <c r="AD312" t="s">
        <v>2215</v>
      </c>
      <c r="AE312">
        <v>1.2666183765511357E-4</v>
      </c>
      <c r="AG312" t="s">
        <v>97</v>
      </c>
      <c r="AH312" t="s">
        <v>2215</v>
      </c>
      <c r="AI312">
        <v>0</v>
      </c>
    </row>
    <row r="313" spans="5:35" x14ac:dyDescent="0.45">
      <c r="E313" t="s">
        <v>216</v>
      </c>
      <c r="G313" t="s">
        <v>1828</v>
      </c>
      <c r="I313" t="s">
        <v>236</v>
      </c>
      <c r="J313" t="s">
        <v>2216</v>
      </c>
      <c r="K313">
        <v>1.7347829286009999E-4</v>
      </c>
      <c r="L313" t="s">
        <v>238</v>
      </c>
      <c r="N313" t="s">
        <v>346</v>
      </c>
      <c r="O313" t="s">
        <v>2216</v>
      </c>
      <c r="P313">
        <v>1.6636868849121489E-5</v>
      </c>
      <c r="Q313" t="s">
        <v>238</v>
      </c>
      <c r="S313" t="s">
        <v>347</v>
      </c>
      <c r="T313" t="s">
        <v>2216</v>
      </c>
      <c r="U313">
        <v>2.3284540294485275E-5</v>
      </c>
      <c r="V313" t="s">
        <v>238</v>
      </c>
      <c r="X313">
        <v>1.1415525114155251E-4</v>
      </c>
      <c r="Y313">
        <v>1.5049432745775637E-4</v>
      </c>
      <c r="Z313" t="s">
        <v>2216</v>
      </c>
      <c r="AA313" t="s">
        <v>25</v>
      </c>
      <c r="AC313" t="s">
        <v>22</v>
      </c>
      <c r="AD313" t="s">
        <v>2216</v>
      </c>
      <c r="AE313">
        <v>1.2573316652149277E-4</v>
      </c>
      <c r="AG313" t="s">
        <v>97</v>
      </c>
      <c r="AH313" t="s">
        <v>2216</v>
      </c>
      <c r="AI313">
        <v>0</v>
      </c>
    </row>
    <row r="314" spans="5:35" x14ac:dyDescent="0.45">
      <c r="E314" t="s">
        <v>217</v>
      </c>
      <c r="G314" t="s">
        <v>1828</v>
      </c>
      <c r="I314" t="s">
        <v>236</v>
      </c>
      <c r="J314" t="s">
        <v>2217</v>
      </c>
      <c r="K314">
        <v>1.2426546181749999E-4</v>
      </c>
      <c r="L314" t="s">
        <v>238</v>
      </c>
      <c r="N314" t="s">
        <v>346</v>
      </c>
      <c r="O314" t="s">
        <v>2217</v>
      </c>
      <c r="P314">
        <v>2.4044524086345121E-5</v>
      </c>
      <c r="Q314" t="s">
        <v>238</v>
      </c>
      <c r="S314" t="s">
        <v>347</v>
      </c>
      <c r="T314" t="s">
        <v>2217</v>
      </c>
      <c r="U314">
        <v>2.5112216748613316E-5</v>
      </c>
      <c r="V314" t="s">
        <v>238</v>
      </c>
      <c r="X314">
        <v>1.1415525114155251E-4</v>
      </c>
      <c r="Y314">
        <v>1.7237235744060203E-4</v>
      </c>
      <c r="Z314" t="s">
        <v>2217</v>
      </c>
      <c r="AA314" t="s">
        <v>25</v>
      </c>
      <c r="AC314" t="s">
        <v>22</v>
      </c>
      <c r="AD314" t="s">
        <v>2217</v>
      </c>
      <c r="AE314">
        <v>1.2649846032605064E-4</v>
      </c>
      <c r="AG314" t="s">
        <v>97</v>
      </c>
      <c r="AH314" t="s">
        <v>2217</v>
      </c>
      <c r="AI314">
        <v>0</v>
      </c>
    </row>
    <row r="315" spans="5:35" x14ac:dyDescent="0.45">
      <c r="E315" t="s">
        <v>218</v>
      </c>
      <c r="G315" t="s">
        <v>1828</v>
      </c>
      <c r="I315" t="s">
        <v>236</v>
      </c>
      <c r="J315" t="s">
        <v>2218</v>
      </c>
      <c r="K315">
        <v>7.8093112400751168E-5</v>
      </c>
      <c r="L315" t="s">
        <v>238</v>
      </c>
      <c r="N315" t="s">
        <v>346</v>
      </c>
      <c r="O315" t="s">
        <v>2218</v>
      </c>
      <c r="P315">
        <v>2.5192151094813909E-5</v>
      </c>
      <c r="Q315" t="s">
        <v>238</v>
      </c>
      <c r="S315" t="s">
        <v>347</v>
      </c>
      <c r="T315" t="s">
        <v>2218</v>
      </c>
      <c r="U315">
        <v>2.5693355708710855E-5</v>
      </c>
      <c r="V315" t="s">
        <v>238</v>
      </c>
      <c r="X315">
        <v>1.1415525114155251E-4</v>
      </c>
      <c r="Y315">
        <v>2.2209515285616027E-4</v>
      </c>
      <c r="Z315" t="s">
        <v>2218</v>
      </c>
      <c r="AA315" t="s">
        <v>25</v>
      </c>
      <c r="AC315" t="s">
        <v>22</v>
      </c>
      <c r="AD315" t="s">
        <v>2218</v>
      </c>
      <c r="AE315">
        <v>1.2585068354766085E-4</v>
      </c>
      <c r="AG315" t="s">
        <v>97</v>
      </c>
      <c r="AH315" t="s">
        <v>2218</v>
      </c>
      <c r="AI315">
        <v>0</v>
      </c>
    </row>
    <row r="316" spans="5:35" x14ac:dyDescent="0.45">
      <c r="E316" t="s">
        <v>219</v>
      </c>
      <c r="G316" t="s">
        <v>1828</v>
      </c>
      <c r="I316" t="s">
        <v>236</v>
      </c>
      <c r="J316" t="s">
        <v>2219</v>
      </c>
      <c r="K316">
        <v>5.0461804619742413E-5</v>
      </c>
      <c r="L316" t="s">
        <v>238</v>
      </c>
      <c r="N316" t="s">
        <v>346</v>
      </c>
      <c r="O316" t="s">
        <v>2219</v>
      </c>
      <c r="P316">
        <v>2.7076084865218605E-5</v>
      </c>
      <c r="Q316" t="s">
        <v>238</v>
      </c>
      <c r="S316" t="s">
        <v>347</v>
      </c>
      <c r="T316" t="s">
        <v>2219</v>
      </c>
      <c r="U316">
        <v>2.6974056625012147E-5</v>
      </c>
      <c r="V316" t="s">
        <v>238</v>
      </c>
      <c r="X316">
        <v>1.1415525114155251E-4</v>
      </c>
      <c r="Y316">
        <v>2.2209515285616027E-4</v>
      </c>
      <c r="Z316" t="s">
        <v>2219</v>
      </c>
      <c r="AA316" t="s">
        <v>25</v>
      </c>
      <c r="AC316" t="s">
        <v>22</v>
      </c>
      <c r="AD316" t="s">
        <v>2219</v>
      </c>
      <c r="AE316">
        <v>1.2576469547973299E-4</v>
      </c>
      <c r="AG316" t="s">
        <v>97</v>
      </c>
      <c r="AH316" t="s">
        <v>2219</v>
      </c>
      <c r="AI316">
        <v>0</v>
      </c>
    </row>
    <row r="317" spans="5:35" x14ac:dyDescent="0.45">
      <c r="E317" t="s">
        <v>220</v>
      </c>
      <c r="G317" t="s">
        <v>1828</v>
      </c>
      <c r="I317" t="s">
        <v>236</v>
      </c>
      <c r="J317" t="s">
        <v>2220</v>
      </c>
      <c r="K317">
        <v>8.5451688752776115E-6</v>
      </c>
      <c r="L317" t="s">
        <v>238</v>
      </c>
      <c r="N317" t="s">
        <v>346</v>
      </c>
      <c r="O317" t="s">
        <v>2220</v>
      </c>
      <c r="P317">
        <v>2.9704337602146439E-5</v>
      </c>
      <c r="Q317" t="s">
        <v>238</v>
      </c>
      <c r="S317" t="s">
        <v>347</v>
      </c>
      <c r="T317" t="s">
        <v>2220</v>
      </c>
      <c r="U317">
        <v>2.5918784890391831E-5</v>
      </c>
      <c r="V317" t="s">
        <v>238</v>
      </c>
      <c r="X317">
        <v>1.1415525114155251E-4</v>
      </c>
      <c r="Y317">
        <v>1.7237235744060203E-4</v>
      </c>
      <c r="Z317" t="s">
        <v>2220</v>
      </c>
      <c r="AA317" t="s">
        <v>25</v>
      </c>
      <c r="AC317" t="s">
        <v>22</v>
      </c>
      <c r="AD317" t="s">
        <v>2220</v>
      </c>
      <c r="AE317">
        <v>1.2552679515846594E-4</v>
      </c>
      <c r="AG317" t="s">
        <v>97</v>
      </c>
      <c r="AH317" t="s">
        <v>2220</v>
      </c>
      <c r="AI317">
        <v>0</v>
      </c>
    </row>
    <row r="318" spans="5:35" x14ac:dyDescent="0.45">
      <c r="E318" t="s">
        <v>221</v>
      </c>
      <c r="G318" t="s">
        <v>1828</v>
      </c>
      <c r="I318" t="s">
        <v>236</v>
      </c>
      <c r="J318" t="s">
        <v>2221</v>
      </c>
      <c r="K318">
        <v>0</v>
      </c>
      <c r="L318" t="s">
        <v>238</v>
      </c>
      <c r="N318" t="s">
        <v>346</v>
      </c>
      <c r="O318" t="s">
        <v>2221</v>
      </c>
      <c r="P318">
        <v>3.3345669711877365E-5</v>
      </c>
      <c r="Q318" t="s">
        <v>238</v>
      </c>
      <c r="S318" t="s">
        <v>347</v>
      </c>
      <c r="T318" t="s">
        <v>2221</v>
      </c>
      <c r="U318">
        <v>2.535099521928049E-5</v>
      </c>
      <c r="V318" t="s">
        <v>238</v>
      </c>
      <c r="X318">
        <v>1.1415525114155251E-4</v>
      </c>
      <c r="Y318">
        <v>1.5579809230208258E-4</v>
      </c>
      <c r="Z318" t="s">
        <v>2221</v>
      </c>
      <c r="AA318" t="s">
        <v>25</v>
      </c>
      <c r="AC318" t="s">
        <v>22</v>
      </c>
      <c r="AD318" t="s">
        <v>2221</v>
      </c>
      <c r="AE318">
        <v>1.2227931245972415E-4</v>
      </c>
      <c r="AG318" t="s">
        <v>97</v>
      </c>
      <c r="AH318" t="s">
        <v>2221</v>
      </c>
      <c r="AI318">
        <v>0</v>
      </c>
    </row>
    <row r="319" spans="5:35" x14ac:dyDescent="0.45">
      <c r="E319" t="s">
        <v>222</v>
      </c>
      <c r="G319" t="s">
        <v>1828</v>
      </c>
      <c r="I319" t="s">
        <v>236</v>
      </c>
      <c r="J319" t="s">
        <v>2222</v>
      </c>
      <c r="K319">
        <v>0</v>
      </c>
      <c r="L319" t="s">
        <v>238</v>
      </c>
      <c r="N319" t="s">
        <v>346</v>
      </c>
      <c r="O319" t="s">
        <v>2222</v>
      </c>
      <c r="P319">
        <v>3.5711939590870593E-5</v>
      </c>
      <c r="Q319" t="s">
        <v>238</v>
      </c>
      <c r="S319" t="s">
        <v>347</v>
      </c>
      <c r="T319" t="s">
        <v>2222</v>
      </c>
      <c r="U319">
        <v>2.644027696568111E-5</v>
      </c>
      <c r="V319" t="s">
        <v>238</v>
      </c>
      <c r="X319">
        <v>1.1415525114155251E-4</v>
      </c>
      <c r="Y319">
        <v>1.093901499142282E-4</v>
      </c>
      <c r="Z319" t="s">
        <v>2222</v>
      </c>
      <c r="AA319" t="s">
        <v>25</v>
      </c>
      <c r="AC319" t="s">
        <v>22</v>
      </c>
      <c r="AD319" t="s">
        <v>2222</v>
      </c>
      <c r="AE319">
        <v>1.0750942865865053E-4</v>
      </c>
      <c r="AG319" t="s">
        <v>97</v>
      </c>
      <c r="AH319" t="s">
        <v>2222</v>
      </c>
      <c r="AI319">
        <v>0</v>
      </c>
    </row>
    <row r="320" spans="5:35" x14ac:dyDescent="0.45">
      <c r="E320" t="s">
        <v>223</v>
      </c>
      <c r="G320" t="s">
        <v>1828</v>
      </c>
      <c r="I320" t="s">
        <v>236</v>
      </c>
      <c r="J320" t="s">
        <v>2223</v>
      </c>
      <c r="K320">
        <v>0</v>
      </c>
      <c r="L320" t="s">
        <v>238</v>
      </c>
      <c r="N320" t="s">
        <v>346</v>
      </c>
      <c r="O320" t="s">
        <v>2223</v>
      </c>
      <c r="P320">
        <v>3.9312242377103779E-5</v>
      </c>
      <c r="Q320" t="s">
        <v>238</v>
      </c>
      <c r="S320" t="s">
        <v>347</v>
      </c>
      <c r="T320" t="s">
        <v>2223</v>
      </c>
      <c r="U320">
        <v>2.5759661296603613E-5</v>
      </c>
      <c r="V320" t="s">
        <v>238</v>
      </c>
      <c r="X320">
        <v>1.1415525114155251E-4</v>
      </c>
      <c r="Y320">
        <v>7.9556472664893237E-5</v>
      </c>
      <c r="Z320" t="s">
        <v>2223</v>
      </c>
      <c r="AA320" t="s">
        <v>25</v>
      </c>
      <c r="AC320" t="s">
        <v>22</v>
      </c>
      <c r="AD320" t="s">
        <v>2223</v>
      </c>
      <c r="AE320">
        <v>9.834883315540361E-5</v>
      </c>
      <c r="AG320" t="s">
        <v>97</v>
      </c>
      <c r="AH320" t="s">
        <v>2223</v>
      </c>
      <c r="AI320">
        <v>0</v>
      </c>
    </row>
    <row r="321" spans="5:35" x14ac:dyDescent="0.45">
      <c r="E321" t="s">
        <v>224</v>
      </c>
      <c r="G321" t="s">
        <v>1828</v>
      </c>
      <c r="I321" t="s">
        <v>236</v>
      </c>
      <c r="J321" t="s">
        <v>2224</v>
      </c>
      <c r="K321">
        <v>0</v>
      </c>
      <c r="L321" t="s">
        <v>238</v>
      </c>
      <c r="N321" t="s">
        <v>346</v>
      </c>
      <c r="O321" t="s">
        <v>2224</v>
      </c>
      <c r="P321">
        <v>5.383514277815686E-5</v>
      </c>
      <c r="Q321" t="s">
        <v>238</v>
      </c>
      <c r="S321" t="s">
        <v>347</v>
      </c>
      <c r="T321" t="s">
        <v>2224</v>
      </c>
      <c r="U321">
        <v>2.6692504881058071E-5</v>
      </c>
      <c r="V321" t="s">
        <v>238</v>
      </c>
      <c r="X321">
        <v>1.1415525114155251E-4</v>
      </c>
      <c r="Y321">
        <v>5.6352501470966035E-5</v>
      </c>
      <c r="Z321" t="s">
        <v>2224</v>
      </c>
      <c r="AA321" t="s">
        <v>25</v>
      </c>
      <c r="AC321" t="s">
        <v>22</v>
      </c>
      <c r="AD321" t="s">
        <v>2224</v>
      </c>
      <c r="AE321">
        <v>8.723917477912544E-5</v>
      </c>
      <c r="AG321" t="s">
        <v>97</v>
      </c>
      <c r="AH321" t="s">
        <v>2224</v>
      </c>
      <c r="AI321">
        <v>0</v>
      </c>
    </row>
    <row r="322" spans="5:35" x14ac:dyDescent="0.45">
      <c r="E322" t="s">
        <v>225</v>
      </c>
      <c r="G322" t="s">
        <v>1828</v>
      </c>
      <c r="I322" t="s">
        <v>236</v>
      </c>
      <c r="J322" t="s">
        <v>2225</v>
      </c>
      <c r="K322">
        <v>0</v>
      </c>
      <c r="L322" t="s">
        <v>238</v>
      </c>
      <c r="N322" t="s">
        <v>346</v>
      </c>
      <c r="O322" t="s">
        <v>2225</v>
      </c>
      <c r="P322">
        <v>5.8450122792446646E-5</v>
      </c>
      <c r="Q322" t="s">
        <v>238</v>
      </c>
      <c r="S322" t="s">
        <v>347</v>
      </c>
      <c r="T322" t="s">
        <v>2225</v>
      </c>
      <c r="U322">
        <v>2.9563474314482576E-5</v>
      </c>
      <c r="V322" t="s">
        <v>238</v>
      </c>
      <c r="X322">
        <v>1.1415525114155251E-4</v>
      </c>
      <c r="Y322">
        <v>2.9833677249334962E-5</v>
      </c>
      <c r="Z322" t="s">
        <v>2225</v>
      </c>
      <c r="AA322" t="s">
        <v>25</v>
      </c>
      <c r="AC322" t="s">
        <v>22</v>
      </c>
      <c r="AD322" t="s">
        <v>2225</v>
      </c>
      <c r="AE322">
        <v>7.4561667297629486E-5</v>
      </c>
      <c r="AG322" t="s">
        <v>97</v>
      </c>
      <c r="AH322" t="s">
        <v>2225</v>
      </c>
      <c r="AI322">
        <v>0</v>
      </c>
    </row>
    <row r="323" spans="5:35" x14ac:dyDescent="0.45">
      <c r="E323" t="s">
        <v>487</v>
      </c>
      <c r="G323" t="s">
        <v>1830</v>
      </c>
      <c r="I323" t="s">
        <v>236</v>
      </c>
      <c r="J323" t="s">
        <v>337</v>
      </c>
      <c r="K323">
        <v>0</v>
      </c>
      <c r="L323" t="s">
        <v>238</v>
      </c>
      <c r="N323" t="s">
        <v>346</v>
      </c>
      <c r="O323" t="s">
        <v>337</v>
      </c>
      <c r="P323">
        <v>2.8789893965614637E-2</v>
      </c>
      <c r="Q323" t="s">
        <v>238</v>
      </c>
      <c r="S323" t="s">
        <v>347</v>
      </c>
      <c r="T323" t="s">
        <v>337</v>
      </c>
      <c r="U323">
        <v>2.9420211732883013E-2</v>
      </c>
      <c r="V323" t="s">
        <v>238</v>
      </c>
      <c r="X323">
        <v>2.0547945205479451E-2</v>
      </c>
      <c r="Y323">
        <v>4.3954951147353507E-3</v>
      </c>
      <c r="Z323" t="s">
        <v>337</v>
      </c>
      <c r="AA323" t="s">
        <v>25</v>
      </c>
      <c r="AC323" t="s">
        <v>22</v>
      </c>
      <c r="AD323" t="s">
        <v>337</v>
      </c>
      <c r="AE323">
        <v>1.3288812062762953E-2</v>
      </c>
      <c r="AG323" t="s">
        <v>97</v>
      </c>
      <c r="AH323" t="s">
        <v>337</v>
      </c>
      <c r="AI323">
        <v>0.22725064566059183</v>
      </c>
    </row>
    <row r="324" spans="5:35" x14ac:dyDescent="0.45">
      <c r="E324" t="s">
        <v>488</v>
      </c>
      <c r="G324" t="s">
        <v>1830</v>
      </c>
      <c r="I324" t="s">
        <v>236</v>
      </c>
      <c r="J324" t="s">
        <v>338</v>
      </c>
      <c r="K324">
        <v>5.6033372197025706E-5</v>
      </c>
      <c r="L324" t="s">
        <v>238</v>
      </c>
      <c r="N324" t="s">
        <v>346</v>
      </c>
      <c r="O324" t="s">
        <v>338</v>
      </c>
      <c r="P324">
        <v>4.9756394251055632E-3</v>
      </c>
      <c r="Q324" t="s">
        <v>238</v>
      </c>
      <c r="S324" t="s">
        <v>347</v>
      </c>
      <c r="T324" t="s">
        <v>338</v>
      </c>
      <c r="U324">
        <v>4.9025883727715144E-3</v>
      </c>
      <c r="V324" t="s">
        <v>238</v>
      </c>
      <c r="X324">
        <v>3.4246575342465752E-3</v>
      </c>
      <c r="Y324">
        <v>5.0717251323869452E-3</v>
      </c>
      <c r="Z324" t="s">
        <v>338</v>
      </c>
      <c r="AA324" t="s">
        <v>25</v>
      </c>
      <c r="AC324" t="s">
        <v>22</v>
      </c>
      <c r="AD324" t="s">
        <v>338</v>
      </c>
      <c r="AE324">
        <v>3.2115035594453634E-3</v>
      </c>
      <c r="AG324" t="s">
        <v>97</v>
      </c>
      <c r="AH324" t="s">
        <v>338</v>
      </c>
      <c r="AI324">
        <v>9.6880352805519099E-2</v>
      </c>
    </row>
    <row r="325" spans="5:35" x14ac:dyDescent="0.45">
      <c r="E325" t="s">
        <v>489</v>
      </c>
      <c r="G325" t="s">
        <v>1830</v>
      </c>
      <c r="I325" t="s">
        <v>236</v>
      </c>
      <c r="J325" t="s">
        <v>339</v>
      </c>
      <c r="K325">
        <v>1.7271201743941781E-3</v>
      </c>
      <c r="L325" t="s">
        <v>238</v>
      </c>
      <c r="N325" t="s">
        <v>346</v>
      </c>
      <c r="O325" t="s">
        <v>339</v>
      </c>
      <c r="P325">
        <v>4.9850986315931366E-3</v>
      </c>
      <c r="Q325" t="s">
        <v>238</v>
      </c>
      <c r="S325" t="s">
        <v>347</v>
      </c>
      <c r="T325" t="s">
        <v>339</v>
      </c>
      <c r="U325">
        <v>4.8565190749464649E-3</v>
      </c>
      <c r="V325" t="s">
        <v>238</v>
      </c>
      <c r="X325">
        <v>3.4246575342465752E-3</v>
      </c>
      <c r="Y325">
        <v>5.7181214727892006E-3</v>
      </c>
      <c r="Z325" t="s">
        <v>339</v>
      </c>
      <c r="AA325" t="s">
        <v>25</v>
      </c>
      <c r="AC325" t="s">
        <v>22</v>
      </c>
      <c r="AD325" t="s">
        <v>339</v>
      </c>
      <c r="AE325">
        <v>3.5359537373507253E-3</v>
      </c>
      <c r="AG325" t="s">
        <v>97</v>
      </c>
      <c r="AH325" t="s">
        <v>339</v>
      </c>
      <c r="AI325">
        <v>8.7971893875467444E-2</v>
      </c>
    </row>
    <row r="326" spans="5:35" x14ac:dyDescent="0.45">
      <c r="E326" t="s">
        <v>490</v>
      </c>
      <c r="G326" t="s">
        <v>1830</v>
      </c>
      <c r="I326" t="s">
        <v>236</v>
      </c>
      <c r="J326" t="s">
        <v>340</v>
      </c>
      <c r="K326">
        <v>3.8669880115744467E-3</v>
      </c>
      <c r="L326" t="s">
        <v>238</v>
      </c>
      <c r="N326" t="s">
        <v>346</v>
      </c>
      <c r="O326" t="s">
        <v>340</v>
      </c>
      <c r="P326">
        <v>4.8294494372146113E-3</v>
      </c>
      <c r="Q326" t="s">
        <v>238</v>
      </c>
      <c r="S326" t="s">
        <v>347</v>
      </c>
      <c r="T326" t="s">
        <v>340</v>
      </c>
      <c r="U326">
        <v>4.8149093122692027E-3</v>
      </c>
      <c r="V326" t="s">
        <v>238</v>
      </c>
      <c r="X326">
        <v>3.4246575342465752E-3</v>
      </c>
      <c r="Y326">
        <v>4.3756059965691279E-3</v>
      </c>
      <c r="Z326" t="s">
        <v>340</v>
      </c>
      <c r="AA326" t="s">
        <v>25</v>
      </c>
      <c r="AC326" t="s">
        <v>22</v>
      </c>
      <c r="AD326" t="s">
        <v>340</v>
      </c>
      <c r="AE326">
        <v>3.6443732259320203E-3</v>
      </c>
      <c r="AG326" t="s">
        <v>97</v>
      </c>
      <c r="AH326" t="s">
        <v>340</v>
      </c>
      <c r="AI326">
        <v>6.4001254722724665E-2</v>
      </c>
    </row>
    <row r="327" spans="5:35" x14ac:dyDescent="0.45">
      <c r="E327" t="s">
        <v>491</v>
      </c>
      <c r="G327" t="s">
        <v>1830</v>
      </c>
      <c r="I327" t="s">
        <v>236</v>
      </c>
      <c r="J327" t="s">
        <v>341</v>
      </c>
      <c r="K327">
        <v>4.9832433806609087E-2</v>
      </c>
      <c r="L327" t="s">
        <v>238</v>
      </c>
      <c r="N327" t="s">
        <v>346</v>
      </c>
      <c r="O327" t="s">
        <v>341</v>
      </c>
      <c r="P327">
        <v>3.1407085104105115E-2</v>
      </c>
      <c r="Q327" t="s">
        <v>238</v>
      </c>
      <c r="S327" t="s">
        <v>347</v>
      </c>
      <c r="T327" t="s">
        <v>341</v>
      </c>
      <c r="U327">
        <v>3.1609037419203109E-2</v>
      </c>
      <c r="V327" t="s">
        <v>238</v>
      </c>
      <c r="X327">
        <v>2.3972602739726026E-2</v>
      </c>
      <c r="Y327">
        <v>3.1206026402804371E-2</v>
      </c>
      <c r="Z327" t="s">
        <v>341</v>
      </c>
      <c r="AA327" t="s">
        <v>25</v>
      </c>
      <c r="AC327" t="s">
        <v>22</v>
      </c>
      <c r="AD327" t="s">
        <v>341</v>
      </c>
      <c r="AE327">
        <v>2.5067131987455187E-2</v>
      </c>
      <c r="AG327" t="s">
        <v>97</v>
      </c>
      <c r="AH327" t="s">
        <v>341</v>
      </c>
      <c r="AI327">
        <v>7.3245526472338174E-2</v>
      </c>
    </row>
    <row r="328" spans="5:35" x14ac:dyDescent="0.45">
      <c r="E328" t="s">
        <v>492</v>
      </c>
      <c r="G328" t="s">
        <v>1830</v>
      </c>
      <c r="I328" t="s">
        <v>236</v>
      </c>
      <c r="J328" t="s">
        <v>342</v>
      </c>
      <c r="K328">
        <v>4.5887985913370495E-3</v>
      </c>
      <c r="L328" t="s">
        <v>238</v>
      </c>
      <c r="N328" t="s">
        <v>346</v>
      </c>
      <c r="O328" t="s">
        <v>342</v>
      </c>
      <c r="P328">
        <v>4.609711215205127E-3</v>
      </c>
      <c r="Q328" t="s">
        <v>238</v>
      </c>
      <c r="S328" t="s">
        <v>347</v>
      </c>
      <c r="T328" t="s">
        <v>342</v>
      </c>
      <c r="U328">
        <v>4.5918238275771571E-3</v>
      </c>
      <c r="V328" t="s">
        <v>238</v>
      </c>
      <c r="X328">
        <v>3.4246575342465752E-3</v>
      </c>
      <c r="Y328">
        <v>6.662854585684809E-3</v>
      </c>
      <c r="Z328" t="s">
        <v>342</v>
      </c>
      <c r="AA328" t="s">
        <v>25</v>
      </c>
      <c r="AC328" t="s">
        <v>22</v>
      </c>
      <c r="AD328" t="s">
        <v>342</v>
      </c>
      <c r="AE328">
        <v>3.5629195954528991E-3</v>
      </c>
      <c r="AG328" t="s">
        <v>97</v>
      </c>
      <c r="AH328" t="s">
        <v>342</v>
      </c>
      <c r="AI328">
        <v>6.2873422120554689E-2</v>
      </c>
    </row>
    <row r="329" spans="5:35" x14ac:dyDescent="0.45">
      <c r="E329" t="s">
        <v>493</v>
      </c>
      <c r="G329" t="s">
        <v>1830</v>
      </c>
      <c r="I329" t="s">
        <v>236</v>
      </c>
      <c r="J329" t="s">
        <v>343</v>
      </c>
      <c r="K329">
        <v>1.8721038948726228E-3</v>
      </c>
      <c r="L329" t="s">
        <v>238</v>
      </c>
      <c r="N329" t="s">
        <v>346</v>
      </c>
      <c r="O329" t="s">
        <v>343</v>
      </c>
      <c r="P329">
        <v>4.739033612260927E-3</v>
      </c>
      <c r="Q329" t="s">
        <v>238</v>
      </c>
      <c r="S329" t="s">
        <v>347</v>
      </c>
      <c r="T329" t="s">
        <v>343</v>
      </c>
      <c r="U329">
        <v>4.6127141251301003E-3</v>
      </c>
      <c r="V329" t="s">
        <v>238</v>
      </c>
      <c r="X329">
        <v>3.4246575342465752E-3</v>
      </c>
      <c r="Y329">
        <v>6.662854585684809E-3</v>
      </c>
      <c r="Z329" t="s">
        <v>343</v>
      </c>
      <c r="AA329" t="s">
        <v>25</v>
      </c>
      <c r="AC329" t="s">
        <v>22</v>
      </c>
      <c r="AD329" t="s">
        <v>343</v>
      </c>
      <c r="AE329">
        <v>3.6046754012386628E-3</v>
      </c>
      <c r="AG329" t="s">
        <v>97</v>
      </c>
      <c r="AH329" t="s">
        <v>343</v>
      </c>
      <c r="AI329">
        <v>6.7579190490636876E-2</v>
      </c>
    </row>
    <row r="330" spans="5:35" x14ac:dyDescent="0.45">
      <c r="E330" t="s">
        <v>494</v>
      </c>
      <c r="G330" t="s">
        <v>1830</v>
      </c>
      <c r="I330" t="s">
        <v>236</v>
      </c>
      <c r="J330" t="s">
        <v>344</v>
      </c>
      <c r="K330">
        <v>1.9636221821532363E-4</v>
      </c>
      <c r="L330" t="s">
        <v>238</v>
      </c>
      <c r="N330" t="s">
        <v>346</v>
      </c>
      <c r="O330" t="s">
        <v>344</v>
      </c>
      <c r="P330">
        <v>2.9513382385232958E-2</v>
      </c>
      <c r="Q330" t="s">
        <v>238</v>
      </c>
      <c r="S330" t="s">
        <v>347</v>
      </c>
      <c r="T330" t="s">
        <v>344</v>
      </c>
      <c r="U330">
        <v>2.8582895167713566E-2</v>
      </c>
      <c r="V330" t="s">
        <v>238</v>
      </c>
      <c r="X330">
        <v>2.0547945205479451E-2</v>
      </c>
      <c r="Y330">
        <v>1.8099097531263209E-2</v>
      </c>
      <c r="Z330" t="s">
        <v>344</v>
      </c>
      <c r="AA330" t="s">
        <v>25</v>
      </c>
      <c r="AC330" t="s">
        <v>22</v>
      </c>
      <c r="AD330" t="s">
        <v>344</v>
      </c>
      <c r="AE330">
        <v>1.8539994452897352E-2</v>
      </c>
      <c r="AG330" t="s">
        <v>97</v>
      </c>
      <c r="AH330" t="s">
        <v>344</v>
      </c>
      <c r="AI330">
        <v>0.15631392567066316</v>
      </c>
    </row>
    <row r="331" spans="5:35" x14ac:dyDescent="0.45">
      <c r="E331" t="s">
        <v>495</v>
      </c>
      <c r="G331" t="s">
        <v>1830</v>
      </c>
      <c r="I331" t="s">
        <v>236</v>
      </c>
      <c r="J331" t="s">
        <v>2226</v>
      </c>
      <c r="K331">
        <v>0</v>
      </c>
      <c r="L331" t="s">
        <v>238</v>
      </c>
      <c r="N331" t="s">
        <v>346</v>
      </c>
      <c r="O331" t="s">
        <v>2226</v>
      </c>
      <c r="P331">
        <v>2.8506573327434289E-5</v>
      </c>
      <c r="Q331" t="s">
        <v>238</v>
      </c>
      <c r="S331" t="s">
        <v>347</v>
      </c>
      <c r="T331" t="s">
        <v>2226</v>
      </c>
      <c r="U331">
        <v>1.1872048794571611E-5</v>
      </c>
      <c r="V331" t="s">
        <v>238</v>
      </c>
      <c r="X331">
        <v>1.1415525114155251E-4</v>
      </c>
      <c r="Y331">
        <v>2.1546544680075254E-5</v>
      </c>
      <c r="Z331" t="s">
        <v>2226</v>
      </c>
      <c r="AA331" t="s">
        <v>25</v>
      </c>
      <c r="AC331" t="s">
        <v>22</v>
      </c>
      <c r="AD331" t="s">
        <v>2226</v>
      </c>
      <c r="AE331">
        <v>6.4357138464299157E-5</v>
      </c>
      <c r="AG331" t="s">
        <v>97</v>
      </c>
      <c r="AH331" t="s">
        <v>2226</v>
      </c>
      <c r="AI331">
        <v>0</v>
      </c>
    </row>
    <row r="332" spans="5:35" x14ac:dyDescent="0.45">
      <c r="E332" t="s">
        <v>496</v>
      </c>
      <c r="G332" t="s">
        <v>1830</v>
      </c>
      <c r="I332" t="s">
        <v>236</v>
      </c>
      <c r="J332" t="s">
        <v>2227</v>
      </c>
      <c r="K332">
        <v>0</v>
      </c>
      <c r="L332" t="s">
        <v>238</v>
      </c>
      <c r="N332" t="s">
        <v>346</v>
      </c>
      <c r="O332" t="s">
        <v>2227</v>
      </c>
      <c r="P332">
        <v>2.4337220951420891E-5</v>
      </c>
      <c r="Q332" t="s">
        <v>238</v>
      </c>
      <c r="S332" t="s">
        <v>347</v>
      </c>
      <c r="T332" t="s">
        <v>2227</v>
      </c>
      <c r="U332">
        <v>1.1718500536398084E-5</v>
      </c>
      <c r="V332" t="s">
        <v>238</v>
      </c>
      <c r="X332">
        <v>1.1415525114155251E-4</v>
      </c>
      <c r="Y332">
        <v>1.4916838624667481E-5</v>
      </c>
      <c r="Z332" t="s">
        <v>2227</v>
      </c>
      <c r="AA332" t="s">
        <v>25</v>
      </c>
      <c r="AC332" t="s">
        <v>22</v>
      </c>
      <c r="AD332" t="s">
        <v>2227</v>
      </c>
      <c r="AE332">
        <v>6.0628122585161419E-5</v>
      </c>
      <c r="AG332" t="s">
        <v>97</v>
      </c>
      <c r="AH332" t="s">
        <v>2227</v>
      </c>
      <c r="AI332">
        <v>0</v>
      </c>
    </row>
    <row r="333" spans="5:35" x14ac:dyDescent="0.45">
      <c r="E333" t="s">
        <v>497</v>
      </c>
      <c r="G333" t="s">
        <v>1830</v>
      </c>
      <c r="I333" t="s">
        <v>236</v>
      </c>
      <c r="J333" t="s">
        <v>2228</v>
      </c>
      <c r="K333">
        <v>0</v>
      </c>
      <c r="L333" t="s">
        <v>238</v>
      </c>
      <c r="N333" t="s">
        <v>346</v>
      </c>
      <c r="O333" t="s">
        <v>2228</v>
      </c>
      <c r="P333">
        <v>1.971789554450978E-5</v>
      </c>
      <c r="Q333" t="s">
        <v>238</v>
      </c>
      <c r="S333" t="s">
        <v>347</v>
      </c>
      <c r="T333" t="s">
        <v>2228</v>
      </c>
      <c r="U333">
        <v>9.4985815355708083E-6</v>
      </c>
      <c r="V333" t="s">
        <v>238</v>
      </c>
      <c r="X333">
        <v>1.1415525114155251E-4</v>
      </c>
      <c r="Y333">
        <v>1.6574265138519424E-5</v>
      </c>
      <c r="Z333" t="s">
        <v>2228</v>
      </c>
      <c r="AA333" t="s">
        <v>25</v>
      </c>
      <c r="AC333" t="s">
        <v>22</v>
      </c>
      <c r="AD333" t="s">
        <v>2228</v>
      </c>
      <c r="AE333">
        <v>6.0628122585161419E-5</v>
      </c>
      <c r="AG333" t="s">
        <v>97</v>
      </c>
      <c r="AH333" t="s">
        <v>2228</v>
      </c>
      <c r="AI333">
        <v>0</v>
      </c>
    </row>
    <row r="334" spans="5:35" x14ac:dyDescent="0.45">
      <c r="E334" t="s">
        <v>498</v>
      </c>
      <c r="G334" t="s">
        <v>1830</v>
      </c>
      <c r="I334" t="s">
        <v>236</v>
      </c>
      <c r="J334" t="s">
        <v>2229</v>
      </c>
      <c r="K334">
        <v>0</v>
      </c>
      <c r="L334" t="s">
        <v>238</v>
      </c>
      <c r="N334" t="s">
        <v>346</v>
      </c>
      <c r="O334" t="s">
        <v>2229</v>
      </c>
      <c r="P334">
        <v>1.7529012619929225E-5</v>
      </c>
      <c r="Q334" t="s">
        <v>238</v>
      </c>
      <c r="S334" t="s">
        <v>347</v>
      </c>
      <c r="T334" t="s">
        <v>2229</v>
      </c>
      <c r="U334">
        <v>8.8871897880432792E-6</v>
      </c>
      <c r="V334" t="s">
        <v>238</v>
      </c>
      <c r="X334">
        <v>1.1415525114155251E-4</v>
      </c>
      <c r="Y334">
        <v>1.4585353321897093E-5</v>
      </c>
      <c r="Z334" t="s">
        <v>2229</v>
      </c>
      <c r="AA334" t="s">
        <v>25</v>
      </c>
      <c r="AC334" t="s">
        <v>22</v>
      </c>
      <c r="AD334" t="s">
        <v>2229</v>
      </c>
      <c r="AE334">
        <v>6.0719843190951115E-5</v>
      </c>
      <c r="AG334" t="s">
        <v>97</v>
      </c>
      <c r="AH334" t="s">
        <v>2229</v>
      </c>
      <c r="AI334">
        <v>0</v>
      </c>
    </row>
    <row r="335" spans="5:35" x14ac:dyDescent="0.45">
      <c r="E335" t="s">
        <v>499</v>
      </c>
      <c r="G335" t="s">
        <v>1830</v>
      </c>
      <c r="I335" t="s">
        <v>236</v>
      </c>
      <c r="J335" t="s">
        <v>2230</v>
      </c>
      <c r="K335">
        <v>0</v>
      </c>
      <c r="L335" t="s">
        <v>238</v>
      </c>
      <c r="N335" t="s">
        <v>346</v>
      </c>
      <c r="O335" t="s">
        <v>2230</v>
      </c>
      <c r="P335">
        <v>1.6390494313295294E-5</v>
      </c>
      <c r="Q335" t="s">
        <v>238</v>
      </c>
      <c r="S335" t="s">
        <v>347</v>
      </c>
      <c r="T335" t="s">
        <v>2230</v>
      </c>
      <c r="U335">
        <v>1.0691273269348942E-5</v>
      </c>
      <c r="V335" t="s">
        <v>238</v>
      </c>
      <c r="X335">
        <v>1.1415525114155251E-4</v>
      </c>
      <c r="Y335">
        <v>2.1215059377304864E-5</v>
      </c>
      <c r="Z335" t="s">
        <v>2230</v>
      </c>
      <c r="AA335" t="s">
        <v>25</v>
      </c>
      <c r="AC335" t="s">
        <v>22</v>
      </c>
      <c r="AD335" t="s">
        <v>2230</v>
      </c>
      <c r="AE335">
        <v>6.1235771598518212E-5</v>
      </c>
      <c r="AG335" t="s">
        <v>97</v>
      </c>
      <c r="AH335" t="s">
        <v>2230</v>
      </c>
      <c r="AI335">
        <v>0</v>
      </c>
    </row>
    <row r="336" spans="5:35" x14ac:dyDescent="0.45">
      <c r="E336" t="s">
        <v>500</v>
      </c>
      <c r="G336" t="s">
        <v>1830</v>
      </c>
      <c r="I336" t="s">
        <v>236</v>
      </c>
      <c r="J336" t="s">
        <v>2231</v>
      </c>
      <c r="K336">
        <v>0</v>
      </c>
      <c r="L336" t="s">
        <v>238</v>
      </c>
      <c r="N336" t="s">
        <v>346</v>
      </c>
      <c r="O336" t="s">
        <v>2231</v>
      </c>
      <c r="P336">
        <v>1.303933586582716E-5</v>
      </c>
      <c r="Q336" t="s">
        <v>238</v>
      </c>
      <c r="S336" t="s">
        <v>347</v>
      </c>
      <c r="T336" t="s">
        <v>2231</v>
      </c>
      <c r="U336">
        <v>1.0277228536526072E-5</v>
      </c>
      <c r="V336" t="s">
        <v>238</v>
      </c>
      <c r="X336">
        <v>1.1415525114155251E-4</v>
      </c>
      <c r="Y336">
        <v>5.7678442682047593E-5</v>
      </c>
      <c r="Z336" t="s">
        <v>2231</v>
      </c>
      <c r="AA336" t="s">
        <v>25</v>
      </c>
      <c r="AC336" t="s">
        <v>22</v>
      </c>
      <c r="AD336" t="s">
        <v>2231</v>
      </c>
      <c r="AE336">
        <v>6.2611580685363794E-5</v>
      </c>
      <c r="AG336" t="s">
        <v>97</v>
      </c>
      <c r="AH336" t="s">
        <v>2231</v>
      </c>
      <c r="AI336">
        <v>0</v>
      </c>
    </row>
    <row r="337" spans="5:35" x14ac:dyDescent="0.45">
      <c r="E337" t="s">
        <v>501</v>
      </c>
      <c r="G337" t="s">
        <v>1830</v>
      </c>
      <c r="I337" t="s">
        <v>236</v>
      </c>
      <c r="J337" t="s">
        <v>2232</v>
      </c>
      <c r="K337">
        <v>0</v>
      </c>
      <c r="L337" t="s">
        <v>238</v>
      </c>
      <c r="N337" t="s">
        <v>346</v>
      </c>
      <c r="O337" t="s">
        <v>2232</v>
      </c>
      <c r="P337">
        <v>1.0685070718111404E-5</v>
      </c>
      <c r="Q337" t="s">
        <v>238</v>
      </c>
      <c r="S337" t="s">
        <v>347</v>
      </c>
      <c r="T337" t="s">
        <v>2232</v>
      </c>
      <c r="U337">
        <v>1.073436312023141E-5</v>
      </c>
      <c r="V337" t="s">
        <v>238</v>
      </c>
      <c r="X337">
        <v>1.1415525114155251E-4</v>
      </c>
      <c r="Y337">
        <v>1.6905750441289813E-4</v>
      </c>
      <c r="Z337" t="s">
        <v>2232</v>
      </c>
      <c r="AA337" t="s">
        <v>25</v>
      </c>
      <c r="AC337" t="s">
        <v>22</v>
      </c>
      <c r="AD337" t="s">
        <v>2232</v>
      </c>
      <c r="AE337">
        <v>7.4240033738140002E-5</v>
      </c>
      <c r="AG337" t="s">
        <v>97</v>
      </c>
      <c r="AH337" t="s">
        <v>2232</v>
      </c>
      <c r="AI337">
        <v>0</v>
      </c>
    </row>
    <row r="338" spans="5:35" x14ac:dyDescent="0.45">
      <c r="E338" t="s">
        <v>502</v>
      </c>
      <c r="G338" t="s">
        <v>1830</v>
      </c>
      <c r="I338" t="s">
        <v>236</v>
      </c>
      <c r="J338" t="s">
        <v>2233</v>
      </c>
      <c r="K338">
        <v>8.6959533267832638E-6</v>
      </c>
      <c r="L338" t="s">
        <v>238</v>
      </c>
      <c r="N338" t="s">
        <v>346</v>
      </c>
      <c r="O338" t="s">
        <v>2233</v>
      </c>
      <c r="P338">
        <v>1.0419011915756948E-5</v>
      </c>
      <c r="Q338" t="s">
        <v>238</v>
      </c>
      <c r="S338" t="s">
        <v>347</v>
      </c>
      <c r="T338" t="s">
        <v>2233</v>
      </c>
      <c r="U338">
        <v>1.2326624382868296E-5</v>
      </c>
      <c r="V338" t="s">
        <v>238</v>
      </c>
      <c r="X338">
        <v>1.1415525114155251E-4</v>
      </c>
      <c r="Y338">
        <v>1.9060404909297337E-4</v>
      </c>
      <c r="Z338" t="s">
        <v>2233</v>
      </c>
      <c r="AA338" t="s">
        <v>25</v>
      </c>
      <c r="AC338" t="s">
        <v>22</v>
      </c>
      <c r="AD338" t="s">
        <v>2233</v>
      </c>
      <c r="AE338">
        <v>8.6854483303155531E-5</v>
      </c>
      <c r="AG338" t="s">
        <v>97</v>
      </c>
      <c r="AH338" t="s">
        <v>2233</v>
      </c>
      <c r="AI338">
        <v>0</v>
      </c>
    </row>
    <row r="339" spans="5:35" x14ac:dyDescent="0.45">
      <c r="E339" t="s">
        <v>503</v>
      </c>
      <c r="G339" t="s">
        <v>1830</v>
      </c>
      <c r="I339" t="s">
        <v>236</v>
      </c>
      <c r="J339" t="s">
        <v>2234</v>
      </c>
      <c r="K339">
        <v>2.8022329701780007E-5</v>
      </c>
      <c r="L339" t="s">
        <v>238</v>
      </c>
      <c r="N339" t="s">
        <v>346</v>
      </c>
      <c r="O339" t="s">
        <v>2234</v>
      </c>
      <c r="P339">
        <v>1.02718956039358E-5</v>
      </c>
      <c r="Q339" t="s">
        <v>238</v>
      </c>
      <c r="S339" t="s">
        <v>347</v>
      </c>
      <c r="T339" t="s">
        <v>2234</v>
      </c>
      <c r="U339">
        <v>1.4757504529974031E-5</v>
      </c>
      <c r="V339" t="s">
        <v>238</v>
      </c>
      <c r="X339">
        <v>1.1415525114155251E-4</v>
      </c>
      <c r="Y339">
        <v>1.4585353321897094E-4</v>
      </c>
      <c r="Z339" t="s">
        <v>2234</v>
      </c>
      <c r="AA339" t="s">
        <v>25</v>
      </c>
      <c r="AC339" t="s">
        <v>22</v>
      </c>
      <c r="AD339" t="s">
        <v>2234</v>
      </c>
      <c r="AE339">
        <v>9.341537288605046E-5</v>
      </c>
      <c r="AG339" t="s">
        <v>97</v>
      </c>
      <c r="AH339" t="s">
        <v>2234</v>
      </c>
      <c r="AI339">
        <v>0</v>
      </c>
    </row>
    <row r="340" spans="5:35" x14ac:dyDescent="0.45">
      <c r="E340" t="s">
        <v>504</v>
      </c>
      <c r="G340" t="s">
        <v>1830</v>
      </c>
      <c r="I340" t="s">
        <v>236</v>
      </c>
      <c r="J340" t="s">
        <v>2235</v>
      </c>
      <c r="K340">
        <v>4.7613538160050058E-5</v>
      </c>
      <c r="L340" t="s">
        <v>238</v>
      </c>
      <c r="N340" t="s">
        <v>346</v>
      </c>
      <c r="O340" t="s">
        <v>2235</v>
      </c>
      <c r="P340">
        <v>9.4404321569721215E-6</v>
      </c>
      <c r="Q340" t="s">
        <v>238</v>
      </c>
      <c r="S340" t="s">
        <v>347</v>
      </c>
      <c r="T340" t="s">
        <v>2235</v>
      </c>
      <c r="U340">
        <v>1.7442292261083336E-5</v>
      </c>
      <c r="V340" t="s">
        <v>238</v>
      </c>
      <c r="X340">
        <v>1.1415525114155251E-4</v>
      </c>
      <c r="Y340">
        <v>1.4452759200788939E-4</v>
      </c>
      <c r="Z340" t="s">
        <v>2235</v>
      </c>
      <c r="AA340" t="s">
        <v>25</v>
      </c>
      <c r="AC340" t="s">
        <v>22</v>
      </c>
      <c r="AD340" t="s">
        <v>2235</v>
      </c>
      <c r="AE340">
        <v>9.6141194639363275E-5</v>
      </c>
      <c r="AG340" t="s">
        <v>97</v>
      </c>
      <c r="AH340" t="s">
        <v>2235</v>
      </c>
      <c r="AI340">
        <v>0</v>
      </c>
    </row>
    <row r="341" spans="5:35" x14ac:dyDescent="0.45">
      <c r="E341" t="s">
        <v>505</v>
      </c>
      <c r="G341" t="s">
        <v>1830</v>
      </c>
      <c r="I341" t="s">
        <v>236</v>
      </c>
      <c r="J341" t="s">
        <v>2236</v>
      </c>
      <c r="K341">
        <v>6.8911691850348609E-5</v>
      </c>
      <c r="L341" t="s">
        <v>238</v>
      </c>
      <c r="N341" t="s">
        <v>346</v>
      </c>
      <c r="O341" t="s">
        <v>2236</v>
      </c>
      <c r="P341">
        <v>7.7715796828536144E-6</v>
      </c>
      <c r="Q341" t="s">
        <v>238</v>
      </c>
      <c r="S341" t="s">
        <v>347</v>
      </c>
      <c r="T341" t="s">
        <v>2236</v>
      </c>
      <c r="U341">
        <v>1.9139744935954811E-5</v>
      </c>
      <c r="V341" t="s">
        <v>238</v>
      </c>
      <c r="X341">
        <v>1.1415525114155251E-4</v>
      </c>
      <c r="Y341">
        <v>1.408812536774151E-4</v>
      </c>
      <c r="Z341" t="s">
        <v>2236</v>
      </c>
      <c r="AA341" t="s">
        <v>25</v>
      </c>
      <c r="AC341" t="s">
        <v>22</v>
      </c>
      <c r="AD341" t="s">
        <v>2236</v>
      </c>
      <c r="AE341">
        <v>9.4966024377682678E-5</v>
      </c>
      <c r="AG341" t="s">
        <v>97</v>
      </c>
      <c r="AH341" t="s">
        <v>2236</v>
      </c>
      <c r="AI341">
        <v>0</v>
      </c>
    </row>
    <row r="342" spans="5:35" x14ac:dyDescent="0.45">
      <c r="E342" t="s">
        <v>506</v>
      </c>
      <c r="G342" t="s">
        <v>1830</v>
      </c>
      <c r="I342" t="s">
        <v>236</v>
      </c>
      <c r="J342" t="s">
        <v>2237</v>
      </c>
      <c r="K342">
        <v>8.8078731657053553E-5</v>
      </c>
      <c r="L342" t="s">
        <v>238</v>
      </c>
      <c r="N342" t="s">
        <v>346</v>
      </c>
      <c r="O342" t="s">
        <v>2237</v>
      </c>
      <c r="P342">
        <v>7.6434829553905244E-6</v>
      </c>
      <c r="Q342" t="s">
        <v>238</v>
      </c>
      <c r="S342" t="s">
        <v>347</v>
      </c>
      <c r="T342" t="s">
        <v>2237</v>
      </c>
      <c r="U342">
        <v>2.1849473281409998E-5</v>
      </c>
      <c r="V342" t="s">
        <v>238</v>
      </c>
      <c r="X342">
        <v>1.1415525114155251E-4</v>
      </c>
      <c r="Y342">
        <v>1.4054976837464471E-4</v>
      </c>
      <c r="Z342" t="s">
        <v>2237</v>
      </c>
      <c r="AA342" t="s">
        <v>25</v>
      </c>
      <c r="AC342" t="s">
        <v>22</v>
      </c>
      <c r="AD342" t="s">
        <v>2237</v>
      </c>
      <c r="AE342">
        <v>9.4880036309754831E-5</v>
      </c>
      <c r="AG342" t="s">
        <v>97</v>
      </c>
      <c r="AH342" t="s">
        <v>2237</v>
      </c>
      <c r="AI342">
        <v>0</v>
      </c>
    </row>
    <row r="343" spans="5:35" x14ac:dyDescent="0.45">
      <c r="E343" t="s">
        <v>507</v>
      </c>
      <c r="G343" t="s">
        <v>1830</v>
      </c>
      <c r="I343" t="s">
        <v>236</v>
      </c>
      <c r="J343" t="s">
        <v>2238</v>
      </c>
      <c r="K343">
        <v>9.9134479780565107E-5</v>
      </c>
      <c r="L343" t="s">
        <v>238</v>
      </c>
      <c r="N343" t="s">
        <v>346</v>
      </c>
      <c r="O343" t="s">
        <v>2238</v>
      </c>
      <c r="P343">
        <v>1.1930199972543029E-5</v>
      </c>
      <c r="Q343" t="s">
        <v>238</v>
      </c>
      <c r="S343" t="s">
        <v>347</v>
      </c>
      <c r="T343" t="s">
        <v>2238</v>
      </c>
      <c r="U343">
        <v>2.2551867428991071E-5</v>
      </c>
      <c r="V343" t="s">
        <v>238</v>
      </c>
      <c r="X343">
        <v>1.1415525114155251E-4</v>
      </c>
      <c r="Y343">
        <v>1.4253868019126702E-4</v>
      </c>
      <c r="Z343" t="s">
        <v>2238</v>
      </c>
      <c r="AA343" t="s">
        <v>25</v>
      </c>
      <c r="AC343" t="s">
        <v>22</v>
      </c>
      <c r="AD343" t="s">
        <v>2238</v>
      </c>
      <c r="AE343">
        <v>9.4576211803076431E-5</v>
      </c>
      <c r="AG343" t="s">
        <v>97</v>
      </c>
      <c r="AH343" t="s">
        <v>2238</v>
      </c>
      <c r="AI343">
        <v>0</v>
      </c>
    </row>
    <row r="344" spans="5:35" x14ac:dyDescent="0.45">
      <c r="E344" t="s">
        <v>508</v>
      </c>
      <c r="G344" t="s">
        <v>1830</v>
      </c>
      <c r="I344" t="s">
        <v>236</v>
      </c>
      <c r="J344" t="s">
        <v>2239</v>
      </c>
      <c r="K344">
        <v>1.124954710961E-4</v>
      </c>
      <c r="L344" t="s">
        <v>238</v>
      </c>
      <c r="N344" t="s">
        <v>346</v>
      </c>
      <c r="O344" t="s">
        <v>2239</v>
      </c>
      <c r="P344">
        <v>1.5170722051069231E-5</v>
      </c>
      <c r="Q344" t="s">
        <v>238</v>
      </c>
      <c r="S344" t="s">
        <v>347</v>
      </c>
      <c r="T344" t="s">
        <v>2239</v>
      </c>
      <c r="U344">
        <v>2.4054920438718008E-5</v>
      </c>
      <c r="V344" t="s">
        <v>238</v>
      </c>
      <c r="X344">
        <v>1.1415525114155251E-4</v>
      </c>
      <c r="Y344">
        <v>1.4883690094390442E-4</v>
      </c>
      <c r="Z344" t="s">
        <v>2239</v>
      </c>
      <c r="AA344" t="s">
        <v>25</v>
      </c>
      <c r="AC344" t="s">
        <v>22</v>
      </c>
      <c r="AD344" t="s">
        <v>2239</v>
      </c>
      <c r="AE344">
        <v>9.3555820063665921E-5</v>
      </c>
      <c r="AG344" t="s">
        <v>97</v>
      </c>
      <c r="AH344" t="s">
        <v>2239</v>
      </c>
      <c r="AI344">
        <v>0</v>
      </c>
    </row>
    <row r="345" spans="5:35" x14ac:dyDescent="0.45">
      <c r="E345" t="s">
        <v>509</v>
      </c>
      <c r="G345" t="s">
        <v>1830</v>
      </c>
      <c r="I345" t="s">
        <v>236</v>
      </c>
      <c r="J345" t="s">
        <v>2240</v>
      </c>
      <c r="K345">
        <v>1.0325776692539999E-4</v>
      </c>
      <c r="L345" t="s">
        <v>238</v>
      </c>
      <c r="N345" t="s">
        <v>346</v>
      </c>
      <c r="O345" t="s">
        <v>2240</v>
      </c>
      <c r="P345">
        <v>1.840462191585694E-5</v>
      </c>
      <c r="Q345" t="s">
        <v>238</v>
      </c>
      <c r="S345" t="s">
        <v>347</v>
      </c>
      <c r="T345" t="s">
        <v>2240</v>
      </c>
      <c r="U345">
        <v>2.6152599690337569E-5</v>
      </c>
      <c r="V345" t="s">
        <v>238</v>
      </c>
      <c r="X345">
        <v>1.1415525114155251E-4</v>
      </c>
      <c r="Y345">
        <v>1.5049432745775637E-4</v>
      </c>
      <c r="Z345" t="s">
        <v>2240</v>
      </c>
      <c r="AA345" t="s">
        <v>25</v>
      </c>
      <c r="AC345" t="s">
        <v>22</v>
      </c>
      <c r="AD345" t="s">
        <v>2240</v>
      </c>
      <c r="AE345">
        <v>9.2876514327035927E-5</v>
      </c>
      <c r="AG345" t="s">
        <v>97</v>
      </c>
      <c r="AH345" t="s">
        <v>2240</v>
      </c>
      <c r="AI345">
        <v>0</v>
      </c>
    </row>
    <row r="346" spans="5:35" x14ac:dyDescent="0.45">
      <c r="E346" t="s">
        <v>510</v>
      </c>
      <c r="G346" t="s">
        <v>1830</v>
      </c>
      <c r="I346" t="s">
        <v>236</v>
      </c>
      <c r="J346" t="s">
        <v>2241</v>
      </c>
      <c r="K346">
        <v>8.9447506332019633E-5</v>
      </c>
      <c r="L346" t="s">
        <v>238</v>
      </c>
      <c r="N346" t="s">
        <v>346</v>
      </c>
      <c r="O346" t="s">
        <v>2241</v>
      </c>
      <c r="P346">
        <v>1.8879600156053442E-5</v>
      </c>
      <c r="Q346" t="s">
        <v>238</v>
      </c>
      <c r="S346" t="s">
        <v>347</v>
      </c>
      <c r="T346" t="s">
        <v>2241</v>
      </c>
      <c r="U346">
        <v>2.8225475948737245E-5</v>
      </c>
      <c r="V346" t="s">
        <v>238</v>
      </c>
      <c r="X346">
        <v>1.1415525114155251E-4</v>
      </c>
      <c r="Y346">
        <v>1.7237235744060203E-4</v>
      </c>
      <c r="Z346" t="s">
        <v>2241</v>
      </c>
      <c r="AA346" t="s">
        <v>25</v>
      </c>
      <c r="AC346" t="s">
        <v>22</v>
      </c>
      <c r="AD346" t="s">
        <v>2241</v>
      </c>
      <c r="AE346">
        <v>9.3160274951197832E-5</v>
      </c>
      <c r="AG346" t="s">
        <v>97</v>
      </c>
      <c r="AH346" t="s">
        <v>2241</v>
      </c>
      <c r="AI346">
        <v>0</v>
      </c>
    </row>
    <row r="347" spans="5:35" x14ac:dyDescent="0.45">
      <c r="E347" t="s">
        <v>1009</v>
      </c>
      <c r="G347" t="s">
        <v>1832</v>
      </c>
      <c r="I347" t="s">
        <v>236</v>
      </c>
      <c r="J347" t="s">
        <v>2242</v>
      </c>
      <c r="K347">
        <v>6.0280175231801832E-5</v>
      </c>
      <c r="L347" t="s">
        <v>238</v>
      </c>
      <c r="N347" t="s">
        <v>346</v>
      </c>
      <c r="O347" t="s">
        <v>2242</v>
      </c>
      <c r="P347">
        <v>2.0105461868299867E-5</v>
      </c>
      <c r="Q347" t="s">
        <v>238</v>
      </c>
      <c r="S347" t="s">
        <v>347</v>
      </c>
      <c r="T347" t="s">
        <v>2242</v>
      </c>
      <c r="U347">
        <v>3.017158031353431E-5</v>
      </c>
      <c r="V347" t="s">
        <v>238</v>
      </c>
      <c r="X347">
        <v>1.1415525114155251E-4</v>
      </c>
      <c r="Y347">
        <v>2.2209515285616027E-4</v>
      </c>
      <c r="Z347" t="s">
        <v>2242</v>
      </c>
      <c r="AA347" t="s">
        <v>25</v>
      </c>
      <c r="AC347" t="s">
        <v>22</v>
      </c>
      <c r="AD347" t="s">
        <v>2242</v>
      </c>
      <c r="AE347">
        <v>9.4490223735148584E-5</v>
      </c>
      <c r="AG347" t="s">
        <v>97</v>
      </c>
      <c r="AH347" t="s">
        <v>2242</v>
      </c>
      <c r="AI347">
        <v>0</v>
      </c>
    </row>
    <row r="348" spans="5:35" x14ac:dyDescent="0.45">
      <c r="E348" t="s">
        <v>1010</v>
      </c>
      <c r="G348" t="s">
        <v>1832</v>
      </c>
      <c r="I348" t="s">
        <v>236</v>
      </c>
      <c r="J348" t="s">
        <v>2243</v>
      </c>
      <c r="K348">
        <v>3.3493743892819454E-5</v>
      </c>
      <c r="L348" t="s">
        <v>238</v>
      </c>
      <c r="N348" t="s">
        <v>346</v>
      </c>
      <c r="O348" t="s">
        <v>2243</v>
      </c>
      <c r="P348">
        <v>1.9834157076084809E-5</v>
      </c>
      <c r="Q348" t="s">
        <v>238</v>
      </c>
      <c r="S348" t="s">
        <v>347</v>
      </c>
      <c r="T348" t="s">
        <v>2243</v>
      </c>
      <c r="U348">
        <v>3.3880316763788743E-5</v>
      </c>
      <c r="V348" t="s">
        <v>238</v>
      </c>
      <c r="X348">
        <v>1.1415525114155251E-4</v>
      </c>
      <c r="Y348">
        <v>2.2209515285616027E-4</v>
      </c>
      <c r="Z348" t="s">
        <v>2243</v>
      </c>
      <c r="AA348" t="s">
        <v>25</v>
      </c>
      <c r="AC348" t="s">
        <v>22</v>
      </c>
      <c r="AD348" t="s">
        <v>2243</v>
      </c>
      <c r="AE348">
        <v>9.4748187938932112E-5</v>
      </c>
      <c r="AG348" t="s">
        <v>97</v>
      </c>
      <c r="AH348" t="s">
        <v>2243</v>
      </c>
      <c r="AI348">
        <v>0</v>
      </c>
    </row>
    <row r="349" spans="5:35" x14ac:dyDescent="0.45">
      <c r="E349" t="s">
        <v>1011</v>
      </c>
      <c r="G349" t="s">
        <v>1832</v>
      </c>
      <c r="I349" t="s">
        <v>236</v>
      </c>
      <c r="J349" t="s">
        <v>2244</v>
      </c>
      <c r="K349">
        <v>2.9970651830318938E-6</v>
      </c>
      <c r="L349" t="s">
        <v>238</v>
      </c>
      <c r="N349" t="s">
        <v>346</v>
      </c>
      <c r="O349" t="s">
        <v>2244</v>
      </c>
      <c r="P349">
        <v>2.2973244542486662E-5</v>
      </c>
      <c r="Q349" t="s">
        <v>238</v>
      </c>
      <c r="S349" t="s">
        <v>347</v>
      </c>
      <c r="T349" t="s">
        <v>2244</v>
      </c>
      <c r="U349">
        <v>4.0033961758395852E-5</v>
      </c>
      <c r="V349" t="s">
        <v>238</v>
      </c>
      <c r="X349">
        <v>1.1415525114155251E-4</v>
      </c>
      <c r="Y349">
        <v>1.7237235744060203E-4</v>
      </c>
      <c r="Z349" t="s">
        <v>2244</v>
      </c>
      <c r="AA349" t="s">
        <v>25</v>
      </c>
      <c r="AC349" t="s">
        <v>22</v>
      </c>
      <c r="AD349" t="s">
        <v>2244</v>
      </c>
      <c r="AE349">
        <v>9.479404824182697E-5</v>
      </c>
      <c r="AG349" t="s">
        <v>97</v>
      </c>
      <c r="AH349" t="s">
        <v>2244</v>
      </c>
      <c r="AI349">
        <v>0</v>
      </c>
    </row>
    <row r="350" spans="5:35" x14ac:dyDescent="0.45">
      <c r="E350" t="s">
        <v>1012</v>
      </c>
      <c r="G350" t="s">
        <v>1832</v>
      </c>
      <c r="I350" t="s">
        <v>236</v>
      </c>
      <c r="J350" t="s">
        <v>2245</v>
      </c>
      <c r="K350">
        <v>0</v>
      </c>
      <c r="L350" t="s">
        <v>238</v>
      </c>
      <c r="N350" t="s">
        <v>346</v>
      </c>
      <c r="O350" t="s">
        <v>2245</v>
      </c>
      <c r="P350">
        <v>2.9371957733785545E-5</v>
      </c>
      <c r="Q350" t="s">
        <v>238</v>
      </c>
      <c r="S350" t="s">
        <v>347</v>
      </c>
      <c r="T350" t="s">
        <v>2245</v>
      </c>
      <c r="U350">
        <v>4.6030290978479055E-5</v>
      </c>
      <c r="V350" t="s">
        <v>238</v>
      </c>
      <c r="X350">
        <v>1.1415525114155251E-4</v>
      </c>
      <c r="Y350">
        <v>1.5579809230208258E-4</v>
      </c>
      <c r="Z350" t="s">
        <v>2245</v>
      </c>
      <c r="AA350" t="s">
        <v>25</v>
      </c>
      <c r="AC350" t="s">
        <v>22</v>
      </c>
      <c r="AD350" t="s">
        <v>2245</v>
      </c>
      <c r="AE350">
        <v>9.4928762881580603E-5</v>
      </c>
      <c r="AG350" t="s">
        <v>97</v>
      </c>
      <c r="AH350" t="s">
        <v>2245</v>
      </c>
      <c r="AI350">
        <v>0</v>
      </c>
    </row>
    <row r="351" spans="5:35" x14ac:dyDescent="0.45">
      <c r="E351" t="s">
        <v>1013</v>
      </c>
      <c r="G351" t="s">
        <v>1832</v>
      </c>
      <c r="I351" t="s">
        <v>236</v>
      </c>
      <c r="J351" t="s">
        <v>2246</v>
      </c>
      <c r="K351">
        <v>0</v>
      </c>
      <c r="L351" t="s">
        <v>238</v>
      </c>
      <c r="N351" t="s">
        <v>346</v>
      </c>
      <c r="O351" t="s">
        <v>2246</v>
      </c>
      <c r="P351">
        <v>3.3904847763952998E-5</v>
      </c>
      <c r="Q351" t="s">
        <v>238</v>
      </c>
      <c r="S351" t="s">
        <v>347</v>
      </c>
      <c r="T351" t="s">
        <v>2246</v>
      </c>
      <c r="U351">
        <v>5.0388052655111682E-5</v>
      </c>
      <c r="V351" t="s">
        <v>238</v>
      </c>
      <c r="X351">
        <v>1.1415525114155251E-4</v>
      </c>
      <c r="Y351">
        <v>1.093901499142282E-4</v>
      </c>
      <c r="Z351" t="s">
        <v>2246</v>
      </c>
      <c r="AA351" t="s">
        <v>25</v>
      </c>
      <c r="AC351" t="s">
        <v>22</v>
      </c>
      <c r="AD351" t="s">
        <v>2246</v>
      </c>
      <c r="AE351">
        <v>9.3249129288056607E-5</v>
      </c>
      <c r="AG351" t="s">
        <v>97</v>
      </c>
      <c r="AH351" t="s">
        <v>2246</v>
      </c>
      <c r="AI351">
        <v>0</v>
      </c>
    </row>
    <row r="352" spans="5:35" x14ac:dyDescent="0.45">
      <c r="E352" t="s">
        <v>1014</v>
      </c>
      <c r="G352" t="s">
        <v>1832</v>
      </c>
      <c r="I352" t="s">
        <v>236</v>
      </c>
      <c r="J352" t="s">
        <v>2247</v>
      </c>
      <c r="K352">
        <v>0</v>
      </c>
      <c r="L352" t="s">
        <v>238</v>
      </c>
      <c r="N352" t="s">
        <v>346</v>
      </c>
      <c r="O352" t="s">
        <v>2247</v>
      </c>
      <c r="P352">
        <v>3.9185236963807563E-5</v>
      </c>
      <c r="Q352" t="s">
        <v>238</v>
      </c>
      <c r="S352" t="s">
        <v>347</v>
      </c>
      <c r="T352" t="s">
        <v>2247</v>
      </c>
      <c r="U352">
        <v>5.8974037720713233E-5</v>
      </c>
      <c r="V352" t="s">
        <v>238</v>
      </c>
      <c r="X352">
        <v>1.1415525114155251E-4</v>
      </c>
      <c r="Y352">
        <v>7.9556472664893237E-5</v>
      </c>
      <c r="Z352" t="s">
        <v>2247</v>
      </c>
      <c r="AA352" t="s">
        <v>25</v>
      </c>
      <c r="AC352" t="s">
        <v>22</v>
      </c>
      <c r="AD352" t="s">
        <v>2247</v>
      </c>
      <c r="AE352">
        <v>8.7966595648355744E-5</v>
      </c>
      <c r="AG352" t="s">
        <v>97</v>
      </c>
      <c r="AH352" t="s">
        <v>2247</v>
      </c>
      <c r="AI352">
        <v>0</v>
      </c>
    </row>
    <row r="353" spans="5:35" x14ac:dyDescent="0.45">
      <c r="E353" t="s">
        <v>1015</v>
      </c>
      <c r="G353" t="s">
        <v>1832</v>
      </c>
      <c r="I353" t="s">
        <v>236</v>
      </c>
      <c r="J353" t="s">
        <v>2248</v>
      </c>
      <c r="K353">
        <v>0</v>
      </c>
      <c r="L353" t="s">
        <v>238</v>
      </c>
      <c r="N353" t="s">
        <v>346</v>
      </c>
      <c r="O353" t="s">
        <v>2248</v>
      </c>
      <c r="P353">
        <v>4.7913592449489336E-5</v>
      </c>
      <c r="Q353" t="s">
        <v>238</v>
      </c>
      <c r="S353" t="s">
        <v>347</v>
      </c>
      <c r="T353" t="s">
        <v>2248</v>
      </c>
      <c r="U353">
        <v>7.4289607544449733E-5</v>
      </c>
      <c r="V353" t="s">
        <v>238</v>
      </c>
      <c r="X353">
        <v>1.1415525114155251E-4</v>
      </c>
      <c r="Y353">
        <v>5.6352501470966035E-5</v>
      </c>
      <c r="Z353" t="s">
        <v>2248</v>
      </c>
      <c r="AA353" t="s">
        <v>25</v>
      </c>
      <c r="AC353" t="s">
        <v>22</v>
      </c>
      <c r="AD353" t="s">
        <v>2248</v>
      </c>
      <c r="AE353">
        <v>8.8551314510265094E-5</v>
      </c>
      <c r="AG353" t="s">
        <v>97</v>
      </c>
      <c r="AH353" t="s">
        <v>2248</v>
      </c>
      <c r="AI353">
        <v>0</v>
      </c>
    </row>
    <row r="354" spans="5:35" x14ac:dyDescent="0.45">
      <c r="E354" t="s">
        <v>1016</v>
      </c>
      <c r="G354" t="s">
        <v>1832</v>
      </c>
      <c r="I354" t="s">
        <v>236</v>
      </c>
      <c r="J354" t="s">
        <v>2249</v>
      </c>
      <c r="K354">
        <v>0</v>
      </c>
      <c r="L354" t="s">
        <v>238</v>
      </c>
      <c r="N354" t="s">
        <v>346</v>
      </c>
      <c r="O354" t="s">
        <v>2249</v>
      </c>
      <c r="P354">
        <v>5.0412180859024105E-5</v>
      </c>
      <c r="Q354" t="s">
        <v>238</v>
      </c>
      <c r="S354" t="s">
        <v>347</v>
      </c>
      <c r="T354" t="s">
        <v>2249</v>
      </c>
      <c r="U354">
        <v>7.5977040902880293E-5</v>
      </c>
      <c r="V354" t="s">
        <v>238</v>
      </c>
      <c r="X354">
        <v>1.1415525114155251E-4</v>
      </c>
      <c r="Y354">
        <v>2.9833677249334962E-5</v>
      </c>
      <c r="Z354" t="s">
        <v>2249</v>
      </c>
      <c r="AA354" t="s">
        <v>25</v>
      </c>
      <c r="AC354" t="s">
        <v>22</v>
      </c>
      <c r="AD354" t="s">
        <v>2249</v>
      </c>
      <c r="AE354">
        <v>7.8390391150124226E-5</v>
      </c>
      <c r="AG354" t="s">
        <v>97</v>
      </c>
      <c r="AH354" t="s">
        <v>2249</v>
      </c>
      <c r="AI354">
        <v>0</v>
      </c>
    </row>
    <row r="355" spans="5:35" x14ac:dyDescent="0.45">
      <c r="E355" t="s">
        <v>1017</v>
      </c>
      <c r="G355" t="s">
        <v>1832</v>
      </c>
      <c r="I355" t="s">
        <v>236</v>
      </c>
      <c r="J355" t="s">
        <v>703</v>
      </c>
      <c r="K355">
        <v>0</v>
      </c>
      <c r="L355" t="s">
        <v>238</v>
      </c>
      <c r="N355" t="s">
        <v>346</v>
      </c>
      <c r="O355" t="s">
        <v>703</v>
      </c>
      <c r="P355">
        <v>2.2804686125376939E-2</v>
      </c>
      <c r="Q355" t="s">
        <v>238</v>
      </c>
      <c r="S355" t="s">
        <v>347</v>
      </c>
      <c r="T355" t="s">
        <v>703</v>
      </c>
      <c r="U355">
        <v>2.2668135990535854E-2</v>
      </c>
      <c r="V355" t="s">
        <v>238</v>
      </c>
      <c r="X355">
        <v>1.9178082191780823E-2</v>
      </c>
      <c r="Y355">
        <v>4.1024621070863279E-3</v>
      </c>
      <c r="Z355" t="s">
        <v>703</v>
      </c>
      <c r="AA355" t="s">
        <v>25</v>
      </c>
      <c r="AC355" t="s">
        <v>22</v>
      </c>
      <c r="AD355" t="s">
        <v>703</v>
      </c>
      <c r="AE355">
        <v>1.4404270015080026E-2</v>
      </c>
      <c r="AG355" t="s">
        <v>97</v>
      </c>
      <c r="AH355" t="s">
        <v>703</v>
      </c>
      <c r="AI355">
        <v>0.22295126694286282</v>
      </c>
    </row>
    <row r="356" spans="5:35" x14ac:dyDescent="0.45">
      <c r="E356" t="s">
        <v>1018</v>
      </c>
      <c r="G356" t="s">
        <v>1832</v>
      </c>
      <c r="I356" t="s">
        <v>236</v>
      </c>
      <c r="J356" t="s">
        <v>704</v>
      </c>
      <c r="K356">
        <v>0</v>
      </c>
      <c r="L356" t="s">
        <v>238</v>
      </c>
      <c r="N356" t="s">
        <v>346</v>
      </c>
      <c r="O356" t="s">
        <v>704</v>
      </c>
      <c r="P356">
        <v>3.7874301119240634E-3</v>
      </c>
      <c r="Q356" t="s">
        <v>238</v>
      </c>
      <c r="S356" t="s">
        <v>347</v>
      </c>
      <c r="T356" t="s">
        <v>704</v>
      </c>
      <c r="U356">
        <v>3.6594087956696038E-3</v>
      </c>
      <c r="V356" t="s">
        <v>238</v>
      </c>
      <c r="X356">
        <v>3.1963470319634705E-3</v>
      </c>
      <c r="Y356">
        <v>4.7336101235611484E-3</v>
      </c>
      <c r="Z356" t="s">
        <v>704</v>
      </c>
      <c r="AA356" t="s">
        <v>25</v>
      </c>
      <c r="AC356" t="s">
        <v>22</v>
      </c>
      <c r="AD356" t="s">
        <v>704</v>
      </c>
      <c r="AE356">
        <v>3.4290606488542319E-3</v>
      </c>
      <c r="AG356" t="s">
        <v>97</v>
      </c>
      <c r="AH356" t="s">
        <v>704</v>
      </c>
      <c r="AI356">
        <v>0.11017611795807425</v>
      </c>
    </row>
    <row r="357" spans="5:35" x14ac:dyDescent="0.45">
      <c r="E357" t="s">
        <v>1019</v>
      </c>
      <c r="G357" t="s">
        <v>1832</v>
      </c>
      <c r="I357" t="s">
        <v>236</v>
      </c>
      <c r="J357" t="s">
        <v>705</v>
      </c>
      <c r="K357">
        <v>1.0476133313176833E-4</v>
      </c>
      <c r="L357" t="s">
        <v>238</v>
      </c>
      <c r="N357" t="s">
        <v>346</v>
      </c>
      <c r="O357" t="s">
        <v>705</v>
      </c>
      <c r="P357">
        <v>3.7872532858282139E-3</v>
      </c>
      <c r="Q357" t="s">
        <v>238</v>
      </c>
      <c r="S357" t="s">
        <v>347</v>
      </c>
      <c r="T357" t="s">
        <v>705</v>
      </c>
      <c r="U357">
        <v>3.6934503829369695E-3</v>
      </c>
      <c r="V357" t="s">
        <v>238</v>
      </c>
      <c r="X357">
        <v>3.1963470319634705E-3</v>
      </c>
      <c r="Y357">
        <v>5.3369133746032542E-3</v>
      </c>
      <c r="Z357" t="s">
        <v>705</v>
      </c>
      <c r="AA357" t="s">
        <v>25</v>
      </c>
      <c r="AC357" t="s">
        <v>22</v>
      </c>
      <c r="AD357" t="s">
        <v>705</v>
      </c>
      <c r="AE357">
        <v>3.6173601862715676E-3</v>
      </c>
      <c r="AG357" t="s">
        <v>97</v>
      </c>
      <c r="AH357" t="s">
        <v>705</v>
      </c>
      <c r="AI357">
        <v>9.401204676981223E-2</v>
      </c>
    </row>
    <row r="358" spans="5:35" x14ac:dyDescent="0.45">
      <c r="E358" t="s">
        <v>1020</v>
      </c>
      <c r="G358" t="s">
        <v>1832</v>
      </c>
      <c r="I358" t="s">
        <v>236</v>
      </c>
      <c r="J358" t="s">
        <v>706</v>
      </c>
      <c r="K358">
        <v>1.2219297024278839E-3</v>
      </c>
      <c r="L358" t="s">
        <v>238</v>
      </c>
      <c r="N358" t="s">
        <v>346</v>
      </c>
      <c r="O358" t="s">
        <v>706</v>
      </c>
      <c r="P358">
        <v>3.7517328188477334E-3</v>
      </c>
      <c r="Q358" t="s">
        <v>238</v>
      </c>
      <c r="S358" t="s">
        <v>347</v>
      </c>
      <c r="T358" t="s">
        <v>706</v>
      </c>
      <c r="U358">
        <v>3.7310200614381304E-3</v>
      </c>
      <c r="V358" t="s">
        <v>238</v>
      </c>
      <c r="X358">
        <v>3.1963470319634705E-3</v>
      </c>
      <c r="Y358">
        <v>4.0838989301311864E-3</v>
      </c>
      <c r="Z358" t="s">
        <v>706</v>
      </c>
      <c r="AA358" t="s">
        <v>25</v>
      </c>
      <c r="AC358" t="s">
        <v>22</v>
      </c>
      <c r="AD358" t="s">
        <v>706</v>
      </c>
      <c r="AE358">
        <v>3.8060008096916838E-3</v>
      </c>
      <c r="AG358" t="s">
        <v>97</v>
      </c>
      <c r="AH358" t="s">
        <v>706</v>
      </c>
      <c r="AI358">
        <v>9.6081014849752178E-2</v>
      </c>
    </row>
    <row r="359" spans="5:35" x14ac:dyDescent="0.45">
      <c r="E359" t="s">
        <v>1021</v>
      </c>
      <c r="G359" t="s">
        <v>1832</v>
      </c>
      <c r="I359" t="s">
        <v>236</v>
      </c>
      <c r="J359" t="s">
        <v>707</v>
      </c>
      <c r="K359">
        <v>2.4883662525904768E-2</v>
      </c>
      <c r="L359" t="s">
        <v>238</v>
      </c>
      <c r="N359" t="s">
        <v>346</v>
      </c>
      <c r="O359" t="s">
        <v>707</v>
      </c>
      <c r="P359">
        <v>2.4741853937186822E-2</v>
      </c>
      <c r="Q359" t="s">
        <v>238</v>
      </c>
      <c r="S359" t="s">
        <v>347</v>
      </c>
      <c r="T359" t="s">
        <v>707</v>
      </c>
      <c r="U359">
        <v>2.5904329231478559E-2</v>
      </c>
      <c r="V359" t="s">
        <v>238</v>
      </c>
      <c r="X359">
        <v>2.2374429223744292E-2</v>
      </c>
      <c r="Y359">
        <v>2.912562464261742E-2</v>
      </c>
      <c r="Z359" t="s">
        <v>707</v>
      </c>
      <c r="AA359" t="s">
        <v>25</v>
      </c>
      <c r="AC359" t="s">
        <v>22</v>
      </c>
      <c r="AD359" t="s">
        <v>707</v>
      </c>
      <c r="AE359">
        <v>2.6671215814516879E-2</v>
      </c>
      <c r="AG359" t="s">
        <v>97</v>
      </c>
      <c r="AH359" t="s">
        <v>707</v>
      </c>
      <c r="AI359">
        <v>0.10485914645968109</v>
      </c>
    </row>
    <row r="360" spans="5:35" x14ac:dyDescent="0.45">
      <c r="E360" t="s">
        <v>1022</v>
      </c>
      <c r="G360" t="s">
        <v>1832</v>
      </c>
      <c r="I360" t="s">
        <v>236</v>
      </c>
      <c r="J360" t="s">
        <v>708</v>
      </c>
      <c r="K360">
        <v>1.3757720761272524E-3</v>
      </c>
      <c r="L360" t="s">
        <v>238</v>
      </c>
      <c r="N360" t="s">
        <v>346</v>
      </c>
      <c r="O360" t="s">
        <v>708</v>
      </c>
      <c r="P360">
        <v>3.4915833571536217E-3</v>
      </c>
      <c r="Q360" t="s">
        <v>238</v>
      </c>
      <c r="S360" t="s">
        <v>347</v>
      </c>
      <c r="T360" t="s">
        <v>708</v>
      </c>
      <c r="U360">
        <v>3.6244597430137126E-3</v>
      </c>
      <c r="V360" t="s">
        <v>238</v>
      </c>
      <c r="X360">
        <v>3.1963470319634705E-3</v>
      </c>
      <c r="Y360">
        <v>6.2186642799724884E-3</v>
      </c>
      <c r="Z360" t="s">
        <v>708</v>
      </c>
      <c r="AA360" t="s">
        <v>25</v>
      </c>
      <c r="AC360" t="s">
        <v>22</v>
      </c>
      <c r="AD360" t="s">
        <v>708</v>
      </c>
      <c r="AE360">
        <v>3.8870330986379587E-3</v>
      </c>
      <c r="AG360" t="s">
        <v>97</v>
      </c>
      <c r="AH360" t="s">
        <v>708</v>
      </c>
      <c r="AI360">
        <v>8.2347406755368446E-2</v>
      </c>
    </row>
    <row r="361" spans="5:35" x14ac:dyDescent="0.45">
      <c r="E361" t="s">
        <v>1023</v>
      </c>
      <c r="G361" t="s">
        <v>1832</v>
      </c>
      <c r="I361" t="s">
        <v>236</v>
      </c>
      <c r="J361" t="s">
        <v>709</v>
      </c>
      <c r="K361">
        <v>8.1893093857031315E-5</v>
      </c>
      <c r="L361" t="s">
        <v>238</v>
      </c>
      <c r="N361" t="s">
        <v>346</v>
      </c>
      <c r="O361" t="s">
        <v>709</v>
      </c>
      <c r="P361">
        <v>3.5166401302441494E-3</v>
      </c>
      <c r="Q361" t="s">
        <v>238</v>
      </c>
      <c r="S361" t="s">
        <v>347</v>
      </c>
      <c r="T361" t="s">
        <v>709</v>
      </c>
      <c r="U361">
        <v>3.6314251747959891E-3</v>
      </c>
      <c r="V361" t="s">
        <v>238</v>
      </c>
      <c r="X361">
        <v>3.1963470319634705E-3</v>
      </c>
      <c r="Y361">
        <v>6.2186642799724884E-3</v>
      </c>
      <c r="Z361" t="s">
        <v>709</v>
      </c>
      <c r="AA361" t="s">
        <v>25</v>
      </c>
      <c r="AC361" t="s">
        <v>22</v>
      </c>
      <c r="AD361" t="s">
        <v>709</v>
      </c>
      <c r="AE361">
        <v>3.9171031259923285E-3</v>
      </c>
      <c r="AG361" t="s">
        <v>97</v>
      </c>
      <c r="AH361" t="s">
        <v>709</v>
      </c>
      <c r="AI361">
        <v>8.3053800720202187E-2</v>
      </c>
    </row>
    <row r="362" spans="5:35" x14ac:dyDescent="0.45">
      <c r="E362" t="s">
        <v>1024</v>
      </c>
      <c r="G362" t="s">
        <v>1832</v>
      </c>
      <c r="I362" t="s">
        <v>236</v>
      </c>
      <c r="J362" t="s">
        <v>710</v>
      </c>
      <c r="K362">
        <v>0</v>
      </c>
      <c r="L362" t="s">
        <v>238</v>
      </c>
      <c r="N362" t="s">
        <v>346</v>
      </c>
      <c r="O362" t="s">
        <v>710</v>
      </c>
      <c r="P362">
        <v>2.1198790584499388E-2</v>
      </c>
      <c r="Q362" t="s">
        <v>238</v>
      </c>
      <c r="S362" t="s">
        <v>347</v>
      </c>
      <c r="T362" t="s">
        <v>710</v>
      </c>
      <c r="U362">
        <v>2.1968625073001815E-2</v>
      </c>
      <c r="V362" t="s">
        <v>238</v>
      </c>
      <c r="X362">
        <v>1.9178082191780823E-2</v>
      </c>
      <c r="Y362">
        <v>1.6892491029178995E-2</v>
      </c>
      <c r="Z362" t="s">
        <v>710</v>
      </c>
      <c r="AA362" t="s">
        <v>25</v>
      </c>
      <c r="AC362" t="s">
        <v>22</v>
      </c>
      <c r="AD362" t="s">
        <v>710</v>
      </c>
      <c r="AE362">
        <v>2.0274259803519334E-2</v>
      </c>
      <c r="AG362" t="s">
        <v>97</v>
      </c>
      <c r="AH362" t="s">
        <v>710</v>
      </c>
      <c r="AI362">
        <v>0.18953718827703159</v>
      </c>
    </row>
    <row r="363" spans="5:35" x14ac:dyDescent="0.45">
      <c r="E363" t="s">
        <v>1025</v>
      </c>
      <c r="G363" t="s">
        <v>1832</v>
      </c>
      <c r="I363" t="s">
        <v>236</v>
      </c>
      <c r="J363" t="s">
        <v>2250</v>
      </c>
      <c r="K363">
        <v>0</v>
      </c>
      <c r="L363" t="s">
        <v>238</v>
      </c>
      <c r="N363" t="s">
        <v>346</v>
      </c>
      <c r="O363" t="s">
        <v>2250</v>
      </c>
      <c r="P363">
        <v>1.8019032187409311E-5</v>
      </c>
      <c r="Q363" t="s">
        <v>238</v>
      </c>
      <c r="S363" t="s">
        <v>347</v>
      </c>
      <c r="T363" t="s">
        <v>2250</v>
      </c>
      <c r="U363">
        <v>5.7253962646236672E-5</v>
      </c>
      <c r="V363" t="s">
        <v>238</v>
      </c>
      <c r="X363">
        <v>1.1415525114155251E-4</v>
      </c>
      <c r="Y363">
        <v>2.1546544680075254E-5</v>
      </c>
      <c r="Z363" t="s">
        <v>2250</v>
      </c>
      <c r="AA363" t="s">
        <v>25</v>
      </c>
      <c r="AC363" t="s">
        <v>22</v>
      </c>
      <c r="AD363" t="s">
        <v>2250</v>
      </c>
      <c r="AE363">
        <v>8.516554444492556E-5</v>
      </c>
      <c r="AG363" t="s">
        <v>97</v>
      </c>
      <c r="AH363" t="s">
        <v>2250</v>
      </c>
      <c r="AI363">
        <v>0</v>
      </c>
    </row>
    <row r="364" spans="5:35" x14ac:dyDescent="0.45">
      <c r="E364" t="s">
        <v>1026</v>
      </c>
      <c r="G364" t="s">
        <v>1832</v>
      </c>
      <c r="I364" t="s">
        <v>236</v>
      </c>
      <c r="J364" t="s">
        <v>2251</v>
      </c>
      <c r="K364">
        <v>0</v>
      </c>
      <c r="L364" t="s">
        <v>238</v>
      </c>
      <c r="N364" t="s">
        <v>346</v>
      </c>
      <c r="O364" t="s">
        <v>2251</v>
      </c>
      <c r="P364">
        <v>1.2744314094030927E-5</v>
      </c>
      <c r="Q364" t="s">
        <v>238</v>
      </c>
      <c r="S364" t="s">
        <v>347</v>
      </c>
      <c r="T364" t="s">
        <v>2251</v>
      </c>
      <c r="U364">
        <v>4.6083288886919255E-5</v>
      </c>
      <c r="V364" t="s">
        <v>238</v>
      </c>
      <c r="X364">
        <v>1.1415525114155251E-4</v>
      </c>
      <c r="Y364">
        <v>1.4916838624667481E-5</v>
      </c>
      <c r="Z364" t="s">
        <v>2251</v>
      </c>
      <c r="AA364" t="s">
        <v>25</v>
      </c>
      <c r="AC364" t="s">
        <v>22</v>
      </c>
      <c r="AD364" t="s">
        <v>2251</v>
      </c>
      <c r="AE364">
        <v>8.1144169134833141E-5</v>
      </c>
      <c r="AG364" t="s">
        <v>97</v>
      </c>
      <c r="AH364" t="s">
        <v>2251</v>
      </c>
      <c r="AI364">
        <v>0</v>
      </c>
    </row>
    <row r="365" spans="5:35" x14ac:dyDescent="0.45">
      <c r="E365" t="s">
        <v>1027</v>
      </c>
      <c r="G365" t="s">
        <v>1832</v>
      </c>
      <c r="I365" t="s">
        <v>236</v>
      </c>
      <c r="J365" t="s">
        <v>2252</v>
      </c>
      <c r="K365">
        <v>0</v>
      </c>
      <c r="L365" t="s">
        <v>238</v>
      </c>
      <c r="N365" t="s">
        <v>346</v>
      </c>
      <c r="O365" t="s">
        <v>2252</v>
      </c>
      <c r="P365">
        <v>9.3806802625628801E-6</v>
      </c>
      <c r="Q365" t="s">
        <v>238</v>
      </c>
      <c r="S365" t="s">
        <v>347</v>
      </c>
      <c r="T365" t="s">
        <v>2252</v>
      </c>
      <c r="U365">
        <v>3.8022059398896442E-5</v>
      </c>
      <c r="V365" t="s">
        <v>238</v>
      </c>
      <c r="X365">
        <v>1.1415525114155251E-4</v>
      </c>
      <c r="Y365">
        <v>1.6574265138519424E-5</v>
      </c>
      <c r="Z365" t="s">
        <v>2252</v>
      </c>
      <c r="AA365" t="s">
        <v>25</v>
      </c>
      <c r="AC365" t="s">
        <v>22</v>
      </c>
      <c r="AD365" t="s">
        <v>2252</v>
      </c>
      <c r="AE365">
        <v>8.0714228795193904E-5</v>
      </c>
      <c r="AG365" t="s">
        <v>97</v>
      </c>
      <c r="AH365" t="s">
        <v>2252</v>
      </c>
      <c r="AI365">
        <v>0</v>
      </c>
    </row>
    <row r="366" spans="5:35" x14ac:dyDescent="0.45">
      <c r="E366" t="s">
        <v>1028</v>
      </c>
      <c r="G366" t="s">
        <v>1832</v>
      </c>
      <c r="I366" t="s">
        <v>236</v>
      </c>
      <c r="J366" t="s">
        <v>2253</v>
      </c>
      <c r="K366">
        <v>0</v>
      </c>
      <c r="L366" t="s">
        <v>238</v>
      </c>
      <c r="N366" t="s">
        <v>346</v>
      </c>
      <c r="O366" t="s">
        <v>2253</v>
      </c>
      <c r="P366">
        <v>9.5893109854045279E-6</v>
      </c>
      <c r="Q366" t="s">
        <v>238</v>
      </c>
      <c r="S366" t="s">
        <v>347</v>
      </c>
      <c r="T366" t="s">
        <v>2253</v>
      </c>
      <c r="U366">
        <v>3.41820729370141E-5</v>
      </c>
      <c r="V366" t="s">
        <v>238</v>
      </c>
      <c r="X366">
        <v>1.1415525114155251E-4</v>
      </c>
      <c r="Y366">
        <v>1.4585353321897093E-5</v>
      </c>
      <c r="Z366" t="s">
        <v>2253</v>
      </c>
      <c r="AA366" t="s">
        <v>25</v>
      </c>
      <c r="AC366" t="s">
        <v>22</v>
      </c>
      <c r="AD366" t="s">
        <v>2253</v>
      </c>
      <c r="AE366">
        <v>8.0714228795193904E-5</v>
      </c>
      <c r="AG366" t="s">
        <v>97</v>
      </c>
      <c r="AH366" t="s">
        <v>2253</v>
      </c>
      <c r="AI366">
        <v>0</v>
      </c>
    </row>
    <row r="367" spans="5:35" x14ac:dyDescent="0.45">
      <c r="E367" t="s">
        <v>1029</v>
      </c>
      <c r="G367" t="s">
        <v>1832</v>
      </c>
      <c r="I367" t="s">
        <v>236</v>
      </c>
      <c r="J367" t="s">
        <v>2254</v>
      </c>
      <c r="K367">
        <v>0</v>
      </c>
      <c r="L367" t="s">
        <v>238</v>
      </c>
      <c r="N367" t="s">
        <v>346</v>
      </c>
      <c r="O367" t="s">
        <v>2254</v>
      </c>
      <c r="P367">
        <v>1.155521440647059E-5</v>
      </c>
      <c r="Q367" t="s">
        <v>238</v>
      </c>
      <c r="S367" t="s">
        <v>347</v>
      </c>
      <c r="T367" t="s">
        <v>2254</v>
      </c>
      <c r="U367">
        <v>2.6536417702139185E-5</v>
      </c>
      <c r="V367" t="s">
        <v>238</v>
      </c>
      <c r="X367">
        <v>1.1415525114155251E-4</v>
      </c>
      <c r="Y367">
        <v>2.1215059377304864E-5</v>
      </c>
      <c r="Z367" t="s">
        <v>2254</v>
      </c>
      <c r="AA367" t="s">
        <v>25</v>
      </c>
      <c r="AC367" t="s">
        <v>22</v>
      </c>
      <c r="AD367" t="s">
        <v>2254</v>
      </c>
      <c r="AE367">
        <v>8.6524155918185589E-5</v>
      </c>
      <c r="AG367" t="s">
        <v>97</v>
      </c>
      <c r="AH367" t="s">
        <v>2254</v>
      </c>
      <c r="AI367">
        <v>0</v>
      </c>
    </row>
    <row r="368" spans="5:35" x14ac:dyDescent="0.45">
      <c r="E368" t="s">
        <v>1030</v>
      </c>
      <c r="G368" t="s">
        <v>1832</v>
      </c>
      <c r="I368" t="s">
        <v>236</v>
      </c>
      <c r="J368" t="s">
        <v>2255</v>
      </c>
      <c r="K368">
        <v>0</v>
      </c>
      <c r="L368" t="s">
        <v>238</v>
      </c>
      <c r="N368" t="s">
        <v>346</v>
      </c>
      <c r="O368" t="s">
        <v>2255</v>
      </c>
      <c r="P368">
        <v>9.5613170572845884E-6</v>
      </c>
      <c r="Q368" t="s">
        <v>238</v>
      </c>
      <c r="S368" t="s">
        <v>347</v>
      </c>
      <c r="T368" t="s">
        <v>2255</v>
      </c>
      <c r="U368">
        <v>1.7464030261890603E-5</v>
      </c>
      <c r="V368" t="s">
        <v>238</v>
      </c>
      <c r="X368">
        <v>1.1415525114155251E-4</v>
      </c>
      <c r="Y368">
        <v>5.7678442682047593E-5</v>
      </c>
      <c r="Z368" t="s">
        <v>2255</v>
      </c>
      <c r="AA368" t="s">
        <v>25</v>
      </c>
      <c r="AC368" t="s">
        <v>22</v>
      </c>
      <c r="AD368" t="s">
        <v>2255</v>
      </c>
      <c r="AE368">
        <v>1.1434129589284494E-4</v>
      </c>
      <c r="AG368" t="s">
        <v>97</v>
      </c>
      <c r="AH368" t="s">
        <v>2255</v>
      </c>
      <c r="AI368">
        <v>0</v>
      </c>
    </row>
    <row r="369" spans="5:35" x14ac:dyDescent="0.45">
      <c r="E369" t="s">
        <v>1031</v>
      </c>
      <c r="G369" t="s">
        <v>1832</v>
      </c>
      <c r="I369" t="s">
        <v>236</v>
      </c>
      <c r="J369" t="s">
        <v>2256</v>
      </c>
      <c r="K369">
        <v>0</v>
      </c>
      <c r="L369" t="s">
        <v>238</v>
      </c>
      <c r="N369" t="s">
        <v>346</v>
      </c>
      <c r="O369" t="s">
        <v>2256</v>
      </c>
      <c r="P369">
        <v>8.0408236165887932E-6</v>
      </c>
      <c r="Q369" t="s">
        <v>238</v>
      </c>
      <c r="S369" t="s">
        <v>347</v>
      </c>
      <c r="T369" t="s">
        <v>2256</v>
      </c>
      <c r="U369">
        <v>1.5341995709750722E-5</v>
      </c>
      <c r="V369" t="s">
        <v>238</v>
      </c>
      <c r="X369">
        <v>1.1415525114155251E-4</v>
      </c>
      <c r="Y369">
        <v>1.6905750441289813E-4</v>
      </c>
      <c r="Z369" t="s">
        <v>2256</v>
      </c>
      <c r="AA369" t="s">
        <v>25</v>
      </c>
      <c r="AC369" t="s">
        <v>22</v>
      </c>
      <c r="AD369" t="s">
        <v>2256</v>
      </c>
      <c r="AE369">
        <v>1.3545996537592481E-4</v>
      </c>
      <c r="AG369" t="s">
        <v>97</v>
      </c>
      <c r="AH369" t="s">
        <v>2256</v>
      </c>
      <c r="AI369">
        <v>0</v>
      </c>
    </row>
    <row r="370" spans="5:35" x14ac:dyDescent="0.45">
      <c r="E370" t="s">
        <v>1032</v>
      </c>
      <c r="G370" t="s">
        <v>1832</v>
      </c>
      <c r="I370" t="s">
        <v>236</v>
      </c>
      <c r="J370" t="s">
        <v>2257</v>
      </c>
      <c r="K370">
        <v>0</v>
      </c>
      <c r="L370" t="s">
        <v>238</v>
      </c>
      <c r="N370" t="s">
        <v>346</v>
      </c>
      <c r="O370" t="s">
        <v>2257</v>
      </c>
      <c r="P370">
        <v>8.4666679914735433E-6</v>
      </c>
      <c r="Q370" t="s">
        <v>238</v>
      </c>
      <c r="S370" t="s">
        <v>347</v>
      </c>
      <c r="T370" t="s">
        <v>2257</v>
      </c>
      <c r="U370">
        <v>1.8630234519662773E-5</v>
      </c>
      <c r="V370" t="s">
        <v>238</v>
      </c>
      <c r="X370">
        <v>1.1415525114155251E-4</v>
      </c>
      <c r="Y370">
        <v>1.9060404909297337E-4</v>
      </c>
      <c r="Z370" t="s">
        <v>2257</v>
      </c>
      <c r="AA370" t="s">
        <v>25</v>
      </c>
      <c r="AC370" t="s">
        <v>22</v>
      </c>
      <c r="AD370" t="s">
        <v>2257</v>
      </c>
      <c r="AE370">
        <v>1.4260270755179819E-4</v>
      </c>
      <c r="AG370" t="s">
        <v>97</v>
      </c>
      <c r="AH370" t="s">
        <v>2257</v>
      </c>
      <c r="AI370">
        <v>0</v>
      </c>
    </row>
    <row r="371" spans="5:35" x14ac:dyDescent="0.45">
      <c r="E371" t="s">
        <v>226</v>
      </c>
      <c r="G371" t="s">
        <v>146</v>
      </c>
      <c r="I371" t="s">
        <v>236</v>
      </c>
      <c r="J371" t="s">
        <v>2258</v>
      </c>
      <c r="K371">
        <v>2.9789954902998191E-5</v>
      </c>
      <c r="L371" t="s">
        <v>238</v>
      </c>
      <c r="N371" t="s">
        <v>346</v>
      </c>
      <c r="O371" t="s">
        <v>2258</v>
      </c>
      <c r="P371">
        <v>8.3528817756860786E-6</v>
      </c>
      <c r="Q371" t="s">
        <v>238</v>
      </c>
      <c r="S371" t="s">
        <v>347</v>
      </c>
      <c r="T371" t="s">
        <v>2258</v>
      </c>
      <c r="U371">
        <v>1.8124686461398465E-5</v>
      </c>
      <c r="V371" t="s">
        <v>238</v>
      </c>
      <c r="X371">
        <v>1.1415525114155251E-4</v>
      </c>
      <c r="Y371">
        <v>1.4585353321897094E-4</v>
      </c>
      <c r="Z371" t="s">
        <v>2258</v>
      </c>
      <c r="AA371" t="s">
        <v>25</v>
      </c>
      <c r="AC371" t="s">
        <v>22</v>
      </c>
      <c r="AD371" t="s">
        <v>2258</v>
      </c>
      <c r="AE371">
        <v>1.4732918501889896E-4</v>
      </c>
      <c r="AG371" t="s">
        <v>97</v>
      </c>
      <c r="AH371" t="s">
        <v>2258</v>
      </c>
      <c r="AI371">
        <v>0</v>
      </c>
    </row>
    <row r="372" spans="5:35" x14ac:dyDescent="0.45">
      <c r="E372" t="s">
        <v>227</v>
      </c>
      <c r="G372" t="s">
        <v>146</v>
      </c>
      <c r="I372" t="s">
        <v>236</v>
      </c>
      <c r="J372" t="s">
        <v>2259</v>
      </c>
      <c r="K372">
        <v>8.6782033150141456E-5</v>
      </c>
      <c r="L372" t="s">
        <v>238</v>
      </c>
      <c r="N372" t="s">
        <v>346</v>
      </c>
      <c r="O372" t="s">
        <v>2259</v>
      </c>
      <c r="P372">
        <v>7.6886843019759407E-6</v>
      </c>
      <c r="Q372" t="s">
        <v>238</v>
      </c>
      <c r="S372" t="s">
        <v>347</v>
      </c>
      <c r="T372" t="s">
        <v>2259</v>
      </c>
      <c r="U372">
        <v>1.9444833672872817E-5</v>
      </c>
      <c r="V372" t="s">
        <v>238</v>
      </c>
      <c r="X372">
        <v>1.1415525114155251E-4</v>
      </c>
      <c r="Y372">
        <v>1.4452759200788939E-4</v>
      </c>
      <c r="Z372" t="s">
        <v>2259</v>
      </c>
      <c r="AA372" t="s">
        <v>25</v>
      </c>
      <c r="AC372" t="s">
        <v>22</v>
      </c>
      <c r="AD372" t="s">
        <v>2259</v>
      </c>
      <c r="AE372">
        <v>1.475040274236856E-4</v>
      </c>
      <c r="AG372" t="s">
        <v>97</v>
      </c>
      <c r="AH372" t="s">
        <v>2259</v>
      </c>
      <c r="AI372">
        <v>0</v>
      </c>
    </row>
    <row r="373" spans="5:35" x14ac:dyDescent="0.45">
      <c r="E373" t="s">
        <v>228</v>
      </c>
      <c r="G373" t="s">
        <v>146</v>
      </c>
      <c r="I373" t="s">
        <v>236</v>
      </c>
      <c r="J373" t="s">
        <v>2260</v>
      </c>
      <c r="K373">
        <v>1.3523580101169999E-4</v>
      </c>
      <c r="L373" t="s">
        <v>238</v>
      </c>
      <c r="N373" t="s">
        <v>346</v>
      </c>
      <c r="O373" t="s">
        <v>2260</v>
      </c>
      <c r="P373">
        <v>8.3167003763211136E-6</v>
      </c>
      <c r="Q373" t="s">
        <v>238</v>
      </c>
      <c r="S373" t="s">
        <v>347</v>
      </c>
      <c r="T373" t="s">
        <v>2260</v>
      </c>
      <c r="U373">
        <v>1.3187849365018832E-5</v>
      </c>
      <c r="V373" t="s">
        <v>238</v>
      </c>
      <c r="X373">
        <v>1.1415525114155251E-4</v>
      </c>
      <c r="Y373">
        <v>1.408812536774151E-4</v>
      </c>
      <c r="Z373" t="s">
        <v>2260</v>
      </c>
      <c r="AA373" t="s">
        <v>25</v>
      </c>
      <c r="AC373" t="s">
        <v>22</v>
      </c>
      <c r="AD373" t="s">
        <v>2260</v>
      </c>
      <c r="AE373">
        <v>1.4701102916756591E-4</v>
      </c>
      <c r="AG373" t="s">
        <v>97</v>
      </c>
      <c r="AH373" t="s">
        <v>2260</v>
      </c>
      <c r="AI373">
        <v>0</v>
      </c>
    </row>
    <row r="374" spans="5:35" x14ac:dyDescent="0.45">
      <c r="E374" t="s">
        <v>229</v>
      </c>
      <c r="G374" t="s">
        <v>146</v>
      </c>
      <c r="I374" t="s">
        <v>236</v>
      </c>
      <c r="J374" t="s">
        <v>2261</v>
      </c>
      <c r="K374">
        <v>1.2906470351759999E-4</v>
      </c>
      <c r="L374" t="s">
        <v>238</v>
      </c>
      <c r="N374" t="s">
        <v>346</v>
      </c>
      <c r="O374" t="s">
        <v>2261</v>
      </c>
      <c r="P374">
        <v>1.3424700114047754E-5</v>
      </c>
      <c r="Q374" t="s">
        <v>238</v>
      </c>
      <c r="S374" t="s">
        <v>347</v>
      </c>
      <c r="T374" t="s">
        <v>2261</v>
      </c>
      <c r="U374">
        <v>1.9502130807383047E-5</v>
      </c>
      <c r="V374" t="s">
        <v>238</v>
      </c>
      <c r="X374">
        <v>1.1415525114155251E-4</v>
      </c>
      <c r="Y374">
        <v>1.4054976837464471E-4</v>
      </c>
      <c r="Z374" t="s">
        <v>2261</v>
      </c>
      <c r="AA374" t="s">
        <v>25</v>
      </c>
      <c r="AC374" t="s">
        <v>22</v>
      </c>
      <c r="AD374" t="s">
        <v>2261</v>
      </c>
      <c r="AE374">
        <v>1.4597343981456989E-4</v>
      </c>
      <c r="AG374" t="s">
        <v>97</v>
      </c>
      <c r="AH374" t="s">
        <v>2261</v>
      </c>
      <c r="AI374">
        <v>0</v>
      </c>
    </row>
    <row r="375" spans="5:35" x14ac:dyDescent="0.45">
      <c r="E375" t="s">
        <v>230</v>
      </c>
      <c r="G375" t="s">
        <v>146</v>
      </c>
      <c r="I375" t="s">
        <v>236</v>
      </c>
      <c r="J375" t="s">
        <v>2262</v>
      </c>
      <c r="K375">
        <v>1.2004247384100001E-4</v>
      </c>
      <c r="L375" t="s">
        <v>238</v>
      </c>
      <c r="N375" t="s">
        <v>346</v>
      </c>
      <c r="O375" t="s">
        <v>2262</v>
      </c>
      <c r="P375">
        <v>1.745780213979983E-5</v>
      </c>
      <c r="Q375" t="s">
        <v>238</v>
      </c>
      <c r="S375" t="s">
        <v>347</v>
      </c>
      <c r="T375" t="s">
        <v>2262</v>
      </c>
      <c r="U375">
        <v>2.2502111958442529E-5</v>
      </c>
      <c r="V375" t="s">
        <v>238</v>
      </c>
      <c r="X375">
        <v>1.1415525114155251E-4</v>
      </c>
      <c r="Y375">
        <v>1.4253868019126702E-4</v>
      </c>
      <c r="Z375" t="s">
        <v>2262</v>
      </c>
      <c r="AA375" t="s">
        <v>25</v>
      </c>
      <c r="AC375" t="s">
        <v>22</v>
      </c>
      <c r="AD375" t="s">
        <v>2262</v>
      </c>
      <c r="AE375">
        <v>1.4503903614308724E-4</v>
      </c>
      <c r="AG375" t="s">
        <v>97</v>
      </c>
      <c r="AH375" t="s">
        <v>2262</v>
      </c>
      <c r="AI375">
        <v>0</v>
      </c>
    </row>
    <row r="376" spans="5:35" x14ac:dyDescent="0.45">
      <c r="E376" t="s">
        <v>231</v>
      </c>
      <c r="G376" t="s">
        <v>146</v>
      </c>
      <c r="I376" t="s">
        <v>236</v>
      </c>
      <c r="J376" t="s">
        <v>2263</v>
      </c>
      <c r="K376">
        <v>1.111616154631E-4</v>
      </c>
      <c r="L376" t="s">
        <v>238</v>
      </c>
      <c r="N376" t="s">
        <v>346</v>
      </c>
      <c r="O376" t="s">
        <v>2263</v>
      </c>
      <c r="P376">
        <v>1.8661376203876871E-5</v>
      </c>
      <c r="Q376" t="s">
        <v>238</v>
      </c>
      <c r="S376" t="s">
        <v>347</v>
      </c>
      <c r="T376" t="s">
        <v>2263</v>
      </c>
      <c r="U376">
        <v>2.5200547924143566E-5</v>
      </c>
      <c r="V376" t="s">
        <v>238</v>
      </c>
      <c r="X376">
        <v>1.1415525114155251E-4</v>
      </c>
      <c r="Y376">
        <v>1.4883690094390442E-4</v>
      </c>
      <c r="Z376" t="s">
        <v>2263</v>
      </c>
      <c r="AA376" t="s">
        <v>25</v>
      </c>
      <c r="AC376" t="s">
        <v>22</v>
      </c>
      <c r="AD376" t="s">
        <v>2263</v>
      </c>
      <c r="AE376">
        <v>1.4503903614308724E-4</v>
      </c>
      <c r="AG376" t="s">
        <v>97</v>
      </c>
      <c r="AH376" t="s">
        <v>2263</v>
      </c>
      <c r="AI376">
        <v>0</v>
      </c>
    </row>
    <row r="377" spans="5:35" x14ac:dyDescent="0.45">
      <c r="E377" t="s">
        <v>232</v>
      </c>
      <c r="G377" t="s">
        <v>146</v>
      </c>
      <c r="I377" t="s">
        <v>236</v>
      </c>
      <c r="J377" t="s">
        <v>2264</v>
      </c>
      <c r="K377">
        <v>9.4360162243638674E-5</v>
      </c>
      <c r="L377" t="s">
        <v>238</v>
      </c>
      <c r="N377" t="s">
        <v>346</v>
      </c>
      <c r="O377" t="s">
        <v>2264</v>
      </c>
      <c r="P377">
        <v>1.6548296966611937E-5</v>
      </c>
      <c r="Q377" t="s">
        <v>238</v>
      </c>
      <c r="S377" t="s">
        <v>347</v>
      </c>
      <c r="T377" t="s">
        <v>2264</v>
      </c>
      <c r="U377">
        <v>1.8470240397536409E-5</v>
      </c>
      <c r="V377" t="s">
        <v>238</v>
      </c>
      <c r="X377">
        <v>1.1415525114155251E-4</v>
      </c>
      <c r="Y377">
        <v>1.5049432745775637E-4</v>
      </c>
      <c r="Z377" t="s">
        <v>2264</v>
      </c>
      <c r="AA377" t="s">
        <v>25</v>
      </c>
      <c r="AC377" t="s">
        <v>22</v>
      </c>
      <c r="AD377" t="s">
        <v>2264</v>
      </c>
      <c r="AE377">
        <v>1.4481833343540576E-4</v>
      </c>
      <c r="AG377" t="s">
        <v>97</v>
      </c>
      <c r="AH377" t="s">
        <v>2264</v>
      </c>
      <c r="AI377">
        <v>0</v>
      </c>
    </row>
    <row r="378" spans="5:35" x14ac:dyDescent="0.45">
      <c r="E378" t="s">
        <v>233</v>
      </c>
      <c r="G378" t="s">
        <v>146</v>
      </c>
      <c r="I378" t="s">
        <v>236</v>
      </c>
      <c r="J378" t="s">
        <v>2265</v>
      </c>
      <c r="K378">
        <v>6.7171778934679911E-5</v>
      </c>
      <c r="L378" t="s">
        <v>238</v>
      </c>
      <c r="N378" t="s">
        <v>346</v>
      </c>
      <c r="O378" t="s">
        <v>2265</v>
      </c>
      <c r="P378">
        <v>1.7571403584889017E-5</v>
      </c>
      <c r="Q378" t="s">
        <v>238</v>
      </c>
      <c r="S378" t="s">
        <v>347</v>
      </c>
      <c r="T378" t="s">
        <v>2265</v>
      </c>
      <c r="U378">
        <v>2.2033456733129785E-5</v>
      </c>
      <c r="V378" t="s">
        <v>238</v>
      </c>
      <c r="X378">
        <v>1.1415525114155251E-4</v>
      </c>
      <c r="Y378">
        <v>1.7237235744060203E-4</v>
      </c>
      <c r="Z378" t="s">
        <v>2265</v>
      </c>
      <c r="AA378" t="s">
        <v>25</v>
      </c>
      <c r="AC378" t="s">
        <v>22</v>
      </c>
      <c r="AD378" t="s">
        <v>2265</v>
      </c>
      <c r="AE378">
        <v>1.4481833343540576E-4</v>
      </c>
      <c r="AG378" t="s">
        <v>97</v>
      </c>
      <c r="AH378" t="s">
        <v>2265</v>
      </c>
      <c r="AI378">
        <v>0</v>
      </c>
    </row>
    <row r="379" spans="5:35" x14ac:dyDescent="0.45">
      <c r="I379" t="s">
        <v>236</v>
      </c>
      <c r="J379" t="s">
        <v>2266</v>
      </c>
      <c r="K379">
        <v>3.1609441477197757E-5</v>
      </c>
      <c r="L379" t="s">
        <v>238</v>
      </c>
      <c r="N379" t="s">
        <v>346</v>
      </c>
      <c r="O379" t="s">
        <v>2266</v>
      </c>
      <c r="P379">
        <v>1.9858932694820569E-5</v>
      </c>
      <c r="Q379" t="s">
        <v>238</v>
      </c>
      <c r="S379" t="s">
        <v>347</v>
      </c>
      <c r="T379" t="s">
        <v>2266</v>
      </c>
      <c r="U379">
        <v>2.1439408218218136E-5</v>
      </c>
      <c r="V379" t="s">
        <v>238</v>
      </c>
      <c r="X379">
        <v>1.1415525114155251E-4</v>
      </c>
      <c r="Y379">
        <v>2.2209515285616027E-4</v>
      </c>
      <c r="Z379" t="s">
        <v>2266</v>
      </c>
      <c r="AA379" t="s">
        <v>25</v>
      </c>
      <c r="AC379" t="s">
        <v>22</v>
      </c>
      <c r="AD379" t="s">
        <v>2266</v>
      </c>
      <c r="AE379">
        <v>1.4742090562468868E-4</v>
      </c>
      <c r="AG379" t="s">
        <v>97</v>
      </c>
      <c r="AH379" t="s">
        <v>2266</v>
      </c>
      <c r="AI379">
        <v>0</v>
      </c>
    </row>
    <row r="380" spans="5:35" x14ac:dyDescent="0.45">
      <c r="I380" t="s">
        <v>236</v>
      </c>
      <c r="J380" t="s">
        <v>2267</v>
      </c>
      <c r="K380">
        <v>0</v>
      </c>
      <c r="L380" t="s">
        <v>238</v>
      </c>
      <c r="N380" t="s">
        <v>346</v>
      </c>
      <c r="O380" t="s">
        <v>2267</v>
      </c>
      <c r="P380">
        <v>2.5838540547692133E-5</v>
      </c>
      <c r="Q380" t="s">
        <v>238</v>
      </c>
      <c r="S380" t="s">
        <v>347</v>
      </c>
      <c r="T380" t="s">
        <v>2267</v>
      </c>
      <c r="U380">
        <v>2.6077201352741888E-5</v>
      </c>
      <c r="V380" t="s">
        <v>238</v>
      </c>
      <c r="X380">
        <v>1.1415525114155251E-4</v>
      </c>
      <c r="Y380">
        <v>2.2209515285616027E-4</v>
      </c>
      <c r="Z380" t="s">
        <v>2267</v>
      </c>
      <c r="AA380" t="s">
        <v>25</v>
      </c>
      <c r="AC380" t="s">
        <v>22</v>
      </c>
      <c r="AD380" t="s">
        <v>2267</v>
      </c>
      <c r="AE380">
        <v>1.4802855463804548E-4</v>
      </c>
      <c r="AG380" t="s">
        <v>97</v>
      </c>
      <c r="AH380" t="s">
        <v>2267</v>
      </c>
      <c r="AI380">
        <v>0</v>
      </c>
    </row>
    <row r="381" spans="5:35" x14ac:dyDescent="0.45">
      <c r="I381" t="s">
        <v>236</v>
      </c>
      <c r="J381" t="s">
        <v>2268</v>
      </c>
      <c r="K381">
        <v>0</v>
      </c>
      <c r="L381" t="s">
        <v>238</v>
      </c>
      <c r="N381" t="s">
        <v>346</v>
      </c>
      <c r="O381" t="s">
        <v>2268</v>
      </c>
      <c r="P381">
        <v>3.7388150257191497E-5</v>
      </c>
      <c r="Q381" t="s">
        <v>238</v>
      </c>
      <c r="S381" t="s">
        <v>347</v>
      </c>
      <c r="T381" t="s">
        <v>2268</v>
      </c>
      <c r="U381">
        <v>4.0527989269801521E-5</v>
      </c>
      <c r="V381" t="s">
        <v>238</v>
      </c>
      <c r="X381">
        <v>1.1415525114155251E-4</v>
      </c>
      <c r="Y381">
        <v>1.7237235744060203E-4</v>
      </c>
      <c r="Z381" t="s">
        <v>2268</v>
      </c>
      <c r="AA381" t="s">
        <v>25</v>
      </c>
      <c r="AC381" t="s">
        <v>22</v>
      </c>
      <c r="AD381" t="s">
        <v>2268</v>
      </c>
      <c r="AE381">
        <v>1.4837537317868781E-4</v>
      </c>
      <c r="AG381" t="s">
        <v>97</v>
      </c>
      <c r="AH381" t="s">
        <v>2268</v>
      </c>
      <c r="AI381">
        <v>0</v>
      </c>
    </row>
    <row r="382" spans="5:35" x14ac:dyDescent="0.45">
      <c r="I382" t="s">
        <v>236</v>
      </c>
      <c r="J382" t="s">
        <v>2269</v>
      </c>
      <c r="K382">
        <v>0</v>
      </c>
      <c r="L382" t="s">
        <v>238</v>
      </c>
      <c r="N382" t="s">
        <v>346</v>
      </c>
      <c r="O382" t="s">
        <v>2269</v>
      </c>
      <c r="P382">
        <v>5.1777395449556174E-5</v>
      </c>
      <c r="Q382" t="s">
        <v>238</v>
      </c>
      <c r="S382" t="s">
        <v>347</v>
      </c>
      <c r="T382" t="s">
        <v>2269</v>
      </c>
      <c r="U382">
        <v>5.5981469402882468E-5</v>
      </c>
      <c r="V382" t="s">
        <v>238</v>
      </c>
      <c r="X382">
        <v>1.1415525114155251E-4</v>
      </c>
      <c r="Y382">
        <v>1.5579809230208258E-4</v>
      </c>
      <c r="Z382" t="s">
        <v>2269</v>
      </c>
      <c r="AA382" t="s">
        <v>25</v>
      </c>
      <c r="AC382" t="s">
        <v>22</v>
      </c>
      <c r="AD382" t="s">
        <v>2269</v>
      </c>
      <c r="AE382">
        <v>1.4465495610634283E-4</v>
      </c>
      <c r="AG382" t="s">
        <v>97</v>
      </c>
      <c r="AH382" t="s">
        <v>2269</v>
      </c>
      <c r="AI382">
        <v>0</v>
      </c>
    </row>
    <row r="383" spans="5:35" x14ac:dyDescent="0.45">
      <c r="I383" t="s">
        <v>236</v>
      </c>
      <c r="J383" t="s">
        <v>2270</v>
      </c>
      <c r="K383">
        <v>0</v>
      </c>
      <c r="L383" t="s">
        <v>238</v>
      </c>
      <c r="N383" t="s">
        <v>346</v>
      </c>
      <c r="O383" t="s">
        <v>2270</v>
      </c>
      <c r="P383">
        <v>6.7190781514960533E-5</v>
      </c>
      <c r="Q383" t="s">
        <v>238</v>
      </c>
      <c r="S383" t="s">
        <v>347</v>
      </c>
      <c r="T383" t="s">
        <v>2270</v>
      </c>
      <c r="U383">
        <v>7.6912904702839877E-5</v>
      </c>
      <c r="V383" t="s">
        <v>238</v>
      </c>
      <c r="X383">
        <v>1.1415525114155251E-4</v>
      </c>
      <c r="Y383">
        <v>1.093901499142282E-4</v>
      </c>
      <c r="Z383" t="s">
        <v>2270</v>
      </c>
      <c r="AA383" t="s">
        <v>25</v>
      </c>
      <c r="AC383" t="s">
        <v>22</v>
      </c>
      <c r="AD383" t="s">
        <v>2270</v>
      </c>
      <c r="AE383">
        <v>1.3588703944663312E-4</v>
      </c>
      <c r="AG383" t="s">
        <v>97</v>
      </c>
      <c r="AH383" t="s">
        <v>2270</v>
      </c>
      <c r="AI383">
        <v>0</v>
      </c>
    </row>
    <row r="384" spans="5:35" x14ac:dyDescent="0.45">
      <c r="I384" t="s">
        <v>236</v>
      </c>
      <c r="J384" t="s">
        <v>2271</v>
      </c>
      <c r="K384">
        <v>0</v>
      </c>
      <c r="L384" t="s">
        <v>238</v>
      </c>
      <c r="N384" t="s">
        <v>346</v>
      </c>
      <c r="O384" t="s">
        <v>2271</v>
      </c>
      <c r="P384">
        <v>8.3135797574049593E-5</v>
      </c>
      <c r="Q384" t="s">
        <v>238</v>
      </c>
      <c r="S384" t="s">
        <v>347</v>
      </c>
      <c r="T384" t="s">
        <v>2271</v>
      </c>
      <c r="U384">
        <v>1.01446734969E-4</v>
      </c>
      <c r="V384" t="s">
        <v>238</v>
      </c>
      <c r="X384">
        <v>1.1415525114155251E-4</v>
      </c>
      <c r="Y384">
        <v>7.9556472664893237E-5</v>
      </c>
      <c r="Z384" t="s">
        <v>2271</v>
      </c>
      <c r="AA384" t="s">
        <v>25</v>
      </c>
      <c r="AC384" t="s">
        <v>22</v>
      </c>
      <c r="AD384" t="s">
        <v>2271</v>
      </c>
      <c r="AE384">
        <v>1.2316367166224229E-4</v>
      </c>
      <c r="AG384" t="s">
        <v>97</v>
      </c>
      <c r="AH384" t="s">
        <v>2271</v>
      </c>
      <c r="AI384">
        <v>0</v>
      </c>
    </row>
    <row r="385" spans="9:35" x14ac:dyDescent="0.45">
      <c r="I385" t="s">
        <v>236</v>
      </c>
      <c r="J385" t="s">
        <v>2272</v>
      </c>
      <c r="K385">
        <v>0</v>
      </c>
      <c r="L385" t="s">
        <v>238</v>
      </c>
      <c r="N385" t="s">
        <v>346</v>
      </c>
      <c r="O385" t="s">
        <v>2272</v>
      </c>
      <c r="P385">
        <v>9.4590203501045795E-5</v>
      </c>
      <c r="Q385" t="s">
        <v>238</v>
      </c>
      <c r="S385" t="s">
        <v>347</v>
      </c>
      <c r="T385" t="s">
        <v>2272</v>
      </c>
      <c r="U385">
        <v>1.177722809815E-4</v>
      </c>
      <c r="V385" t="s">
        <v>238</v>
      </c>
      <c r="X385">
        <v>1.1415525114155251E-4</v>
      </c>
      <c r="Y385">
        <v>5.6352501470966035E-5</v>
      </c>
      <c r="Z385" t="s">
        <v>2272</v>
      </c>
      <c r="AA385" t="s">
        <v>25</v>
      </c>
      <c r="AC385" t="s">
        <v>22</v>
      </c>
      <c r="AD385" t="s">
        <v>2272</v>
      </c>
      <c r="AE385">
        <v>1.1354160686111597E-4</v>
      </c>
      <c r="AG385" t="s">
        <v>97</v>
      </c>
      <c r="AH385" t="s">
        <v>2272</v>
      </c>
      <c r="AI385">
        <v>0</v>
      </c>
    </row>
    <row r="386" spans="9:35" x14ac:dyDescent="0.45">
      <c r="I386" t="s">
        <v>236</v>
      </c>
      <c r="J386" t="s">
        <v>2273</v>
      </c>
      <c r="K386">
        <v>0</v>
      </c>
      <c r="L386" t="s">
        <v>238</v>
      </c>
      <c r="N386" t="s">
        <v>346</v>
      </c>
      <c r="O386" t="s">
        <v>2273</v>
      </c>
      <c r="P386">
        <v>1.0709808980430001E-4</v>
      </c>
      <c r="Q386" t="s">
        <v>238</v>
      </c>
      <c r="S386" t="s">
        <v>347</v>
      </c>
      <c r="T386" t="s">
        <v>2273</v>
      </c>
      <c r="U386">
        <v>1.4111428076950001E-4</v>
      </c>
      <c r="V386" t="s">
        <v>238</v>
      </c>
      <c r="X386">
        <v>1.1415525114155251E-4</v>
      </c>
      <c r="Y386">
        <v>2.9833677249334962E-5</v>
      </c>
      <c r="Z386" t="s">
        <v>2273</v>
      </c>
      <c r="AA386" t="s">
        <v>25</v>
      </c>
      <c r="AC386" t="s">
        <v>22</v>
      </c>
      <c r="AD386" t="s">
        <v>2273</v>
      </c>
      <c r="AE386">
        <v>9.1551591623033866E-5</v>
      </c>
      <c r="AG386" t="s">
        <v>97</v>
      </c>
      <c r="AH386" t="s">
        <v>2273</v>
      </c>
      <c r="AI386">
        <v>0</v>
      </c>
    </row>
    <row r="387" spans="9:35" x14ac:dyDescent="0.45">
      <c r="I387" t="s">
        <v>236</v>
      </c>
      <c r="J387" t="s">
        <v>2274</v>
      </c>
      <c r="K387">
        <v>0</v>
      </c>
      <c r="L387" t="s">
        <v>238</v>
      </c>
      <c r="N387" t="s">
        <v>346</v>
      </c>
      <c r="O387" t="s">
        <v>2274</v>
      </c>
      <c r="P387">
        <v>6.498738650218233E-5</v>
      </c>
      <c r="Q387" t="s">
        <v>238</v>
      </c>
      <c r="S387" t="s">
        <v>347</v>
      </c>
      <c r="T387" t="s">
        <v>2274</v>
      </c>
      <c r="U387">
        <v>6.2036344012389742E-5</v>
      </c>
      <c r="V387" t="s">
        <v>238</v>
      </c>
      <c r="X387">
        <v>1.1415525114155251E-4</v>
      </c>
      <c r="Y387">
        <v>2.1546544680075254E-5</v>
      </c>
      <c r="Z387" t="s">
        <v>2274</v>
      </c>
      <c r="AA387" t="s">
        <v>25</v>
      </c>
      <c r="AC387" t="s">
        <v>22</v>
      </c>
      <c r="AD387" t="s">
        <v>2274</v>
      </c>
      <c r="AE387">
        <v>8.2508513145955012E-5</v>
      </c>
      <c r="AG387" t="s">
        <v>97</v>
      </c>
      <c r="AH387" t="s">
        <v>2274</v>
      </c>
      <c r="AI387">
        <v>0</v>
      </c>
    </row>
    <row r="388" spans="9:35" x14ac:dyDescent="0.45">
      <c r="I388" t="s">
        <v>236</v>
      </c>
      <c r="J388" t="s">
        <v>2275</v>
      </c>
      <c r="K388">
        <v>0</v>
      </c>
      <c r="L388" t="s">
        <v>238</v>
      </c>
      <c r="N388" t="s">
        <v>346</v>
      </c>
      <c r="O388" t="s">
        <v>2275</v>
      </c>
      <c r="P388">
        <v>6.4903058968192727E-5</v>
      </c>
      <c r="Q388" t="s">
        <v>238</v>
      </c>
      <c r="S388" t="s">
        <v>347</v>
      </c>
      <c r="T388" t="s">
        <v>2275</v>
      </c>
      <c r="U388">
        <v>5.4732086240874221E-5</v>
      </c>
      <c r="V388" t="s">
        <v>238</v>
      </c>
      <c r="X388">
        <v>1.1415525114155251E-4</v>
      </c>
      <c r="Y388">
        <v>1.4916838624667481E-5</v>
      </c>
      <c r="Z388" t="s">
        <v>2275</v>
      </c>
      <c r="AA388" t="s">
        <v>25</v>
      </c>
      <c r="AC388" t="s">
        <v>22</v>
      </c>
      <c r="AD388" t="s">
        <v>2275</v>
      </c>
      <c r="AE388">
        <v>7.7696047610926374E-5</v>
      </c>
      <c r="AG388" t="s">
        <v>97</v>
      </c>
      <c r="AH388" t="s">
        <v>2275</v>
      </c>
      <c r="AI388">
        <v>0</v>
      </c>
    </row>
    <row r="389" spans="9:35" x14ac:dyDescent="0.45">
      <c r="I389" t="s">
        <v>236</v>
      </c>
      <c r="J389" t="s">
        <v>2276</v>
      </c>
      <c r="K389">
        <v>0</v>
      </c>
      <c r="L389" t="s">
        <v>238</v>
      </c>
      <c r="N389" t="s">
        <v>346</v>
      </c>
      <c r="O389" t="s">
        <v>2276</v>
      </c>
      <c r="P389">
        <v>6.7654573473390601E-5</v>
      </c>
      <c r="Q389" t="s">
        <v>238</v>
      </c>
      <c r="S389" t="s">
        <v>347</v>
      </c>
      <c r="T389" t="s">
        <v>2276</v>
      </c>
      <c r="U389">
        <v>4.5876980871826442E-5</v>
      </c>
      <c r="V389" t="s">
        <v>238</v>
      </c>
      <c r="X389">
        <v>1.1415525114155251E-4</v>
      </c>
      <c r="Y389">
        <v>1.6574265138519424E-5</v>
      </c>
      <c r="Z389" t="s">
        <v>2276</v>
      </c>
      <c r="AA389" t="s">
        <v>25</v>
      </c>
      <c r="AC389" t="s">
        <v>22</v>
      </c>
      <c r="AD389" t="s">
        <v>2276</v>
      </c>
      <c r="AE389">
        <v>7.6391895247353972E-5</v>
      </c>
      <c r="AG389" t="s">
        <v>97</v>
      </c>
      <c r="AH389" t="s">
        <v>2276</v>
      </c>
      <c r="AI389">
        <v>0</v>
      </c>
    </row>
    <row r="390" spans="9:35" x14ac:dyDescent="0.45">
      <c r="I390" t="s">
        <v>236</v>
      </c>
      <c r="J390" t="s">
        <v>2277</v>
      </c>
      <c r="K390">
        <v>0</v>
      </c>
      <c r="L390" t="s">
        <v>238</v>
      </c>
      <c r="N390" t="s">
        <v>346</v>
      </c>
      <c r="O390" t="s">
        <v>2277</v>
      </c>
      <c r="P390">
        <v>6.9073715899344398E-5</v>
      </c>
      <c r="Q390" t="s">
        <v>238</v>
      </c>
      <c r="S390" t="s">
        <v>347</v>
      </c>
      <c r="T390" t="s">
        <v>2277</v>
      </c>
      <c r="U390">
        <v>3.6405734496483892E-5</v>
      </c>
      <c r="V390" t="s">
        <v>238</v>
      </c>
      <c r="X390">
        <v>1.1415525114155251E-4</v>
      </c>
      <c r="Y390">
        <v>1.4585353321897093E-5</v>
      </c>
      <c r="Z390" t="s">
        <v>2277</v>
      </c>
      <c r="AA390" t="s">
        <v>25</v>
      </c>
      <c r="AC390" t="s">
        <v>22</v>
      </c>
      <c r="AD390" t="s">
        <v>2277</v>
      </c>
      <c r="AE390">
        <v>7.6391895247353972E-5</v>
      </c>
      <c r="AG390" t="s">
        <v>97</v>
      </c>
      <c r="AH390" t="s">
        <v>2277</v>
      </c>
      <c r="AI390">
        <v>0</v>
      </c>
    </row>
    <row r="391" spans="9:35" x14ac:dyDescent="0.45">
      <c r="I391" t="s">
        <v>236</v>
      </c>
      <c r="J391" t="s">
        <v>2278</v>
      </c>
      <c r="K391">
        <v>0</v>
      </c>
      <c r="L391" t="s">
        <v>238</v>
      </c>
      <c r="N391" t="s">
        <v>346</v>
      </c>
      <c r="O391" t="s">
        <v>2278</v>
      </c>
      <c r="P391">
        <v>6.6292581998677165E-5</v>
      </c>
      <c r="Q391" t="s">
        <v>238</v>
      </c>
      <c r="S391" t="s">
        <v>347</v>
      </c>
      <c r="T391" t="s">
        <v>2278</v>
      </c>
      <c r="U391">
        <v>3.1406225626306853E-5</v>
      </c>
      <c r="V391" t="s">
        <v>238</v>
      </c>
      <c r="X391">
        <v>1.1415525114155251E-4</v>
      </c>
      <c r="Y391">
        <v>2.1215059377304864E-5</v>
      </c>
      <c r="Z391" t="s">
        <v>2278</v>
      </c>
      <c r="AA391" t="s">
        <v>25</v>
      </c>
      <c r="AC391" t="s">
        <v>22</v>
      </c>
      <c r="AD391" t="s">
        <v>2278</v>
      </c>
      <c r="AE391">
        <v>7.7309101305251041E-5</v>
      </c>
      <c r="AG391" t="s">
        <v>97</v>
      </c>
      <c r="AH391" t="s">
        <v>2278</v>
      </c>
      <c r="AI391">
        <v>0</v>
      </c>
    </row>
    <row r="392" spans="9:35" x14ac:dyDescent="0.45">
      <c r="I392" t="s">
        <v>236</v>
      </c>
      <c r="J392" t="s">
        <v>2279</v>
      </c>
      <c r="K392">
        <v>0</v>
      </c>
      <c r="L392" t="s">
        <v>238</v>
      </c>
      <c r="N392" t="s">
        <v>346</v>
      </c>
      <c r="O392" t="s">
        <v>2279</v>
      </c>
      <c r="P392">
        <v>6.2535932375303426E-5</v>
      </c>
      <c r="Q392" t="s">
        <v>238</v>
      </c>
      <c r="S392" t="s">
        <v>347</v>
      </c>
      <c r="T392" t="s">
        <v>2279</v>
      </c>
      <c r="U392">
        <v>2.8882515845772065E-5</v>
      </c>
      <c r="V392" t="s">
        <v>238</v>
      </c>
      <c r="X392">
        <v>1.1415525114155251E-4</v>
      </c>
      <c r="Y392">
        <v>5.7678442682047593E-5</v>
      </c>
      <c r="Z392" t="s">
        <v>2279</v>
      </c>
      <c r="AA392" t="s">
        <v>25</v>
      </c>
      <c r="AC392" t="s">
        <v>22</v>
      </c>
      <c r="AD392" t="s">
        <v>2279</v>
      </c>
      <c r="AE392">
        <v>8.2476984187714793E-5</v>
      </c>
      <c r="AG392" t="s">
        <v>97</v>
      </c>
      <c r="AH392" t="s">
        <v>2279</v>
      </c>
      <c r="AI392">
        <v>0</v>
      </c>
    </row>
    <row r="393" spans="9:35" x14ac:dyDescent="0.45">
      <c r="I393" t="s">
        <v>236</v>
      </c>
      <c r="J393" t="s">
        <v>2280</v>
      </c>
      <c r="K393">
        <v>0</v>
      </c>
      <c r="L393" t="s">
        <v>238</v>
      </c>
      <c r="N393" t="s">
        <v>346</v>
      </c>
      <c r="O393" t="s">
        <v>2280</v>
      </c>
      <c r="P393">
        <v>5.6672656047692817E-5</v>
      </c>
      <c r="Q393" t="s">
        <v>238</v>
      </c>
      <c r="S393" t="s">
        <v>347</v>
      </c>
      <c r="T393" t="s">
        <v>2280</v>
      </c>
      <c r="U393">
        <v>2.69591371214509E-5</v>
      </c>
      <c r="V393" t="s">
        <v>238</v>
      </c>
      <c r="X393">
        <v>1.1415525114155251E-4</v>
      </c>
      <c r="Y393">
        <v>1.6905750441289813E-4</v>
      </c>
      <c r="Z393" t="s">
        <v>2280</v>
      </c>
      <c r="AA393" t="s">
        <v>25</v>
      </c>
      <c r="AC393" t="s">
        <v>22</v>
      </c>
      <c r="AD393" t="s">
        <v>2280</v>
      </c>
      <c r="AE393">
        <v>9.0023870282849057E-5</v>
      </c>
      <c r="AG393" t="s">
        <v>97</v>
      </c>
      <c r="AH393" t="s">
        <v>2280</v>
      </c>
      <c r="AI393">
        <v>0</v>
      </c>
    </row>
    <row r="394" spans="9:35" x14ac:dyDescent="0.45">
      <c r="I394" t="s">
        <v>236</v>
      </c>
      <c r="J394" t="s">
        <v>2281</v>
      </c>
      <c r="K394">
        <v>0</v>
      </c>
      <c r="L394" t="s">
        <v>238</v>
      </c>
      <c r="N394" t="s">
        <v>346</v>
      </c>
      <c r="O394" t="s">
        <v>2281</v>
      </c>
      <c r="P394">
        <v>5.2744035194607078E-5</v>
      </c>
      <c r="Q394" t="s">
        <v>238</v>
      </c>
      <c r="S394" t="s">
        <v>347</v>
      </c>
      <c r="T394" t="s">
        <v>2281</v>
      </c>
      <c r="U394">
        <v>2.2371053809449999E-5</v>
      </c>
      <c r="V394" t="s">
        <v>238</v>
      </c>
      <c r="X394">
        <v>1.1415525114155251E-4</v>
      </c>
      <c r="Y394">
        <v>1.9060404909297337E-4</v>
      </c>
      <c r="Z394" t="s">
        <v>2281</v>
      </c>
      <c r="AA394" t="s">
        <v>25</v>
      </c>
      <c r="AC394" t="s">
        <v>22</v>
      </c>
      <c r="AD394" t="s">
        <v>2281</v>
      </c>
      <c r="AE394">
        <v>9.9316314156918683E-5</v>
      </c>
      <c r="AG394" t="s">
        <v>97</v>
      </c>
      <c r="AH394" t="s">
        <v>2281</v>
      </c>
      <c r="AI394">
        <v>0</v>
      </c>
    </row>
    <row r="395" spans="9:35" x14ac:dyDescent="0.45">
      <c r="I395" t="s">
        <v>236</v>
      </c>
      <c r="J395" t="s">
        <v>2282</v>
      </c>
      <c r="K395">
        <v>2.1273588534918524E-6</v>
      </c>
      <c r="L395" t="s">
        <v>238</v>
      </c>
      <c r="N395" t="s">
        <v>346</v>
      </c>
      <c r="O395" t="s">
        <v>2282</v>
      </c>
      <c r="P395">
        <v>5.1873602643943926E-5</v>
      </c>
      <c r="Q395" t="s">
        <v>238</v>
      </c>
      <c r="S395" t="s">
        <v>347</v>
      </c>
      <c r="T395" t="s">
        <v>2282</v>
      </c>
      <c r="U395">
        <v>1.5987718808857655E-5</v>
      </c>
      <c r="V395" t="s">
        <v>238</v>
      </c>
      <c r="X395">
        <v>1.1415525114155251E-4</v>
      </c>
      <c r="Y395">
        <v>1.4585353321897094E-4</v>
      </c>
      <c r="Z395" t="s">
        <v>2282</v>
      </c>
      <c r="AA395" t="s">
        <v>25</v>
      </c>
      <c r="AC395" t="s">
        <v>22</v>
      </c>
      <c r="AD395" t="s">
        <v>2282</v>
      </c>
      <c r="AE395">
        <v>1.1144923054153825E-4</v>
      </c>
      <c r="AG395" t="s">
        <v>97</v>
      </c>
      <c r="AH395" t="s">
        <v>2282</v>
      </c>
      <c r="AI395">
        <v>0</v>
      </c>
    </row>
    <row r="396" spans="9:35" x14ac:dyDescent="0.45">
      <c r="I396" t="s">
        <v>236</v>
      </c>
      <c r="J396" t="s">
        <v>2283</v>
      </c>
      <c r="K396">
        <v>9.5103715994648106E-6</v>
      </c>
      <c r="L396" t="s">
        <v>238</v>
      </c>
      <c r="N396" t="s">
        <v>346</v>
      </c>
      <c r="O396" t="s">
        <v>2283</v>
      </c>
      <c r="P396">
        <v>4.6975454233377112E-5</v>
      </c>
      <c r="Q396" t="s">
        <v>238</v>
      </c>
      <c r="S396" t="s">
        <v>347</v>
      </c>
      <c r="T396" t="s">
        <v>2283</v>
      </c>
      <c r="U396">
        <v>1.1453323351901594E-5</v>
      </c>
      <c r="V396" t="s">
        <v>238</v>
      </c>
      <c r="X396">
        <v>1.1415525114155251E-4</v>
      </c>
      <c r="Y396">
        <v>1.4452759200788939E-4</v>
      </c>
      <c r="Z396" t="s">
        <v>2283</v>
      </c>
      <c r="AA396" t="s">
        <v>25</v>
      </c>
      <c r="AC396" t="s">
        <v>22</v>
      </c>
      <c r="AD396" t="s">
        <v>2283</v>
      </c>
      <c r="AE396">
        <v>1.1855184495237862E-4</v>
      </c>
      <c r="AG396" t="s">
        <v>97</v>
      </c>
      <c r="AH396" t="s">
        <v>2283</v>
      </c>
      <c r="AI396">
        <v>0</v>
      </c>
    </row>
    <row r="397" spans="9:35" x14ac:dyDescent="0.45">
      <c r="I397" t="s">
        <v>236</v>
      </c>
      <c r="J397" t="s">
        <v>2284</v>
      </c>
      <c r="K397">
        <v>2.5169623087564918E-5</v>
      </c>
      <c r="L397" t="s">
        <v>238</v>
      </c>
      <c r="N397" t="s">
        <v>346</v>
      </c>
      <c r="O397" t="s">
        <v>2284</v>
      </c>
      <c r="P397">
        <v>3.0618835603642619E-5</v>
      </c>
      <c r="Q397" t="s">
        <v>238</v>
      </c>
      <c r="S397" t="s">
        <v>347</v>
      </c>
      <c r="T397" t="s">
        <v>2284</v>
      </c>
      <c r="U397">
        <v>9.0523406726739941E-6</v>
      </c>
      <c r="V397" t="s">
        <v>238</v>
      </c>
      <c r="X397">
        <v>1.1415525114155251E-4</v>
      </c>
      <c r="Y397">
        <v>1.408812536774151E-4</v>
      </c>
      <c r="Z397" t="s">
        <v>2284</v>
      </c>
      <c r="AA397" t="s">
        <v>25</v>
      </c>
      <c r="AC397" t="s">
        <v>22</v>
      </c>
      <c r="AD397" t="s">
        <v>2284</v>
      </c>
      <c r="AE397">
        <v>1.1629035876587619E-4</v>
      </c>
      <c r="AG397" t="s">
        <v>97</v>
      </c>
      <c r="AH397" t="s">
        <v>2284</v>
      </c>
      <c r="AI397">
        <v>0</v>
      </c>
    </row>
    <row r="398" spans="9:35" x14ac:dyDescent="0.45">
      <c r="I398" t="s">
        <v>236</v>
      </c>
      <c r="J398" t="s">
        <v>2285</v>
      </c>
      <c r="K398">
        <v>4.0194526030276089E-5</v>
      </c>
      <c r="L398" t="s">
        <v>238</v>
      </c>
      <c r="N398" t="s">
        <v>346</v>
      </c>
      <c r="O398" t="s">
        <v>2285</v>
      </c>
      <c r="P398">
        <v>2.2978434279760545E-5</v>
      </c>
      <c r="Q398" t="s">
        <v>238</v>
      </c>
      <c r="S398" t="s">
        <v>347</v>
      </c>
      <c r="T398" t="s">
        <v>2285</v>
      </c>
      <c r="U398">
        <v>4.9968273226051499E-6</v>
      </c>
      <c r="V398" t="s">
        <v>238</v>
      </c>
      <c r="X398">
        <v>1.1415525114155251E-4</v>
      </c>
      <c r="Y398">
        <v>1.4054976837464471E-4</v>
      </c>
      <c r="Z398" t="s">
        <v>2285</v>
      </c>
      <c r="AA398" t="s">
        <v>25</v>
      </c>
      <c r="AC398" t="s">
        <v>22</v>
      </c>
      <c r="AD398" t="s">
        <v>2285</v>
      </c>
      <c r="AE398">
        <v>1.1612984770574418E-4</v>
      </c>
      <c r="AG398" t="s">
        <v>97</v>
      </c>
      <c r="AH398" t="s">
        <v>2285</v>
      </c>
      <c r="AI398">
        <v>0</v>
      </c>
    </row>
    <row r="399" spans="9:35" x14ac:dyDescent="0.45">
      <c r="I399" t="s">
        <v>236</v>
      </c>
      <c r="J399" t="s">
        <v>2286</v>
      </c>
      <c r="K399">
        <v>4.8381080852339821E-5</v>
      </c>
      <c r="L399" t="s">
        <v>238</v>
      </c>
      <c r="N399" t="s">
        <v>346</v>
      </c>
      <c r="O399" t="s">
        <v>2286</v>
      </c>
      <c r="P399">
        <v>1.9443649315598576E-5</v>
      </c>
      <c r="Q399" t="s">
        <v>238</v>
      </c>
      <c r="S399" t="s">
        <v>347</v>
      </c>
      <c r="T399" t="s">
        <v>2286</v>
      </c>
      <c r="U399">
        <v>4.2371338231144342E-6</v>
      </c>
      <c r="V399" t="s">
        <v>238</v>
      </c>
      <c r="X399">
        <v>1.1415525114155251E-4</v>
      </c>
      <c r="Y399">
        <v>1.4253868019126702E-4</v>
      </c>
      <c r="Z399" t="s">
        <v>2286</v>
      </c>
      <c r="AA399" t="s">
        <v>25</v>
      </c>
      <c r="AC399" t="s">
        <v>22</v>
      </c>
      <c r="AD399" t="s">
        <v>2286</v>
      </c>
      <c r="AE399">
        <v>1.1647666624638654E-4</v>
      </c>
      <c r="AG399" t="s">
        <v>97</v>
      </c>
      <c r="AH399" t="s">
        <v>2286</v>
      </c>
      <c r="AI399">
        <v>0</v>
      </c>
    </row>
    <row r="400" spans="9:35" x14ac:dyDescent="0.45">
      <c r="I400" t="s">
        <v>236</v>
      </c>
      <c r="J400" t="s">
        <v>2287</v>
      </c>
      <c r="K400">
        <v>5.1821577692314549E-5</v>
      </c>
      <c r="L400" t="s">
        <v>238</v>
      </c>
      <c r="N400" t="s">
        <v>346</v>
      </c>
      <c r="O400" t="s">
        <v>2287</v>
      </c>
      <c r="P400">
        <v>1.537994974780184E-5</v>
      </c>
      <c r="Q400" t="s">
        <v>238</v>
      </c>
      <c r="S400" t="s">
        <v>347</v>
      </c>
      <c r="T400" t="s">
        <v>2287</v>
      </c>
      <c r="U400">
        <v>6.0345082041262182E-6</v>
      </c>
      <c r="V400" t="s">
        <v>238</v>
      </c>
      <c r="X400">
        <v>1.1415525114155251E-4</v>
      </c>
      <c r="Y400">
        <v>1.4883690094390442E-4</v>
      </c>
      <c r="Z400" t="s">
        <v>2287</v>
      </c>
      <c r="AA400" t="s">
        <v>25</v>
      </c>
      <c r="AC400" t="s">
        <v>22</v>
      </c>
      <c r="AD400" t="s">
        <v>2287</v>
      </c>
      <c r="AE400">
        <v>1.1672029910551544E-4</v>
      </c>
      <c r="AG400" t="s">
        <v>97</v>
      </c>
      <c r="AH400" t="s">
        <v>2287</v>
      </c>
      <c r="AI400">
        <v>0</v>
      </c>
    </row>
    <row r="401" spans="9:35" x14ac:dyDescent="0.45">
      <c r="I401" t="s">
        <v>236</v>
      </c>
      <c r="J401" t="s">
        <v>2288</v>
      </c>
      <c r="K401">
        <v>3.4210302826929053E-5</v>
      </c>
      <c r="L401" t="s">
        <v>238</v>
      </c>
      <c r="N401" t="s">
        <v>346</v>
      </c>
      <c r="O401" t="s">
        <v>2288</v>
      </c>
      <c r="P401">
        <v>1.7172834114214999E-5</v>
      </c>
      <c r="Q401" t="s">
        <v>238</v>
      </c>
      <c r="S401" t="s">
        <v>347</v>
      </c>
      <c r="T401" t="s">
        <v>2288</v>
      </c>
      <c r="U401">
        <v>8.8580431665196063E-6</v>
      </c>
      <c r="V401" t="s">
        <v>238</v>
      </c>
      <c r="X401">
        <v>1.1415525114155251E-4</v>
      </c>
      <c r="Y401">
        <v>1.5049432745775637E-4</v>
      </c>
      <c r="Z401" t="s">
        <v>2288</v>
      </c>
      <c r="AA401" t="s">
        <v>25</v>
      </c>
      <c r="AC401" t="s">
        <v>22</v>
      </c>
      <c r="AD401" t="s">
        <v>2288</v>
      </c>
      <c r="AE401">
        <v>1.1672029910551544E-4</v>
      </c>
      <c r="AG401" t="s">
        <v>97</v>
      </c>
      <c r="AH401" t="s">
        <v>2288</v>
      </c>
      <c r="AI401">
        <v>0</v>
      </c>
    </row>
    <row r="402" spans="9:35" x14ac:dyDescent="0.45">
      <c r="I402" t="s">
        <v>236</v>
      </c>
      <c r="J402" t="s">
        <v>2289</v>
      </c>
      <c r="K402">
        <v>1.9133024896126581E-5</v>
      </c>
      <c r="L402" t="s">
        <v>238</v>
      </c>
      <c r="N402" t="s">
        <v>346</v>
      </c>
      <c r="O402" t="s">
        <v>2289</v>
      </c>
      <c r="P402">
        <v>2.5293825528934271E-5</v>
      </c>
      <c r="Q402" t="s">
        <v>238</v>
      </c>
      <c r="S402" t="s">
        <v>347</v>
      </c>
      <c r="T402" t="s">
        <v>2289</v>
      </c>
      <c r="U402">
        <v>1.3163670857608581E-5</v>
      </c>
      <c r="V402" t="s">
        <v>238</v>
      </c>
      <c r="X402">
        <v>1.1415525114155251E-4</v>
      </c>
      <c r="Y402">
        <v>1.7237235744060203E-4</v>
      </c>
      <c r="Z402" t="s">
        <v>2289</v>
      </c>
      <c r="AA402" t="s">
        <v>25</v>
      </c>
      <c r="AC402" t="s">
        <v>22</v>
      </c>
      <c r="AD402" t="s">
        <v>2289</v>
      </c>
      <c r="AE402">
        <v>1.1732508184994131E-4</v>
      </c>
      <c r="AG402" t="s">
        <v>97</v>
      </c>
      <c r="AH402" t="s">
        <v>2289</v>
      </c>
      <c r="AI402">
        <v>0</v>
      </c>
    </row>
    <row r="403" spans="9:35" x14ac:dyDescent="0.45">
      <c r="I403" t="s">
        <v>236</v>
      </c>
      <c r="J403" t="s">
        <v>2290</v>
      </c>
      <c r="K403">
        <v>6.5091920734732989E-6</v>
      </c>
      <c r="L403" t="s">
        <v>238</v>
      </c>
      <c r="N403" t="s">
        <v>346</v>
      </c>
      <c r="O403" t="s">
        <v>2290</v>
      </c>
      <c r="P403">
        <v>3.1403632439903803E-5</v>
      </c>
      <c r="Q403" t="s">
        <v>238</v>
      </c>
      <c r="S403" t="s">
        <v>347</v>
      </c>
      <c r="T403" t="s">
        <v>2290</v>
      </c>
      <c r="U403">
        <v>2.0462335839741245E-5</v>
      </c>
      <c r="V403" t="s">
        <v>238</v>
      </c>
      <c r="X403">
        <v>1.1415525114155251E-4</v>
      </c>
      <c r="Y403">
        <v>2.2209515285616027E-4</v>
      </c>
      <c r="Z403" t="s">
        <v>2290</v>
      </c>
      <c r="AA403" t="s">
        <v>25</v>
      </c>
      <c r="AC403" t="s">
        <v>22</v>
      </c>
      <c r="AD403" t="s">
        <v>2290</v>
      </c>
      <c r="AE403">
        <v>1.2499808377803643E-4</v>
      </c>
      <c r="AG403" t="s">
        <v>97</v>
      </c>
      <c r="AH403" t="s">
        <v>2290</v>
      </c>
      <c r="AI403">
        <v>0</v>
      </c>
    </row>
    <row r="404" spans="9:35" x14ac:dyDescent="0.45">
      <c r="I404" t="s">
        <v>236</v>
      </c>
      <c r="J404" t="s">
        <v>2291</v>
      </c>
      <c r="K404">
        <v>0</v>
      </c>
      <c r="L404" t="s">
        <v>238</v>
      </c>
      <c r="N404" t="s">
        <v>346</v>
      </c>
      <c r="O404" t="s">
        <v>2291</v>
      </c>
      <c r="P404">
        <v>3.1882308107665775E-5</v>
      </c>
      <c r="Q404" t="s">
        <v>238</v>
      </c>
      <c r="S404" t="s">
        <v>347</v>
      </c>
      <c r="T404" t="s">
        <v>2291</v>
      </c>
      <c r="U404">
        <v>2.7332816685653849E-5</v>
      </c>
      <c r="V404" t="s">
        <v>238</v>
      </c>
      <c r="X404">
        <v>1.1415525114155251E-4</v>
      </c>
      <c r="Y404">
        <v>2.2209515285616027E-4</v>
      </c>
      <c r="Z404" t="s">
        <v>2291</v>
      </c>
      <c r="AA404" t="s">
        <v>25</v>
      </c>
      <c r="AC404" t="s">
        <v>22</v>
      </c>
      <c r="AD404" t="s">
        <v>2291</v>
      </c>
      <c r="AE404">
        <v>1.2627070718336858E-4</v>
      </c>
      <c r="AG404" t="s">
        <v>97</v>
      </c>
      <c r="AH404" t="s">
        <v>2291</v>
      </c>
      <c r="AI404">
        <v>0</v>
      </c>
    </row>
    <row r="405" spans="9:35" x14ac:dyDescent="0.45">
      <c r="I405" t="s">
        <v>236</v>
      </c>
      <c r="J405" t="s">
        <v>2292</v>
      </c>
      <c r="K405">
        <v>0</v>
      </c>
      <c r="L405" t="s">
        <v>238</v>
      </c>
      <c r="N405" t="s">
        <v>346</v>
      </c>
      <c r="O405" t="s">
        <v>2292</v>
      </c>
      <c r="P405">
        <v>3.0879816740406298E-5</v>
      </c>
      <c r="Q405" t="s">
        <v>238</v>
      </c>
      <c r="S405" t="s">
        <v>347</v>
      </c>
      <c r="T405" t="s">
        <v>2292</v>
      </c>
      <c r="U405">
        <v>3.666923732884753E-5</v>
      </c>
      <c r="V405" t="s">
        <v>238</v>
      </c>
      <c r="X405">
        <v>1.1415525114155251E-4</v>
      </c>
      <c r="Y405">
        <v>1.7237235744060203E-4</v>
      </c>
      <c r="Z405" t="s">
        <v>2292</v>
      </c>
      <c r="AA405" t="s">
        <v>25</v>
      </c>
      <c r="AC405" t="s">
        <v>22</v>
      </c>
      <c r="AD405" t="s">
        <v>2292</v>
      </c>
      <c r="AE405">
        <v>1.2865257666497005E-4</v>
      </c>
      <c r="AG405" t="s">
        <v>97</v>
      </c>
      <c r="AH405" t="s">
        <v>2292</v>
      </c>
      <c r="AI405">
        <v>0</v>
      </c>
    </row>
    <row r="406" spans="9:35" x14ac:dyDescent="0.45">
      <c r="I406" t="s">
        <v>236</v>
      </c>
      <c r="J406" t="s">
        <v>2293</v>
      </c>
      <c r="K406">
        <v>0</v>
      </c>
      <c r="L406" t="s">
        <v>238</v>
      </c>
      <c r="N406" t="s">
        <v>346</v>
      </c>
      <c r="O406" t="s">
        <v>2293</v>
      </c>
      <c r="P406">
        <v>2.8872600709098242E-5</v>
      </c>
      <c r="Q406" t="s">
        <v>238</v>
      </c>
      <c r="S406" t="s">
        <v>347</v>
      </c>
      <c r="T406" t="s">
        <v>2293</v>
      </c>
      <c r="U406">
        <v>4.2348388238668301E-5</v>
      </c>
      <c r="V406" t="s">
        <v>238</v>
      </c>
      <c r="X406">
        <v>1.1415525114155251E-4</v>
      </c>
      <c r="Y406">
        <v>1.5579809230208258E-4</v>
      </c>
      <c r="Z406" t="s">
        <v>2293</v>
      </c>
      <c r="AA406" t="s">
        <v>25</v>
      </c>
      <c r="AC406" t="s">
        <v>22</v>
      </c>
      <c r="AD406" t="s">
        <v>2293</v>
      </c>
      <c r="AE406">
        <v>1.2603280686210156E-4</v>
      </c>
      <c r="AG406" t="s">
        <v>97</v>
      </c>
      <c r="AH406" t="s">
        <v>2293</v>
      </c>
      <c r="AI406">
        <v>0</v>
      </c>
    </row>
    <row r="407" spans="9:35" x14ac:dyDescent="0.45">
      <c r="I407" t="s">
        <v>236</v>
      </c>
      <c r="J407" t="s">
        <v>2294</v>
      </c>
      <c r="K407">
        <v>0</v>
      </c>
      <c r="L407" t="s">
        <v>238</v>
      </c>
      <c r="N407" t="s">
        <v>346</v>
      </c>
      <c r="O407" t="s">
        <v>2294</v>
      </c>
      <c r="P407">
        <v>2.9212630083494569E-5</v>
      </c>
      <c r="Q407" t="s">
        <v>238</v>
      </c>
      <c r="S407" t="s">
        <v>347</v>
      </c>
      <c r="T407" t="s">
        <v>2294</v>
      </c>
      <c r="U407">
        <v>5.3038145536506392E-5</v>
      </c>
      <c r="V407" t="s">
        <v>238</v>
      </c>
      <c r="X407">
        <v>1.1415525114155251E-4</v>
      </c>
      <c r="Y407">
        <v>1.093901499142282E-4</v>
      </c>
      <c r="Z407" t="s">
        <v>2294</v>
      </c>
      <c r="AA407" t="s">
        <v>25</v>
      </c>
      <c r="AC407" t="s">
        <v>22</v>
      </c>
      <c r="AD407" t="s">
        <v>2294</v>
      </c>
      <c r="AE407">
        <v>1.2120314371348736E-4</v>
      </c>
      <c r="AG407" t="s">
        <v>97</v>
      </c>
      <c r="AH407" t="s">
        <v>2294</v>
      </c>
      <c r="AI407">
        <v>0</v>
      </c>
    </row>
    <row r="408" spans="9:35" x14ac:dyDescent="0.45">
      <c r="I408" t="s">
        <v>236</v>
      </c>
      <c r="J408" t="s">
        <v>2295</v>
      </c>
      <c r="K408">
        <v>0</v>
      </c>
      <c r="L408" t="s">
        <v>238</v>
      </c>
      <c r="N408" t="s">
        <v>346</v>
      </c>
      <c r="O408" t="s">
        <v>2295</v>
      </c>
      <c r="P408">
        <v>3.3434699151829467E-5</v>
      </c>
      <c r="Q408" t="s">
        <v>238</v>
      </c>
      <c r="S408" t="s">
        <v>347</v>
      </c>
      <c r="T408" t="s">
        <v>2295</v>
      </c>
      <c r="U408">
        <v>5.6972375356081309E-5</v>
      </c>
      <c r="V408" t="s">
        <v>238</v>
      </c>
      <c r="X408">
        <v>1.1415525114155251E-4</v>
      </c>
      <c r="Y408">
        <v>7.9556472664893237E-5</v>
      </c>
      <c r="Z408" t="s">
        <v>2295</v>
      </c>
      <c r="AA408" t="s">
        <v>25</v>
      </c>
      <c r="AC408" t="s">
        <v>22</v>
      </c>
      <c r="AD408" t="s">
        <v>2295</v>
      </c>
      <c r="AE408">
        <v>1.134355549106716E-4</v>
      </c>
      <c r="AG408" t="s">
        <v>97</v>
      </c>
      <c r="AH408" t="s">
        <v>2295</v>
      </c>
      <c r="AI408">
        <v>0</v>
      </c>
    </row>
    <row r="409" spans="9:35" x14ac:dyDescent="0.45">
      <c r="I409" t="s">
        <v>236</v>
      </c>
      <c r="J409" t="s">
        <v>2296</v>
      </c>
      <c r="K409">
        <v>0</v>
      </c>
      <c r="L409" t="s">
        <v>238</v>
      </c>
      <c r="N409" t="s">
        <v>346</v>
      </c>
      <c r="O409" t="s">
        <v>2296</v>
      </c>
      <c r="P409">
        <v>4.3376891375878118E-5</v>
      </c>
      <c r="Q409" t="s">
        <v>238</v>
      </c>
      <c r="S409" t="s">
        <v>347</v>
      </c>
      <c r="T409" t="s">
        <v>2296</v>
      </c>
      <c r="U409">
        <v>6.9519372810330509E-5</v>
      </c>
      <c r="V409" t="s">
        <v>238</v>
      </c>
      <c r="X409">
        <v>1.1415525114155251E-4</v>
      </c>
      <c r="Y409">
        <v>5.6352501470966035E-5</v>
      </c>
      <c r="Z409" t="s">
        <v>2296</v>
      </c>
      <c r="AA409" t="s">
        <v>25</v>
      </c>
      <c r="AC409" t="s">
        <v>22</v>
      </c>
      <c r="AD409" t="s">
        <v>2296</v>
      </c>
      <c r="AE409">
        <v>1.0606064495139304E-4</v>
      </c>
      <c r="AG409" t="s">
        <v>97</v>
      </c>
      <c r="AH409" t="s">
        <v>2296</v>
      </c>
      <c r="AI409">
        <v>0</v>
      </c>
    </row>
    <row r="410" spans="9:35" x14ac:dyDescent="0.45">
      <c r="I410" t="s">
        <v>236</v>
      </c>
      <c r="J410" t="s">
        <v>2297</v>
      </c>
      <c r="K410">
        <v>0</v>
      </c>
      <c r="L410" t="s">
        <v>238</v>
      </c>
      <c r="N410" t="s">
        <v>346</v>
      </c>
      <c r="O410" t="s">
        <v>2297</v>
      </c>
      <c r="P410">
        <v>5.3620221217093023E-5</v>
      </c>
      <c r="Q410" t="s">
        <v>238</v>
      </c>
      <c r="S410" t="s">
        <v>347</v>
      </c>
      <c r="T410" t="s">
        <v>2297</v>
      </c>
      <c r="U410">
        <v>8.5606382922255353E-5</v>
      </c>
      <c r="V410" t="s">
        <v>238</v>
      </c>
      <c r="X410">
        <v>1.1415525114155251E-4</v>
      </c>
      <c r="Y410">
        <v>2.9833677249334962E-5</v>
      </c>
      <c r="Z410" t="s">
        <v>2297</v>
      </c>
      <c r="AA410" t="s">
        <v>25</v>
      </c>
      <c r="AC410" t="s">
        <v>22</v>
      </c>
      <c r="AD410" t="s">
        <v>2297</v>
      </c>
      <c r="AE410">
        <v>9.1723567758889561E-5</v>
      </c>
      <c r="AG410" t="s">
        <v>97</v>
      </c>
      <c r="AH410" t="s">
        <v>2297</v>
      </c>
      <c r="AI410">
        <v>0</v>
      </c>
    </row>
    <row r="411" spans="9:35" x14ac:dyDescent="0.45">
      <c r="I411" t="s">
        <v>236</v>
      </c>
      <c r="J411" t="s">
        <v>735</v>
      </c>
      <c r="K411">
        <v>0</v>
      </c>
      <c r="L411" t="s">
        <v>238</v>
      </c>
      <c r="N411" t="s">
        <v>346</v>
      </c>
      <c r="O411" t="s">
        <v>735</v>
      </c>
      <c r="P411">
        <v>3.2736869650750684E-2</v>
      </c>
      <c r="Q411" t="s">
        <v>238</v>
      </c>
      <c r="S411" t="s">
        <v>347</v>
      </c>
      <c r="T411" t="s">
        <v>735</v>
      </c>
      <c r="U411">
        <v>3.0780194376606354E-2</v>
      </c>
      <c r="V411" t="s">
        <v>238</v>
      </c>
      <c r="X411">
        <v>2.1232876712328767E-2</v>
      </c>
      <c r="Y411">
        <v>4.5420116185598634E-3</v>
      </c>
      <c r="Z411" t="s">
        <v>735</v>
      </c>
      <c r="AA411" t="s">
        <v>25</v>
      </c>
      <c r="AC411" t="s">
        <v>22</v>
      </c>
      <c r="AD411" t="s">
        <v>735</v>
      </c>
      <c r="AE411">
        <v>1.6670392473391051E-2</v>
      </c>
      <c r="AG411" t="s">
        <v>97</v>
      </c>
      <c r="AH411" t="s">
        <v>735</v>
      </c>
      <c r="AI411">
        <v>0.238545611948626</v>
      </c>
    </row>
    <row r="412" spans="9:35" x14ac:dyDescent="0.45">
      <c r="I412" t="s">
        <v>236</v>
      </c>
      <c r="J412" t="s">
        <v>736</v>
      </c>
      <c r="K412">
        <v>0</v>
      </c>
      <c r="L412" t="s">
        <v>238</v>
      </c>
      <c r="N412" t="s">
        <v>346</v>
      </c>
      <c r="O412" t="s">
        <v>736</v>
      </c>
      <c r="P412">
        <v>5.6504380713402287E-3</v>
      </c>
      <c r="Q412" t="s">
        <v>238</v>
      </c>
      <c r="S412" t="s">
        <v>347</v>
      </c>
      <c r="T412" t="s">
        <v>736</v>
      </c>
      <c r="U412">
        <v>5.1882266419378802E-3</v>
      </c>
      <c r="V412" t="s">
        <v>238</v>
      </c>
      <c r="X412">
        <v>3.5388127853881279E-3</v>
      </c>
      <c r="Y412">
        <v>5.240782636799844E-3</v>
      </c>
      <c r="Z412" t="s">
        <v>736</v>
      </c>
      <c r="AA412" t="s">
        <v>25</v>
      </c>
      <c r="AC412" t="s">
        <v>22</v>
      </c>
      <c r="AD412" t="s">
        <v>736</v>
      </c>
      <c r="AE412">
        <v>4.0687610115993757E-3</v>
      </c>
      <c r="AG412" t="s">
        <v>97</v>
      </c>
      <c r="AH412" t="s">
        <v>736</v>
      </c>
      <c r="AI412">
        <v>8.8374494449703134E-2</v>
      </c>
    </row>
    <row r="413" spans="9:35" x14ac:dyDescent="0.45">
      <c r="I413" t="s">
        <v>236</v>
      </c>
      <c r="J413" t="s">
        <v>737</v>
      </c>
      <c r="K413">
        <v>0</v>
      </c>
      <c r="L413" t="s">
        <v>238</v>
      </c>
      <c r="N413" t="s">
        <v>346</v>
      </c>
      <c r="O413" t="s">
        <v>737</v>
      </c>
      <c r="P413">
        <v>5.7246561551984381E-3</v>
      </c>
      <c r="Q413" t="s">
        <v>238</v>
      </c>
      <c r="S413" t="s">
        <v>347</v>
      </c>
      <c r="T413" t="s">
        <v>737</v>
      </c>
      <c r="U413">
        <v>5.2072656259497599E-3</v>
      </c>
      <c r="V413" t="s">
        <v>238</v>
      </c>
      <c r="X413">
        <v>3.5388127853881279E-3</v>
      </c>
      <c r="Y413">
        <v>5.9087255218821738E-3</v>
      </c>
      <c r="Z413" t="s">
        <v>737</v>
      </c>
      <c r="AA413" t="s">
        <v>25</v>
      </c>
      <c r="AC413" t="s">
        <v>22</v>
      </c>
      <c r="AD413" t="s">
        <v>737</v>
      </c>
      <c r="AE413">
        <v>4.2038454000450963E-3</v>
      </c>
      <c r="AG413" t="s">
        <v>97</v>
      </c>
      <c r="AH413" t="s">
        <v>737</v>
      </c>
      <c r="AI413">
        <v>6.5091704487547197E-2</v>
      </c>
    </row>
    <row r="414" spans="9:35" x14ac:dyDescent="0.45">
      <c r="I414" t="s">
        <v>236</v>
      </c>
      <c r="J414" t="s">
        <v>738</v>
      </c>
      <c r="K414">
        <v>1.0272097371431923E-3</v>
      </c>
      <c r="L414" t="s">
        <v>238</v>
      </c>
      <c r="N414" t="s">
        <v>346</v>
      </c>
      <c r="O414" t="s">
        <v>738</v>
      </c>
      <c r="P414">
        <v>5.7849962600277742E-3</v>
      </c>
      <c r="Q414" t="s">
        <v>238</v>
      </c>
      <c r="S414" t="s">
        <v>347</v>
      </c>
      <c r="T414" t="s">
        <v>738</v>
      </c>
      <c r="U414">
        <v>5.2610554246647918E-3</v>
      </c>
      <c r="V414" t="s">
        <v>238</v>
      </c>
      <c r="X414">
        <v>3.5388127853881279E-3</v>
      </c>
      <c r="Y414">
        <v>4.521459529788099E-3</v>
      </c>
      <c r="Z414" t="s">
        <v>738</v>
      </c>
      <c r="AA414" t="s">
        <v>25</v>
      </c>
      <c r="AC414" t="s">
        <v>22</v>
      </c>
      <c r="AD414" t="s">
        <v>738</v>
      </c>
      <c r="AE414">
        <v>4.3968656823916716E-3</v>
      </c>
      <c r="AG414" t="s">
        <v>97</v>
      </c>
      <c r="AH414" t="s">
        <v>738</v>
      </c>
      <c r="AI414">
        <v>6.750385296878858E-2</v>
      </c>
    </row>
    <row r="415" spans="9:35" x14ac:dyDescent="0.45">
      <c r="I415" t="s">
        <v>236</v>
      </c>
      <c r="J415" t="s">
        <v>739</v>
      </c>
      <c r="K415">
        <v>3.1282659105564783E-2</v>
      </c>
      <c r="L415" t="s">
        <v>238</v>
      </c>
      <c r="N415" t="s">
        <v>346</v>
      </c>
      <c r="O415" t="s">
        <v>739</v>
      </c>
      <c r="P415">
        <v>3.8357949136617581E-2</v>
      </c>
      <c r="Q415" t="s">
        <v>238</v>
      </c>
      <c r="S415" t="s">
        <v>347</v>
      </c>
      <c r="T415" t="s">
        <v>739</v>
      </c>
      <c r="U415">
        <v>3.5915033947914815E-2</v>
      </c>
      <c r="V415" t="s">
        <v>238</v>
      </c>
      <c r="X415">
        <v>2.4771689497716895E-2</v>
      </c>
      <c r="Y415">
        <v>3.2246227282897846E-2</v>
      </c>
      <c r="Z415" t="s">
        <v>739</v>
      </c>
      <c r="AA415" t="s">
        <v>25</v>
      </c>
      <c r="AC415" t="s">
        <v>22</v>
      </c>
      <c r="AD415" t="s">
        <v>739</v>
      </c>
      <c r="AE415">
        <v>3.0675490343048433E-2</v>
      </c>
      <c r="AG415" t="s">
        <v>97</v>
      </c>
      <c r="AH415" t="s">
        <v>739</v>
      </c>
      <c r="AI415">
        <v>8.5594267559709225E-2</v>
      </c>
    </row>
    <row r="416" spans="9:35" x14ac:dyDescent="0.45">
      <c r="I416" t="s">
        <v>236</v>
      </c>
      <c r="J416" t="s">
        <v>740</v>
      </c>
      <c r="K416">
        <v>1.0104074563618622E-3</v>
      </c>
      <c r="L416" t="s">
        <v>238</v>
      </c>
      <c r="N416" t="s">
        <v>346</v>
      </c>
      <c r="O416" t="s">
        <v>740</v>
      </c>
      <c r="P416">
        <v>5.4775786312612857E-3</v>
      </c>
      <c r="Q416" t="s">
        <v>238</v>
      </c>
      <c r="S416" t="s">
        <v>347</v>
      </c>
      <c r="T416" t="s">
        <v>740</v>
      </c>
      <c r="U416">
        <v>5.123830979424461E-3</v>
      </c>
      <c r="V416" t="s">
        <v>238</v>
      </c>
      <c r="X416">
        <v>3.5388127853881279E-3</v>
      </c>
      <c r="Y416">
        <v>6.8849497385409693E-3</v>
      </c>
      <c r="Z416" t="s">
        <v>740</v>
      </c>
      <c r="AA416" t="s">
        <v>25</v>
      </c>
      <c r="AC416" t="s">
        <v>22</v>
      </c>
      <c r="AD416" t="s">
        <v>740</v>
      </c>
      <c r="AE416">
        <v>4.467192456880929E-3</v>
      </c>
      <c r="AG416" t="s">
        <v>97</v>
      </c>
      <c r="AH416" t="s">
        <v>740</v>
      </c>
      <c r="AI416">
        <v>7.3382032846391221E-2</v>
      </c>
    </row>
    <row r="417" spans="9:35" x14ac:dyDescent="0.45">
      <c r="I417" t="s">
        <v>236</v>
      </c>
      <c r="J417" t="s">
        <v>741</v>
      </c>
      <c r="K417">
        <v>0</v>
      </c>
      <c r="L417" t="s">
        <v>238</v>
      </c>
      <c r="N417" t="s">
        <v>346</v>
      </c>
      <c r="O417" t="s">
        <v>741</v>
      </c>
      <c r="P417">
        <v>5.5579987889586074E-3</v>
      </c>
      <c r="Q417" t="s">
        <v>238</v>
      </c>
      <c r="S417" t="s">
        <v>347</v>
      </c>
      <c r="T417" t="s">
        <v>741</v>
      </c>
      <c r="U417">
        <v>5.0881884999339905E-3</v>
      </c>
      <c r="V417" t="s">
        <v>238</v>
      </c>
      <c r="X417">
        <v>3.5388127853881279E-3</v>
      </c>
      <c r="Y417">
        <v>6.8849497385409693E-3</v>
      </c>
      <c r="Z417" t="s">
        <v>741</v>
      </c>
      <c r="AA417" t="s">
        <v>25</v>
      </c>
      <c r="AC417" t="s">
        <v>22</v>
      </c>
      <c r="AD417" t="s">
        <v>741</v>
      </c>
      <c r="AE417">
        <v>4.4859837159920953E-3</v>
      </c>
      <c r="AG417" t="s">
        <v>97</v>
      </c>
      <c r="AH417" t="s">
        <v>741</v>
      </c>
      <c r="AI417">
        <v>7.2204719550229779E-2</v>
      </c>
    </row>
    <row r="418" spans="9:35" x14ac:dyDescent="0.45">
      <c r="I418" t="s">
        <v>236</v>
      </c>
      <c r="J418" t="s">
        <v>742</v>
      </c>
      <c r="K418">
        <v>0</v>
      </c>
      <c r="L418" t="s">
        <v>238</v>
      </c>
      <c r="N418" t="s">
        <v>346</v>
      </c>
      <c r="O418" t="s">
        <v>742</v>
      </c>
      <c r="P418">
        <v>3.3173230194001944E-2</v>
      </c>
      <c r="Q418" t="s">
        <v>238</v>
      </c>
      <c r="S418" t="s">
        <v>347</v>
      </c>
      <c r="T418" t="s">
        <v>742</v>
      </c>
      <c r="U418">
        <v>3.0508743271377835E-2</v>
      </c>
      <c r="V418" t="s">
        <v>238</v>
      </c>
      <c r="X418">
        <v>2.1232876712328767E-2</v>
      </c>
      <c r="Y418">
        <v>1.8702400782305319E-2</v>
      </c>
      <c r="Z418" t="s">
        <v>742</v>
      </c>
      <c r="AA418" t="s">
        <v>25</v>
      </c>
      <c r="AC418" t="s">
        <v>22</v>
      </c>
      <c r="AD418" t="s">
        <v>742</v>
      </c>
      <c r="AE418">
        <v>2.313533083755422E-2</v>
      </c>
      <c r="AG418" t="s">
        <v>97</v>
      </c>
      <c r="AH418" t="s">
        <v>742</v>
      </c>
      <c r="AI418">
        <v>0.173387686403907</v>
      </c>
    </row>
    <row r="419" spans="9:35" x14ac:dyDescent="0.45">
      <c r="AC419" t="s">
        <v>19</v>
      </c>
      <c r="AD419" t="s">
        <v>237</v>
      </c>
      <c r="AE419">
        <v>3.8367006654223317E-2</v>
      </c>
    </row>
    <row r="420" spans="9:35" x14ac:dyDescent="0.45">
      <c r="AC420" t="s">
        <v>19</v>
      </c>
      <c r="AD420" t="s">
        <v>239</v>
      </c>
      <c r="AE420">
        <v>6.5302760088038715E-3</v>
      </c>
    </row>
    <row r="421" spans="9:35" x14ac:dyDescent="0.45">
      <c r="AC421" t="s">
        <v>19</v>
      </c>
      <c r="AD421" t="s">
        <v>240</v>
      </c>
      <c r="AE421">
        <v>6.5529621397326359E-3</v>
      </c>
    </row>
    <row r="422" spans="9:35" x14ac:dyDescent="0.45">
      <c r="AC422" t="s">
        <v>19</v>
      </c>
      <c r="AD422" t="s">
        <v>241</v>
      </c>
      <c r="AE422">
        <v>6.571997434926034E-3</v>
      </c>
    </row>
    <row r="423" spans="9:35" x14ac:dyDescent="0.45">
      <c r="AC423" t="s">
        <v>19</v>
      </c>
      <c r="AD423" t="s">
        <v>242</v>
      </c>
      <c r="AE423">
        <v>4.6034295794267661E-2</v>
      </c>
    </row>
    <row r="424" spans="9:35" x14ac:dyDescent="0.45">
      <c r="AC424" t="s">
        <v>19</v>
      </c>
      <c r="AD424" t="s">
        <v>243</v>
      </c>
      <c r="AE424">
        <v>6.5889356090683623E-3</v>
      </c>
    </row>
    <row r="425" spans="9:35" x14ac:dyDescent="0.45">
      <c r="AC425" t="s">
        <v>19</v>
      </c>
      <c r="AD425" t="s">
        <v>244</v>
      </c>
      <c r="AE425">
        <v>6.5913905007708483E-3</v>
      </c>
    </row>
    <row r="426" spans="9:35" x14ac:dyDescent="0.45">
      <c r="AC426" t="s">
        <v>19</v>
      </c>
      <c r="AD426" t="s">
        <v>245</v>
      </c>
      <c r="AE426">
        <v>3.9126163510369232E-2</v>
      </c>
    </row>
    <row r="427" spans="9:35" x14ac:dyDescent="0.45">
      <c r="AC427" t="s">
        <v>19</v>
      </c>
      <c r="AD427" t="s">
        <v>1938</v>
      </c>
      <c r="AE427">
        <v>1.1148565175809658E-4</v>
      </c>
    </row>
    <row r="428" spans="9:35" x14ac:dyDescent="0.45">
      <c r="AC428" t="s">
        <v>19</v>
      </c>
      <c r="AD428" t="s">
        <v>1939</v>
      </c>
      <c r="AE428">
        <v>1.1125003101462107E-4</v>
      </c>
    </row>
    <row r="429" spans="9:35" x14ac:dyDescent="0.45">
      <c r="AC429" t="s">
        <v>19</v>
      </c>
      <c r="AD429" t="s">
        <v>1940</v>
      </c>
      <c r="AE429">
        <v>1.1123379793474997E-4</v>
      </c>
    </row>
    <row r="430" spans="9:35" x14ac:dyDescent="0.45">
      <c r="AC430" t="s">
        <v>19</v>
      </c>
      <c r="AD430" t="s">
        <v>1941</v>
      </c>
      <c r="AE430">
        <v>1.112506739088734E-4</v>
      </c>
    </row>
    <row r="431" spans="9:35" x14ac:dyDescent="0.45">
      <c r="AC431" t="s">
        <v>19</v>
      </c>
      <c r="AD431" t="s">
        <v>1942</v>
      </c>
      <c r="AE431">
        <v>1.1172657637915374E-4</v>
      </c>
    </row>
    <row r="432" spans="9:35" x14ac:dyDescent="0.45">
      <c r="AC432" t="s">
        <v>19</v>
      </c>
      <c r="AD432" t="s">
        <v>1943</v>
      </c>
      <c r="AE432">
        <v>1.1334763423638018E-4</v>
      </c>
    </row>
    <row r="433" spans="29:31" x14ac:dyDescent="0.45">
      <c r="AC433" t="s">
        <v>19</v>
      </c>
      <c r="AD433" t="s">
        <v>1944</v>
      </c>
      <c r="AE433">
        <v>1.1479912873455708E-4</v>
      </c>
    </row>
    <row r="434" spans="29:31" x14ac:dyDescent="0.45">
      <c r="AC434" t="s">
        <v>19</v>
      </c>
      <c r="AD434" t="s">
        <v>1945</v>
      </c>
      <c r="AE434">
        <v>1.1543736200354838E-4</v>
      </c>
    </row>
    <row r="435" spans="29:31" x14ac:dyDescent="0.45">
      <c r="AC435" t="s">
        <v>19</v>
      </c>
      <c r="AD435" t="s">
        <v>1946</v>
      </c>
      <c r="AE435">
        <v>1.155699589430895E-4</v>
      </c>
    </row>
    <row r="436" spans="29:31" x14ac:dyDescent="0.45">
      <c r="AC436" t="s">
        <v>19</v>
      </c>
      <c r="AD436" t="s">
        <v>1947</v>
      </c>
      <c r="AE436">
        <v>1.1554986849770447E-4</v>
      </c>
    </row>
    <row r="437" spans="29:31" x14ac:dyDescent="0.45">
      <c r="AC437" t="s">
        <v>19</v>
      </c>
      <c r="AD437" t="s">
        <v>1948</v>
      </c>
      <c r="AE437">
        <v>1.1551467003738993E-4</v>
      </c>
    </row>
    <row r="438" spans="29:31" x14ac:dyDescent="0.45">
      <c r="AC438" t="s">
        <v>19</v>
      </c>
      <c r="AD438" t="s">
        <v>1949</v>
      </c>
      <c r="AE438">
        <v>1.1550374083510047E-4</v>
      </c>
    </row>
    <row r="439" spans="29:31" x14ac:dyDescent="0.45">
      <c r="AC439" t="s">
        <v>19</v>
      </c>
      <c r="AD439" t="s">
        <v>1950</v>
      </c>
      <c r="AE439">
        <v>1.1547079250466904E-4</v>
      </c>
    </row>
    <row r="440" spans="29:31" x14ac:dyDescent="0.45">
      <c r="AC440" t="s">
        <v>19</v>
      </c>
      <c r="AD440" t="s">
        <v>1951</v>
      </c>
      <c r="AE440">
        <v>1.1535491081568825E-4</v>
      </c>
    </row>
    <row r="441" spans="29:31" x14ac:dyDescent="0.45">
      <c r="AC441" t="s">
        <v>19</v>
      </c>
      <c r="AD441" t="s">
        <v>1952</v>
      </c>
      <c r="AE441">
        <v>1.1541228912770786E-4</v>
      </c>
    </row>
    <row r="442" spans="29:31" x14ac:dyDescent="0.45">
      <c r="AC442" t="s">
        <v>19</v>
      </c>
      <c r="AD442" t="s">
        <v>1953</v>
      </c>
      <c r="AE442">
        <v>1.1551627727302072E-4</v>
      </c>
    </row>
    <row r="443" spans="29:31" x14ac:dyDescent="0.45">
      <c r="AC443" t="s">
        <v>19</v>
      </c>
      <c r="AD443" t="s">
        <v>1954</v>
      </c>
      <c r="AE443">
        <v>1.1558828142928064E-4</v>
      </c>
    </row>
    <row r="444" spans="29:31" x14ac:dyDescent="0.45">
      <c r="AC444" t="s">
        <v>19</v>
      </c>
      <c r="AD444" t="s">
        <v>1955</v>
      </c>
      <c r="AE444">
        <v>1.1558667419364983E-4</v>
      </c>
    </row>
    <row r="445" spans="29:31" x14ac:dyDescent="0.45">
      <c r="AC445" t="s">
        <v>19</v>
      </c>
      <c r="AD445" t="s">
        <v>1956</v>
      </c>
      <c r="AE445">
        <v>1.1562219410109056E-4</v>
      </c>
    </row>
    <row r="446" spans="29:31" x14ac:dyDescent="0.45">
      <c r="AC446" t="s">
        <v>19</v>
      </c>
      <c r="AD446" t="s">
        <v>1957</v>
      </c>
      <c r="AE446">
        <v>1.1535057127948509E-4</v>
      </c>
    </row>
    <row r="447" spans="29:31" x14ac:dyDescent="0.45">
      <c r="AC447" t="s">
        <v>19</v>
      </c>
      <c r="AD447" t="s">
        <v>1958</v>
      </c>
      <c r="AE447">
        <v>1.144863606808031E-4</v>
      </c>
    </row>
    <row r="448" spans="29:31" x14ac:dyDescent="0.45">
      <c r="AC448" t="s">
        <v>19</v>
      </c>
      <c r="AD448" t="s">
        <v>1959</v>
      </c>
      <c r="AE448">
        <v>1.1391048815428689E-4</v>
      </c>
    </row>
    <row r="449" spans="29:31" x14ac:dyDescent="0.45">
      <c r="AC449" t="s">
        <v>19</v>
      </c>
      <c r="AD449" t="s">
        <v>1960</v>
      </c>
      <c r="AE449">
        <v>1.1347685598109663E-4</v>
      </c>
    </row>
    <row r="450" spans="29:31" x14ac:dyDescent="0.45">
      <c r="AC450" t="s">
        <v>19</v>
      </c>
      <c r="AD450" t="s">
        <v>1961</v>
      </c>
      <c r="AE450">
        <v>1.1189919348590183E-4</v>
      </c>
    </row>
    <row r="451" spans="29:31" x14ac:dyDescent="0.45">
      <c r="AC451" t="s">
        <v>19</v>
      </c>
      <c r="AD451" t="s">
        <v>1962</v>
      </c>
      <c r="AE451">
        <v>1.1148565175809656E-4</v>
      </c>
    </row>
    <row r="452" spans="29:31" x14ac:dyDescent="0.45">
      <c r="AC452" t="s">
        <v>19</v>
      </c>
      <c r="AD452" t="s">
        <v>1963</v>
      </c>
      <c r="AE452">
        <v>1.1125003101462104E-4</v>
      </c>
    </row>
    <row r="453" spans="29:31" x14ac:dyDescent="0.45">
      <c r="AC453" t="s">
        <v>19</v>
      </c>
      <c r="AD453" t="s">
        <v>1964</v>
      </c>
      <c r="AE453">
        <v>1.1123379793474996E-4</v>
      </c>
    </row>
    <row r="454" spans="29:31" x14ac:dyDescent="0.45">
      <c r="AC454" t="s">
        <v>19</v>
      </c>
      <c r="AD454" t="s">
        <v>1965</v>
      </c>
      <c r="AE454">
        <v>1.1123379793474996E-4</v>
      </c>
    </row>
    <row r="455" spans="29:31" x14ac:dyDescent="0.45">
      <c r="AC455" t="s">
        <v>19</v>
      </c>
      <c r="AD455" t="s">
        <v>1966</v>
      </c>
      <c r="AE455">
        <v>1.1166469780736784E-4</v>
      </c>
    </row>
    <row r="456" spans="29:31" x14ac:dyDescent="0.45">
      <c r="AC456" t="s">
        <v>19</v>
      </c>
      <c r="AD456" t="s">
        <v>1967</v>
      </c>
      <c r="AE456">
        <v>1.1315123004229621E-4</v>
      </c>
    </row>
    <row r="457" spans="29:31" x14ac:dyDescent="0.45">
      <c r="AC457" t="s">
        <v>19</v>
      </c>
      <c r="AD457" t="s">
        <v>1968</v>
      </c>
      <c r="AE457">
        <v>1.1455273951235516E-4</v>
      </c>
    </row>
    <row r="458" spans="29:31" x14ac:dyDescent="0.45">
      <c r="AC458" t="s">
        <v>19</v>
      </c>
      <c r="AD458" t="s">
        <v>1969</v>
      </c>
      <c r="AE458">
        <v>1.1525992318990785E-4</v>
      </c>
    </row>
    <row r="459" spans="29:31" x14ac:dyDescent="0.45">
      <c r="AC459" t="s">
        <v>19</v>
      </c>
      <c r="AD459" t="s">
        <v>1970</v>
      </c>
      <c r="AE459">
        <v>1.1537082244843316E-4</v>
      </c>
    </row>
    <row r="460" spans="29:31" x14ac:dyDescent="0.45">
      <c r="AC460" t="s">
        <v>19</v>
      </c>
      <c r="AD460" t="s">
        <v>1971</v>
      </c>
      <c r="AE460">
        <v>1.1535089272661122E-4</v>
      </c>
    </row>
    <row r="461" spans="29:31" x14ac:dyDescent="0.45">
      <c r="AC461" t="s">
        <v>19</v>
      </c>
      <c r="AD461" t="s">
        <v>1972</v>
      </c>
      <c r="AE461">
        <v>1.1535121417373738E-4</v>
      </c>
    </row>
    <row r="462" spans="29:31" x14ac:dyDescent="0.45">
      <c r="AC462" t="s">
        <v>19</v>
      </c>
      <c r="AD462" t="s">
        <v>1973</v>
      </c>
      <c r="AE462">
        <v>1.1534237437776797E-4</v>
      </c>
    </row>
    <row r="463" spans="29:31" x14ac:dyDescent="0.45">
      <c r="AC463" t="s">
        <v>19</v>
      </c>
      <c r="AD463" t="s">
        <v>1974</v>
      </c>
      <c r="AE463">
        <v>1.1535491081568822E-4</v>
      </c>
    </row>
    <row r="464" spans="29:31" x14ac:dyDescent="0.45">
      <c r="AC464" t="s">
        <v>19</v>
      </c>
      <c r="AD464" t="s">
        <v>1975</v>
      </c>
      <c r="AE464">
        <v>1.1535491081568822E-4</v>
      </c>
    </row>
    <row r="465" spans="29:31" x14ac:dyDescent="0.45">
      <c r="AC465" t="s">
        <v>19</v>
      </c>
      <c r="AD465" t="s">
        <v>1976</v>
      </c>
      <c r="AE465">
        <v>1.1534237437776797E-4</v>
      </c>
    </row>
    <row r="466" spans="29:31" x14ac:dyDescent="0.45">
      <c r="AC466" t="s">
        <v>19</v>
      </c>
      <c r="AD466" t="s">
        <v>1977</v>
      </c>
      <c r="AE466">
        <v>1.1534237437776797E-4</v>
      </c>
    </row>
    <row r="467" spans="29:31" x14ac:dyDescent="0.45">
      <c r="AC467" t="s">
        <v>19</v>
      </c>
      <c r="AD467" t="s">
        <v>1978</v>
      </c>
      <c r="AE467">
        <v>1.1541228912770783E-4</v>
      </c>
    </row>
    <row r="468" spans="29:31" x14ac:dyDescent="0.45">
      <c r="AC468" t="s">
        <v>19</v>
      </c>
      <c r="AD468" t="s">
        <v>1979</v>
      </c>
      <c r="AE468">
        <v>1.1541068189207705E-4</v>
      </c>
    </row>
    <row r="469" spans="29:31" x14ac:dyDescent="0.45">
      <c r="AC469" t="s">
        <v>19</v>
      </c>
      <c r="AD469" t="s">
        <v>1980</v>
      </c>
      <c r="AE469">
        <v>1.1541068189207705E-4</v>
      </c>
    </row>
    <row r="470" spans="29:31" x14ac:dyDescent="0.45">
      <c r="AC470" t="s">
        <v>19</v>
      </c>
      <c r="AD470" t="s">
        <v>1981</v>
      </c>
      <c r="AE470">
        <v>1.1516573918194288E-4</v>
      </c>
    </row>
    <row r="471" spans="29:31" x14ac:dyDescent="0.45">
      <c r="AC471" t="s">
        <v>19</v>
      </c>
      <c r="AD471" t="s">
        <v>1982</v>
      </c>
      <c r="AE471">
        <v>1.1433704849070159E-4</v>
      </c>
    </row>
    <row r="472" spans="29:31" x14ac:dyDescent="0.45">
      <c r="AC472" t="s">
        <v>19</v>
      </c>
      <c r="AD472" t="s">
        <v>1983</v>
      </c>
      <c r="AE472">
        <v>1.1375555063947759E-4</v>
      </c>
    </row>
    <row r="473" spans="29:31" x14ac:dyDescent="0.45">
      <c r="AC473" t="s">
        <v>19</v>
      </c>
      <c r="AD473" t="s">
        <v>1984</v>
      </c>
      <c r="AE473">
        <v>1.1325923627668608E-4</v>
      </c>
    </row>
    <row r="474" spans="29:31" x14ac:dyDescent="0.45">
      <c r="AC474" t="s">
        <v>19</v>
      </c>
      <c r="AD474" t="s">
        <v>1985</v>
      </c>
      <c r="AE474">
        <v>1.117267371027168E-4</v>
      </c>
    </row>
    <row r="475" spans="29:31" x14ac:dyDescent="0.45">
      <c r="AC475" t="s">
        <v>19</v>
      </c>
      <c r="AD475" t="s">
        <v>247</v>
      </c>
      <c r="AE475">
        <v>5.8031567065110472E-2</v>
      </c>
    </row>
    <row r="476" spans="29:31" x14ac:dyDescent="0.45">
      <c r="AC476" t="s">
        <v>19</v>
      </c>
      <c r="AD476" t="s">
        <v>248</v>
      </c>
      <c r="AE476">
        <v>9.8377747654982799E-3</v>
      </c>
    </row>
    <row r="477" spans="29:31" x14ac:dyDescent="0.45">
      <c r="AC477" t="s">
        <v>19</v>
      </c>
      <c r="AD477" t="s">
        <v>249</v>
      </c>
      <c r="AE477">
        <v>9.8862467419933726E-3</v>
      </c>
    </row>
    <row r="478" spans="29:31" x14ac:dyDescent="0.45">
      <c r="AC478" t="s">
        <v>19</v>
      </c>
      <c r="AD478" t="s">
        <v>250</v>
      </c>
      <c r="AE478">
        <v>9.9110004208375988E-3</v>
      </c>
    </row>
    <row r="479" spans="29:31" x14ac:dyDescent="0.45">
      <c r="AC479" t="s">
        <v>19</v>
      </c>
      <c r="AD479" t="s">
        <v>251</v>
      </c>
      <c r="AE479">
        <v>6.9302511110293938E-2</v>
      </c>
    </row>
    <row r="480" spans="29:31" x14ac:dyDescent="0.45">
      <c r="AC480" t="s">
        <v>19</v>
      </c>
      <c r="AD480" t="s">
        <v>252</v>
      </c>
      <c r="AE480">
        <v>9.8997875414593116E-3</v>
      </c>
    </row>
    <row r="481" spans="29:31" x14ac:dyDescent="0.45">
      <c r="AC481" t="s">
        <v>19</v>
      </c>
      <c r="AD481" t="s">
        <v>253</v>
      </c>
      <c r="AE481">
        <v>9.9039203871603559E-3</v>
      </c>
    </row>
    <row r="482" spans="29:31" x14ac:dyDescent="0.45">
      <c r="AC482" t="s">
        <v>19</v>
      </c>
      <c r="AD482" t="s">
        <v>254</v>
      </c>
      <c r="AE482">
        <v>5.8883729664780414E-2</v>
      </c>
    </row>
    <row r="483" spans="29:31" x14ac:dyDescent="0.45">
      <c r="AC483" t="s">
        <v>19</v>
      </c>
      <c r="AD483" t="s">
        <v>1986</v>
      </c>
      <c r="AE483">
        <v>1.1155487351728645E-4</v>
      </c>
    </row>
    <row r="484" spans="29:31" x14ac:dyDescent="0.45">
      <c r="AC484" t="s">
        <v>19</v>
      </c>
      <c r="AD484" t="s">
        <v>1987</v>
      </c>
      <c r="AE484">
        <v>1.114986202702084E-4</v>
      </c>
    </row>
    <row r="485" spans="29:31" x14ac:dyDescent="0.45">
      <c r="AC485" t="s">
        <v>19</v>
      </c>
      <c r="AD485" t="s">
        <v>1988</v>
      </c>
      <c r="AE485">
        <v>1.1148238719033732E-4</v>
      </c>
    </row>
    <row r="486" spans="29:31" x14ac:dyDescent="0.45">
      <c r="AC486" t="s">
        <v>19</v>
      </c>
      <c r="AD486" t="s">
        <v>1989</v>
      </c>
      <c r="AE486">
        <v>1.1148238719033732E-4</v>
      </c>
    </row>
    <row r="487" spans="29:31" x14ac:dyDescent="0.45">
      <c r="AC487" t="s">
        <v>19</v>
      </c>
      <c r="AD487" t="s">
        <v>1990</v>
      </c>
      <c r="AE487">
        <v>1.1202097185021891E-4</v>
      </c>
    </row>
    <row r="488" spans="29:31" x14ac:dyDescent="0.45">
      <c r="AC488" t="s">
        <v>19</v>
      </c>
      <c r="AD488" t="s">
        <v>1991</v>
      </c>
      <c r="AE488">
        <v>1.13811753790058E-4</v>
      </c>
    </row>
    <row r="489" spans="29:31" x14ac:dyDescent="0.45">
      <c r="AC489" t="s">
        <v>19</v>
      </c>
      <c r="AD489" t="s">
        <v>1992</v>
      </c>
      <c r="AE489">
        <v>1.1506170094013237E-4</v>
      </c>
    </row>
    <row r="490" spans="29:31" x14ac:dyDescent="0.45">
      <c r="AC490" t="s">
        <v>19</v>
      </c>
      <c r="AD490" t="s">
        <v>1993</v>
      </c>
      <c r="AE490">
        <v>1.1543682973636146E-4</v>
      </c>
    </row>
    <row r="491" spans="29:31" x14ac:dyDescent="0.45">
      <c r="AC491" t="s">
        <v>19</v>
      </c>
      <c r="AD491" t="s">
        <v>1994</v>
      </c>
      <c r="AE491">
        <v>1.1549983337308888E-4</v>
      </c>
    </row>
    <row r="492" spans="29:31" x14ac:dyDescent="0.45">
      <c r="AC492" t="s">
        <v>19</v>
      </c>
      <c r="AD492" t="s">
        <v>1995</v>
      </c>
      <c r="AE492">
        <v>1.1540436357661927E-4</v>
      </c>
    </row>
    <row r="493" spans="29:31" x14ac:dyDescent="0.45">
      <c r="AC493" t="s">
        <v>19</v>
      </c>
      <c r="AD493" t="s">
        <v>1996</v>
      </c>
      <c r="AE493">
        <v>1.1524138988365599E-4</v>
      </c>
    </row>
    <row r="494" spans="29:31" x14ac:dyDescent="0.45">
      <c r="AC494" t="s">
        <v>19</v>
      </c>
      <c r="AD494" t="s">
        <v>1997</v>
      </c>
      <c r="AE494">
        <v>1.1510493557860095E-4</v>
      </c>
    </row>
    <row r="495" spans="29:31" x14ac:dyDescent="0.45">
      <c r="AC495" t="s">
        <v>19</v>
      </c>
      <c r="AD495" t="s">
        <v>1998</v>
      </c>
      <c r="AE495">
        <v>1.150113944648883E-4</v>
      </c>
    </row>
    <row r="496" spans="29:31" x14ac:dyDescent="0.45">
      <c r="AC496" t="s">
        <v>19</v>
      </c>
      <c r="AD496" t="s">
        <v>1999</v>
      </c>
      <c r="AE496">
        <v>1.1497908902870918E-4</v>
      </c>
    </row>
    <row r="497" spans="29:31" x14ac:dyDescent="0.45">
      <c r="AC497" t="s">
        <v>19</v>
      </c>
      <c r="AD497" t="s">
        <v>2000</v>
      </c>
      <c r="AE497">
        <v>1.1495690917700412E-4</v>
      </c>
    </row>
    <row r="498" spans="29:31" x14ac:dyDescent="0.45">
      <c r="AC498" t="s">
        <v>19</v>
      </c>
      <c r="AD498" t="s">
        <v>2001</v>
      </c>
      <c r="AE498">
        <v>1.149975722384634E-4</v>
      </c>
    </row>
    <row r="499" spans="29:31" x14ac:dyDescent="0.45">
      <c r="AC499" t="s">
        <v>19</v>
      </c>
      <c r="AD499" t="s">
        <v>2002</v>
      </c>
      <c r="AE499">
        <v>1.1506041515162774E-4</v>
      </c>
    </row>
    <row r="500" spans="29:31" x14ac:dyDescent="0.45">
      <c r="AC500" t="s">
        <v>19</v>
      </c>
      <c r="AD500" t="s">
        <v>2003</v>
      </c>
      <c r="AE500">
        <v>1.1518561880726716E-4</v>
      </c>
    </row>
    <row r="501" spans="29:31" x14ac:dyDescent="0.45">
      <c r="AC501" t="s">
        <v>19</v>
      </c>
      <c r="AD501" t="s">
        <v>2004</v>
      </c>
      <c r="AE501">
        <v>1.1528398162787224E-4</v>
      </c>
    </row>
    <row r="502" spans="29:31" x14ac:dyDescent="0.45">
      <c r="AC502" t="s">
        <v>19</v>
      </c>
      <c r="AD502" t="s">
        <v>2005</v>
      </c>
      <c r="AE502">
        <v>1.1505591489186148E-4</v>
      </c>
    </row>
    <row r="503" spans="29:31" x14ac:dyDescent="0.45">
      <c r="AC503" t="s">
        <v>19</v>
      </c>
      <c r="AD503" t="s">
        <v>2006</v>
      </c>
      <c r="AE503">
        <v>1.1422722420062022E-4</v>
      </c>
    </row>
    <row r="504" spans="29:31" x14ac:dyDescent="0.45">
      <c r="AC504" t="s">
        <v>19</v>
      </c>
      <c r="AD504" t="s">
        <v>2007</v>
      </c>
      <c r="AE504">
        <v>1.1364572634939621E-4</v>
      </c>
    </row>
    <row r="505" spans="29:31" x14ac:dyDescent="0.45">
      <c r="AC505" t="s">
        <v>19</v>
      </c>
      <c r="AD505" t="s">
        <v>2008</v>
      </c>
      <c r="AE505">
        <v>1.1336703169101521E-4</v>
      </c>
    </row>
    <row r="506" spans="29:31" x14ac:dyDescent="0.45">
      <c r="AC506" t="s">
        <v>19</v>
      </c>
      <c r="AD506" t="s">
        <v>2009</v>
      </c>
      <c r="AE506">
        <v>1.1178936919582041E-4</v>
      </c>
    </row>
    <row r="507" spans="29:31" x14ac:dyDescent="0.45">
      <c r="AC507" t="s">
        <v>19</v>
      </c>
      <c r="AD507" t="s">
        <v>2010</v>
      </c>
      <c r="AE507">
        <v>1.1143674169842255E-4</v>
      </c>
    </row>
    <row r="508" spans="29:31" x14ac:dyDescent="0.45">
      <c r="AC508" t="s">
        <v>19</v>
      </c>
      <c r="AD508" t="s">
        <v>2011</v>
      </c>
      <c r="AE508">
        <v>1.1122796178998142E-4</v>
      </c>
    </row>
    <row r="509" spans="29:31" x14ac:dyDescent="0.45">
      <c r="AC509" t="s">
        <v>19</v>
      </c>
      <c r="AD509" t="s">
        <v>2012</v>
      </c>
      <c r="AE509">
        <v>1.1126814268075146E-4</v>
      </c>
    </row>
    <row r="510" spans="29:31" x14ac:dyDescent="0.45">
      <c r="AC510" t="s">
        <v>19</v>
      </c>
      <c r="AD510" t="s">
        <v>2013</v>
      </c>
      <c r="AE510">
        <v>1.1132969980541115E-4</v>
      </c>
    </row>
    <row r="511" spans="29:31" x14ac:dyDescent="0.45">
      <c r="AC511" t="s">
        <v>19</v>
      </c>
      <c r="AD511" t="s">
        <v>2014</v>
      </c>
      <c r="AE511">
        <v>1.1197998734163347E-4</v>
      </c>
    </row>
    <row r="512" spans="29:31" x14ac:dyDescent="0.45">
      <c r="AC512" t="s">
        <v>19</v>
      </c>
      <c r="AD512" t="s">
        <v>2015</v>
      </c>
      <c r="AE512">
        <v>1.1381802200901813E-4</v>
      </c>
    </row>
    <row r="513" spans="29:31" x14ac:dyDescent="0.45">
      <c r="AC513" t="s">
        <v>19</v>
      </c>
      <c r="AD513" t="s">
        <v>2016</v>
      </c>
      <c r="AE513">
        <v>1.1511007873261951E-4</v>
      </c>
    </row>
    <row r="514" spans="29:31" x14ac:dyDescent="0.45">
      <c r="AC514" t="s">
        <v>19</v>
      </c>
      <c r="AD514" t="s">
        <v>2017</v>
      </c>
      <c r="AE514">
        <v>1.1553004940294796E-4</v>
      </c>
    </row>
    <row r="515" spans="29:31" x14ac:dyDescent="0.45">
      <c r="AC515" t="s">
        <v>19</v>
      </c>
      <c r="AD515" t="s">
        <v>2018</v>
      </c>
      <c r="AE515">
        <v>1.1564769905112261E-4</v>
      </c>
    </row>
    <row r="516" spans="29:31" x14ac:dyDescent="0.45">
      <c r="AC516" t="s">
        <v>19</v>
      </c>
      <c r="AD516" t="s">
        <v>2019</v>
      </c>
      <c r="AE516">
        <v>1.1560141066495554E-4</v>
      </c>
    </row>
    <row r="517" spans="29:31" x14ac:dyDescent="0.45">
      <c r="AC517" t="s">
        <v>19</v>
      </c>
      <c r="AD517" t="s">
        <v>2020</v>
      </c>
      <c r="AE517">
        <v>1.1548022509839309E-4</v>
      </c>
    </row>
    <row r="518" spans="29:31" x14ac:dyDescent="0.45">
      <c r="AC518" t="s">
        <v>19</v>
      </c>
      <c r="AD518" t="s">
        <v>2021</v>
      </c>
      <c r="AE518">
        <v>1.1543152585877981E-4</v>
      </c>
    </row>
    <row r="519" spans="29:31" x14ac:dyDescent="0.45">
      <c r="AC519" t="s">
        <v>19</v>
      </c>
      <c r="AD519" t="s">
        <v>2022</v>
      </c>
      <c r="AE519">
        <v>1.1524508652560681E-4</v>
      </c>
    </row>
    <row r="520" spans="29:31" x14ac:dyDescent="0.45">
      <c r="AC520" t="s">
        <v>19</v>
      </c>
      <c r="AD520" t="s">
        <v>2023</v>
      </c>
      <c r="AE520">
        <v>1.1524508652560681E-4</v>
      </c>
    </row>
    <row r="521" spans="29:31" x14ac:dyDescent="0.45">
      <c r="AC521" t="s">
        <v>19</v>
      </c>
      <c r="AD521" t="s">
        <v>2024</v>
      </c>
      <c r="AE521">
        <v>1.1523255008768657E-4</v>
      </c>
    </row>
    <row r="522" spans="29:31" x14ac:dyDescent="0.45">
      <c r="AC522" t="s">
        <v>19</v>
      </c>
      <c r="AD522" t="s">
        <v>2025</v>
      </c>
      <c r="AE522">
        <v>1.1523255008768657E-4</v>
      </c>
    </row>
    <row r="523" spans="29:31" x14ac:dyDescent="0.45">
      <c r="AC523" t="s">
        <v>19</v>
      </c>
      <c r="AD523" t="s">
        <v>2026</v>
      </c>
      <c r="AE523">
        <v>1.1530246483762645E-4</v>
      </c>
    </row>
    <row r="524" spans="29:31" x14ac:dyDescent="0.45">
      <c r="AC524" t="s">
        <v>19</v>
      </c>
      <c r="AD524" t="s">
        <v>2027</v>
      </c>
      <c r="AE524">
        <v>1.154768499035684E-4</v>
      </c>
    </row>
    <row r="525" spans="29:31" x14ac:dyDescent="0.45">
      <c r="AC525" t="s">
        <v>19</v>
      </c>
      <c r="AD525" t="s">
        <v>2028</v>
      </c>
      <c r="AE525">
        <v>1.15532138809268E-4</v>
      </c>
    </row>
    <row r="526" spans="29:31" x14ac:dyDescent="0.45">
      <c r="AC526" t="s">
        <v>19</v>
      </c>
      <c r="AD526" t="s">
        <v>2029</v>
      </c>
      <c r="AE526">
        <v>1.1527482038477665E-4</v>
      </c>
    </row>
    <row r="527" spans="29:31" x14ac:dyDescent="0.45">
      <c r="AC527" t="s">
        <v>19</v>
      </c>
      <c r="AD527" t="s">
        <v>2030</v>
      </c>
      <c r="AE527">
        <v>1.1447859585327756E-4</v>
      </c>
    </row>
    <row r="528" spans="29:31" x14ac:dyDescent="0.45">
      <c r="AC528" t="s">
        <v>19</v>
      </c>
      <c r="AD528" t="s">
        <v>2031</v>
      </c>
      <c r="AE528">
        <v>1.139114023991677E-4</v>
      </c>
    </row>
    <row r="529" spans="29:31" x14ac:dyDescent="0.45">
      <c r="AC529" t="s">
        <v>19</v>
      </c>
      <c r="AD529" t="s">
        <v>2032</v>
      </c>
      <c r="AE529">
        <v>1.1347969890873441E-4</v>
      </c>
    </row>
    <row r="530" spans="29:31" x14ac:dyDescent="0.45">
      <c r="AC530" t="s">
        <v>19</v>
      </c>
      <c r="AD530" t="s">
        <v>2033</v>
      </c>
      <c r="AE530">
        <v>1.1193900283304803E-4</v>
      </c>
    </row>
    <row r="531" spans="29:31" x14ac:dyDescent="0.45">
      <c r="AC531" t="s">
        <v>19</v>
      </c>
      <c r="AD531" t="s">
        <v>2034</v>
      </c>
      <c r="AE531">
        <v>1.1236443810452119E-4</v>
      </c>
    </row>
    <row r="532" spans="29:31" x14ac:dyDescent="0.45">
      <c r="AC532" t="s">
        <v>19</v>
      </c>
      <c r="AD532" t="s">
        <v>2035</v>
      </c>
      <c r="AE532">
        <v>1.1229371973676592E-4</v>
      </c>
    </row>
    <row r="533" spans="29:31" x14ac:dyDescent="0.45">
      <c r="AC533" t="s">
        <v>19</v>
      </c>
      <c r="AD533" t="s">
        <v>2036</v>
      </c>
      <c r="AE533">
        <v>1.1225996778851908E-4</v>
      </c>
    </row>
    <row r="534" spans="29:31" x14ac:dyDescent="0.45">
      <c r="AC534" t="s">
        <v>19</v>
      </c>
      <c r="AD534" t="s">
        <v>2037</v>
      </c>
      <c r="AE534">
        <v>1.1227652231551634E-4</v>
      </c>
    </row>
    <row r="535" spans="29:31" x14ac:dyDescent="0.45">
      <c r="AC535" t="s">
        <v>19</v>
      </c>
      <c r="AD535" t="s">
        <v>2038</v>
      </c>
      <c r="AE535">
        <v>1.1274792452603044E-4</v>
      </c>
    </row>
    <row r="536" spans="29:31" x14ac:dyDescent="0.45">
      <c r="AC536" t="s">
        <v>19</v>
      </c>
      <c r="AD536" t="s">
        <v>2039</v>
      </c>
      <c r="AE536">
        <v>1.1436030331085057E-4</v>
      </c>
    </row>
    <row r="537" spans="29:31" x14ac:dyDescent="0.45">
      <c r="AC537" t="s">
        <v>19</v>
      </c>
      <c r="AD537" t="s">
        <v>2040</v>
      </c>
      <c r="AE537">
        <v>1.1565396727008273E-4</v>
      </c>
    </row>
    <row r="538" spans="29:31" x14ac:dyDescent="0.45">
      <c r="AC538" t="s">
        <v>19</v>
      </c>
      <c r="AD538" t="s">
        <v>2041</v>
      </c>
      <c r="AE538">
        <v>1.1609434983292236E-4</v>
      </c>
    </row>
    <row r="539" spans="29:31" x14ac:dyDescent="0.45">
      <c r="AC539" t="s">
        <v>19</v>
      </c>
      <c r="AD539" t="s">
        <v>2042</v>
      </c>
      <c r="AE539">
        <v>1.1638654527060209E-4</v>
      </c>
    </row>
    <row r="540" spans="29:31" x14ac:dyDescent="0.45">
      <c r="AC540" t="s">
        <v>19</v>
      </c>
      <c r="AD540" t="s">
        <v>2043</v>
      </c>
      <c r="AE540">
        <v>1.1625426977818712E-4</v>
      </c>
    </row>
    <row r="541" spans="29:31" x14ac:dyDescent="0.45">
      <c r="AC541" t="s">
        <v>19</v>
      </c>
      <c r="AD541" t="s">
        <v>2044</v>
      </c>
      <c r="AE541">
        <v>1.162129638224755E-4</v>
      </c>
    </row>
    <row r="542" spans="29:31" x14ac:dyDescent="0.45">
      <c r="AC542" t="s">
        <v>19</v>
      </c>
      <c r="AD542" t="s">
        <v>2045</v>
      </c>
      <c r="AE542">
        <v>1.1617053280182235E-4</v>
      </c>
    </row>
    <row r="543" spans="29:31" x14ac:dyDescent="0.45">
      <c r="AC543" t="s">
        <v>19</v>
      </c>
      <c r="AD543" t="s">
        <v>2046</v>
      </c>
      <c r="AE543">
        <v>1.1611669040819051E-4</v>
      </c>
    </row>
    <row r="544" spans="29:31" x14ac:dyDescent="0.45">
      <c r="AC544" t="s">
        <v>19</v>
      </c>
      <c r="AD544" t="s">
        <v>2047</v>
      </c>
      <c r="AE544">
        <v>1.1611669040819051E-4</v>
      </c>
    </row>
    <row r="545" spans="29:31" x14ac:dyDescent="0.45">
      <c r="AC545" t="s">
        <v>19</v>
      </c>
      <c r="AD545" t="s">
        <v>2048</v>
      </c>
      <c r="AE545">
        <v>1.1611669040819051E-4</v>
      </c>
    </row>
    <row r="546" spans="29:31" x14ac:dyDescent="0.45">
      <c r="AC546" t="s">
        <v>19</v>
      </c>
      <c r="AD546" t="s">
        <v>2049</v>
      </c>
      <c r="AE546">
        <v>1.1615429972195125E-4</v>
      </c>
    </row>
    <row r="547" spans="29:31" x14ac:dyDescent="0.45">
      <c r="AC547" t="s">
        <v>19</v>
      </c>
      <c r="AD547" t="s">
        <v>2050</v>
      </c>
      <c r="AE547">
        <v>1.1629252198620019E-4</v>
      </c>
    </row>
    <row r="548" spans="29:31" x14ac:dyDescent="0.45">
      <c r="AC548" t="s">
        <v>19</v>
      </c>
      <c r="AD548" t="s">
        <v>2051</v>
      </c>
      <c r="AE548">
        <v>1.1634282846144428E-4</v>
      </c>
    </row>
    <row r="549" spans="29:31" x14ac:dyDescent="0.45">
      <c r="AC549" t="s">
        <v>19</v>
      </c>
      <c r="AD549" t="s">
        <v>2052</v>
      </c>
      <c r="AE549">
        <v>1.1650757011360143E-4</v>
      </c>
    </row>
    <row r="550" spans="29:31" x14ac:dyDescent="0.45">
      <c r="AC550" t="s">
        <v>19</v>
      </c>
      <c r="AD550" t="s">
        <v>2053</v>
      </c>
      <c r="AE550">
        <v>1.1623128630866664E-4</v>
      </c>
    </row>
    <row r="551" spans="29:31" x14ac:dyDescent="0.45">
      <c r="AC551" t="s">
        <v>19</v>
      </c>
      <c r="AD551" t="s">
        <v>2054</v>
      </c>
      <c r="AE551">
        <v>1.1544181216681693E-4</v>
      </c>
    </row>
    <row r="552" spans="29:31" x14ac:dyDescent="0.45">
      <c r="AC552" t="s">
        <v>19</v>
      </c>
      <c r="AD552" t="s">
        <v>2055</v>
      </c>
      <c r="AE552">
        <v>1.1487944041959947E-4</v>
      </c>
    </row>
    <row r="553" spans="29:31" x14ac:dyDescent="0.45">
      <c r="AC553" t="s">
        <v>19</v>
      </c>
      <c r="AD553" t="s">
        <v>2056</v>
      </c>
      <c r="AE553">
        <v>1.1436158909935519E-4</v>
      </c>
    </row>
    <row r="554" spans="29:31" x14ac:dyDescent="0.45">
      <c r="AC554" t="s">
        <v>19</v>
      </c>
      <c r="AD554" t="s">
        <v>2057</v>
      </c>
      <c r="AE554">
        <v>1.1256164591642054E-4</v>
      </c>
    </row>
    <row r="555" spans="29:31" x14ac:dyDescent="0.45">
      <c r="AC555" t="s">
        <v>19</v>
      </c>
      <c r="AD555" t="s">
        <v>2058</v>
      </c>
      <c r="AE555">
        <v>1.1225016365117119E-4</v>
      </c>
    </row>
    <row r="556" spans="29:31" x14ac:dyDescent="0.45">
      <c r="AC556" t="s">
        <v>19</v>
      </c>
      <c r="AD556" t="s">
        <v>2059</v>
      </c>
      <c r="AE556">
        <v>1.121779987713482E-4</v>
      </c>
    </row>
    <row r="557" spans="29:31" x14ac:dyDescent="0.45">
      <c r="AC557" t="s">
        <v>19</v>
      </c>
      <c r="AD557" t="s">
        <v>2060</v>
      </c>
      <c r="AE557">
        <v>1.1216690884549567E-4</v>
      </c>
    </row>
    <row r="558" spans="29:31" x14ac:dyDescent="0.45">
      <c r="AC558" t="s">
        <v>19</v>
      </c>
      <c r="AD558" t="s">
        <v>2061</v>
      </c>
      <c r="AE558">
        <v>1.1216690884549567E-4</v>
      </c>
    </row>
    <row r="559" spans="29:31" x14ac:dyDescent="0.45">
      <c r="AC559" t="s">
        <v>19</v>
      </c>
      <c r="AD559" t="s">
        <v>2062</v>
      </c>
      <c r="AE559">
        <v>1.1220017862305327E-4</v>
      </c>
    </row>
    <row r="560" spans="29:31" x14ac:dyDescent="0.45">
      <c r="AC560" t="s">
        <v>19</v>
      </c>
      <c r="AD560" t="s">
        <v>2063</v>
      </c>
      <c r="AE560">
        <v>1.1228487994079651E-4</v>
      </c>
    </row>
    <row r="561" spans="29:31" x14ac:dyDescent="0.45">
      <c r="AC561" t="s">
        <v>19</v>
      </c>
      <c r="AD561" t="s">
        <v>2064</v>
      </c>
      <c r="AE561">
        <v>1.1300427860914327E-4</v>
      </c>
    </row>
    <row r="562" spans="29:31" x14ac:dyDescent="0.45">
      <c r="AC562" t="s">
        <v>19</v>
      </c>
      <c r="AD562" t="s">
        <v>2065</v>
      </c>
      <c r="AE562">
        <v>1.1391333108192466E-4</v>
      </c>
    </row>
    <row r="563" spans="29:31" x14ac:dyDescent="0.45">
      <c r="AC563" t="s">
        <v>19</v>
      </c>
      <c r="AD563" t="s">
        <v>2066</v>
      </c>
      <c r="AE563">
        <v>1.1439051934070962E-4</v>
      </c>
    </row>
    <row r="564" spans="29:31" x14ac:dyDescent="0.45">
      <c r="AC564" t="s">
        <v>19</v>
      </c>
      <c r="AD564" t="s">
        <v>2067</v>
      </c>
      <c r="AE564">
        <v>1.1443230746711047E-4</v>
      </c>
    </row>
    <row r="565" spans="29:31" x14ac:dyDescent="0.45">
      <c r="AC565" t="s">
        <v>19</v>
      </c>
      <c r="AD565" t="s">
        <v>2068</v>
      </c>
      <c r="AE565">
        <v>1.1437332191946005E-4</v>
      </c>
    </row>
    <row r="566" spans="29:31" x14ac:dyDescent="0.45">
      <c r="AC566" t="s">
        <v>19</v>
      </c>
      <c r="AD566" t="s">
        <v>2069</v>
      </c>
      <c r="AE566">
        <v>1.143138542011204E-4</v>
      </c>
    </row>
    <row r="567" spans="29:31" x14ac:dyDescent="0.45">
      <c r="AC567" t="s">
        <v>19</v>
      </c>
      <c r="AD567" t="s">
        <v>2070</v>
      </c>
      <c r="AE567">
        <v>1.1419540093513031E-4</v>
      </c>
    </row>
    <row r="568" spans="29:31" x14ac:dyDescent="0.45">
      <c r="AC568" t="s">
        <v>19</v>
      </c>
      <c r="AD568" t="s">
        <v>2071</v>
      </c>
      <c r="AE568">
        <v>1.1416679214090204E-4</v>
      </c>
    </row>
    <row r="569" spans="29:31" x14ac:dyDescent="0.45">
      <c r="AC569" t="s">
        <v>19</v>
      </c>
      <c r="AD569" t="s">
        <v>2072</v>
      </c>
      <c r="AE569">
        <v>1.1411005672313475E-4</v>
      </c>
    </row>
    <row r="570" spans="29:31" x14ac:dyDescent="0.45">
      <c r="AC570" t="s">
        <v>19</v>
      </c>
      <c r="AD570" t="s">
        <v>2073</v>
      </c>
      <c r="AE570">
        <v>1.1415345208516641E-4</v>
      </c>
    </row>
    <row r="571" spans="29:31" x14ac:dyDescent="0.45">
      <c r="AC571" t="s">
        <v>19</v>
      </c>
      <c r="AD571" t="s">
        <v>2074</v>
      </c>
      <c r="AE571">
        <v>1.1446541652110497E-4</v>
      </c>
    </row>
    <row r="572" spans="29:31" x14ac:dyDescent="0.45">
      <c r="AC572" t="s">
        <v>19</v>
      </c>
      <c r="AD572" t="s">
        <v>2075</v>
      </c>
      <c r="AE572">
        <v>1.1450125787567186E-4</v>
      </c>
    </row>
    <row r="573" spans="29:31" x14ac:dyDescent="0.45">
      <c r="AC573" t="s">
        <v>19</v>
      </c>
      <c r="AD573" t="s">
        <v>2076</v>
      </c>
      <c r="AE573">
        <v>1.1468142898988472E-4</v>
      </c>
    </row>
    <row r="574" spans="29:31" x14ac:dyDescent="0.45">
      <c r="AC574" t="s">
        <v>19</v>
      </c>
      <c r="AD574" t="s">
        <v>2077</v>
      </c>
      <c r="AE574">
        <v>1.1447313125213283E-4</v>
      </c>
    </row>
    <row r="575" spans="29:31" x14ac:dyDescent="0.45">
      <c r="AC575" t="s">
        <v>19</v>
      </c>
      <c r="AD575" t="s">
        <v>2078</v>
      </c>
      <c r="AE575">
        <v>1.1433105162236997E-4</v>
      </c>
    </row>
    <row r="576" spans="29:31" x14ac:dyDescent="0.45">
      <c r="AC576" t="s">
        <v>19</v>
      </c>
      <c r="AD576" t="s">
        <v>2079</v>
      </c>
      <c r="AE576">
        <v>1.1407598332776178E-4</v>
      </c>
    </row>
    <row r="577" spans="29:31" x14ac:dyDescent="0.45">
      <c r="AC577" t="s">
        <v>19</v>
      </c>
      <c r="AD577" t="s">
        <v>2080</v>
      </c>
      <c r="AE577">
        <v>1.1383120134119068E-4</v>
      </c>
    </row>
    <row r="578" spans="29:31" x14ac:dyDescent="0.45">
      <c r="AC578" t="s">
        <v>19</v>
      </c>
      <c r="AD578" t="s">
        <v>2081</v>
      </c>
      <c r="AE578">
        <v>1.1189994700721954E-4</v>
      </c>
    </row>
    <row r="579" spans="29:31" x14ac:dyDescent="0.45">
      <c r="AC579" t="s">
        <v>19</v>
      </c>
      <c r="AD579" t="s">
        <v>2082</v>
      </c>
      <c r="AE579">
        <v>1.1158589316496091E-4</v>
      </c>
    </row>
    <row r="580" spans="29:31" x14ac:dyDescent="0.45">
      <c r="AC580" t="s">
        <v>19</v>
      </c>
      <c r="AD580" t="s">
        <v>2083</v>
      </c>
      <c r="AE580">
        <v>1.1144252774669341E-4</v>
      </c>
    </row>
    <row r="581" spans="29:31" x14ac:dyDescent="0.45">
      <c r="AC581" t="s">
        <v>19</v>
      </c>
      <c r="AD581" t="s">
        <v>2084</v>
      </c>
      <c r="AE581">
        <v>1.1141584763522211E-4</v>
      </c>
    </row>
    <row r="582" spans="29:31" x14ac:dyDescent="0.45">
      <c r="AC582" t="s">
        <v>19</v>
      </c>
      <c r="AD582" t="s">
        <v>2085</v>
      </c>
      <c r="AE582">
        <v>1.1162494899078938E-4</v>
      </c>
    </row>
    <row r="583" spans="29:31" x14ac:dyDescent="0.45">
      <c r="AC583" t="s">
        <v>19</v>
      </c>
      <c r="AD583" t="s">
        <v>2086</v>
      </c>
      <c r="AE583">
        <v>1.1180608444638072E-4</v>
      </c>
    </row>
    <row r="584" spans="29:31" x14ac:dyDescent="0.45">
      <c r="AC584" t="s">
        <v>19</v>
      </c>
      <c r="AD584" t="s">
        <v>2087</v>
      </c>
      <c r="AE584">
        <v>1.1208493982832479E-4</v>
      </c>
    </row>
    <row r="585" spans="29:31" x14ac:dyDescent="0.45">
      <c r="AC585" t="s">
        <v>19</v>
      </c>
      <c r="AD585" t="s">
        <v>2088</v>
      </c>
      <c r="AE585">
        <v>1.1282442894205659E-4</v>
      </c>
    </row>
    <row r="586" spans="29:31" x14ac:dyDescent="0.45">
      <c r="AC586" t="s">
        <v>19</v>
      </c>
      <c r="AD586" t="s">
        <v>2089</v>
      </c>
      <c r="AE586">
        <v>1.1375308968953372E-4</v>
      </c>
    </row>
    <row r="587" spans="29:31" x14ac:dyDescent="0.45">
      <c r="AC587" t="s">
        <v>19</v>
      </c>
      <c r="AD587" t="s">
        <v>2090</v>
      </c>
      <c r="AE587">
        <v>1.1407260813293709E-4</v>
      </c>
    </row>
    <row r="588" spans="29:31" x14ac:dyDescent="0.45">
      <c r="AC588" t="s">
        <v>19</v>
      </c>
      <c r="AD588" t="s">
        <v>2091</v>
      </c>
      <c r="AE588">
        <v>1.1436480357061679E-4</v>
      </c>
    </row>
    <row r="589" spans="29:31" x14ac:dyDescent="0.45">
      <c r="AC589" t="s">
        <v>19</v>
      </c>
      <c r="AD589" t="s">
        <v>2092</v>
      </c>
      <c r="AE589">
        <v>1.1434214154822248E-4</v>
      </c>
    </row>
    <row r="590" spans="29:31" x14ac:dyDescent="0.45">
      <c r="AC590" t="s">
        <v>19</v>
      </c>
      <c r="AD590" t="s">
        <v>2093</v>
      </c>
      <c r="AE590">
        <v>1.1431385420112037E-4</v>
      </c>
    </row>
    <row r="591" spans="29:31" x14ac:dyDescent="0.45">
      <c r="AC591" t="s">
        <v>19</v>
      </c>
      <c r="AD591" t="s">
        <v>2094</v>
      </c>
      <c r="AE591">
        <v>1.1426692292070097E-4</v>
      </c>
    </row>
    <row r="592" spans="29:31" x14ac:dyDescent="0.45">
      <c r="AC592" t="s">
        <v>19</v>
      </c>
      <c r="AD592" t="s">
        <v>2095</v>
      </c>
      <c r="AE592">
        <v>1.1422867071268789E-4</v>
      </c>
    </row>
    <row r="593" spans="29:31" x14ac:dyDescent="0.45">
      <c r="AC593" t="s">
        <v>19</v>
      </c>
      <c r="AD593" t="s">
        <v>2096</v>
      </c>
      <c r="AE593">
        <v>1.1416679214090204E-4</v>
      </c>
    </row>
    <row r="594" spans="29:31" x14ac:dyDescent="0.45">
      <c r="AC594" t="s">
        <v>19</v>
      </c>
      <c r="AD594" t="s">
        <v>2097</v>
      </c>
      <c r="AE594">
        <v>1.1423172446038643E-4</v>
      </c>
    </row>
    <row r="595" spans="29:31" x14ac:dyDescent="0.45">
      <c r="AC595" t="s">
        <v>19</v>
      </c>
      <c r="AD595" t="s">
        <v>2098</v>
      </c>
      <c r="AE595">
        <v>1.1454818915609126E-4</v>
      </c>
    </row>
    <row r="596" spans="29:31" x14ac:dyDescent="0.45">
      <c r="AC596" t="s">
        <v>19</v>
      </c>
      <c r="AD596" t="s">
        <v>2099</v>
      </c>
      <c r="AE596">
        <v>1.1463594422153302E-4</v>
      </c>
    </row>
    <row r="597" spans="29:31" x14ac:dyDescent="0.45">
      <c r="AC597" t="s">
        <v>19</v>
      </c>
      <c r="AD597" t="s">
        <v>2100</v>
      </c>
      <c r="AE597">
        <v>1.1468142898988469E-4</v>
      </c>
    </row>
    <row r="598" spans="29:31" x14ac:dyDescent="0.45">
      <c r="AC598" t="s">
        <v>19</v>
      </c>
      <c r="AD598" t="s">
        <v>2101</v>
      </c>
      <c r="AE598">
        <v>1.1447313125213283E-4</v>
      </c>
    </row>
    <row r="599" spans="29:31" x14ac:dyDescent="0.45">
      <c r="AC599" t="s">
        <v>19</v>
      </c>
      <c r="AD599" t="s">
        <v>2102</v>
      </c>
      <c r="AE599">
        <v>1.1430983611204338E-4</v>
      </c>
    </row>
    <row r="600" spans="29:31" x14ac:dyDescent="0.45">
      <c r="AC600" t="s">
        <v>19</v>
      </c>
      <c r="AD600" t="s">
        <v>2103</v>
      </c>
      <c r="AE600">
        <v>1.1407598332776175E-4</v>
      </c>
    </row>
    <row r="601" spans="29:31" x14ac:dyDescent="0.45">
      <c r="AC601" t="s">
        <v>19</v>
      </c>
      <c r="AD601" t="s">
        <v>2104</v>
      </c>
      <c r="AE601">
        <v>1.1381191451362105E-4</v>
      </c>
    </row>
    <row r="602" spans="29:31" x14ac:dyDescent="0.45">
      <c r="AC602" t="s">
        <v>19</v>
      </c>
      <c r="AD602" t="s">
        <v>2105</v>
      </c>
      <c r="AE602">
        <v>1.1196745090371321E-4</v>
      </c>
    </row>
    <row r="603" spans="29:31" x14ac:dyDescent="0.45">
      <c r="AC603" t="s">
        <v>19</v>
      </c>
      <c r="AD603" t="s">
        <v>2106</v>
      </c>
      <c r="AE603">
        <v>1.1277344543176461E-4</v>
      </c>
    </row>
    <row r="604" spans="29:31" x14ac:dyDescent="0.45">
      <c r="AC604" t="s">
        <v>19</v>
      </c>
      <c r="AD604" t="s">
        <v>2107</v>
      </c>
      <c r="AE604">
        <v>1.1266174255542391E-4</v>
      </c>
    </row>
    <row r="605" spans="29:31" x14ac:dyDescent="0.45">
      <c r="AC605" t="s">
        <v>19</v>
      </c>
      <c r="AD605" t="s">
        <v>2108</v>
      </c>
      <c r="AE605">
        <v>1.1266174255542391E-4</v>
      </c>
    </row>
    <row r="606" spans="29:31" x14ac:dyDescent="0.45">
      <c r="AC606" t="s">
        <v>19</v>
      </c>
      <c r="AD606" t="s">
        <v>2109</v>
      </c>
      <c r="AE606">
        <v>1.1288145166615447E-4</v>
      </c>
    </row>
    <row r="607" spans="29:31" x14ac:dyDescent="0.45">
      <c r="AC607" t="s">
        <v>19</v>
      </c>
      <c r="AD607" t="s">
        <v>2110</v>
      </c>
      <c r="AE607">
        <v>1.1376607415734766E-4</v>
      </c>
    </row>
    <row r="608" spans="29:31" x14ac:dyDescent="0.45">
      <c r="AC608" t="s">
        <v>19</v>
      </c>
      <c r="AD608" t="s">
        <v>2111</v>
      </c>
      <c r="AE608">
        <v>1.1475532768810601E-4</v>
      </c>
    </row>
    <row r="609" spans="29:31" x14ac:dyDescent="0.45">
      <c r="AC609" t="s">
        <v>19</v>
      </c>
      <c r="AD609" t="s">
        <v>2112</v>
      </c>
      <c r="AE609">
        <v>1.1543502763637199E-4</v>
      </c>
    </row>
    <row r="610" spans="29:31" x14ac:dyDescent="0.45">
      <c r="AC610" t="s">
        <v>19</v>
      </c>
      <c r="AD610" t="s">
        <v>2113</v>
      </c>
      <c r="AE610">
        <v>1.1614703302081709E-4</v>
      </c>
    </row>
    <row r="611" spans="29:31" x14ac:dyDescent="0.45">
      <c r="AC611" t="s">
        <v>19</v>
      </c>
      <c r="AD611" t="s">
        <v>2114</v>
      </c>
      <c r="AE611">
        <v>1.1640853025794849E-4</v>
      </c>
    </row>
    <row r="612" spans="29:31" x14ac:dyDescent="0.45">
      <c r="AC612" t="s">
        <v>19</v>
      </c>
      <c r="AD612" t="s">
        <v>2115</v>
      </c>
      <c r="AE612">
        <v>1.1631016743734344E-4</v>
      </c>
    </row>
    <row r="613" spans="29:31" x14ac:dyDescent="0.45">
      <c r="AC613" t="s">
        <v>19</v>
      </c>
      <c r="AD613" t="s">
        <v>2116</v>
      </c>
      <c r="AE613">
        <v>1.1615330123977721E-4</v>
      </c>
    </row>
    <row r="614" spans="29:31" x14ac:dyDescent="0.45">
      <c r="AC614" t="s">
        <v>19</v>
      </c>
      <c r="AD614" t="s">
        <v>2117</v>
      </c>
      <c r="AE614">
        <v>1.160051141146173E-4</v>
      </c>
    </row>
    <row r="615" spans="29:31" x14ac:dyDescent="0.45">
      <c r="AC615" t="s">
        <v>19</v>
      </c>
      <c r="AD615" t="s">
        <v>2118</v>
      </c>
      <c r="AE615">
        <v>1.1598422005141689E-4</v>
      </c>
    </row>
    <row r="616" spans="29:31" x14ac:dyDescent="0.45">
      <c r="AC616" t="s">
        <v>19</v>
      </c>
      <c r="AD616" t="s">
        <v>2119</v>
      </c>
      <c r="AE616">
        <v>1.1586448099692217E-4</v>
      </c>
    </row>
    <row r="617" spans="29:31" x14ac:dyDescent="0.45">
      <c r="AC617" t="s">
        <v>19</v>
      </c>
      <c r="AD617" t="s">
        <v>2120</v>
      </c>
      <c r="AE617">
        <v>1.1588055335323019E-4</v>
      </c>
    </row>
    <row r="618" spans="29:31" x14ac:dyDescent="0.45">
      <c r="AC618" t="s">
        <v>19</v>
      </c>
      <c r="AD618" t="s">
        <v>2121</v>
      </c>
      <c r="AE618">
        <v>1.1588585723081183E-4</v>
      </c>
    </row>
    <row r="619" spans="29:31" x14ac:dyDescent="0.45">
      <c r="AC619" t="s">
        <v>19</v>
      </c>
      <c r="AD619" t="s">
        <v>2122</v>
      </c>
      <c r="AE619">
        <v>1.1586512389117449E-4</v>
      </c>
    </row>
    <row r="620" spans="29:31" x14ac:dyDescent="0.45">
      <c r="AC620" t="s">
        <v>19</v>
      </c>
      <c r="AD620" t="s">
        <v>2123</v>
      </c>
      <c r="AE620">
        <v>1.1599964951347257E-4</v>
      </c>
    </row>
    <row r="621" spans="29:31" x14ac:dyDescent="0.45">
      <c r="AC621" t="s">
        <v>19</v>
      </c>
      <c r="AD621" t="s">
        <v>2124</v>
      </c>
      <c r="AE621">
        <v>1.1598695235198925E-4</v>
      </c>
    </row>
    <row r="622" spans="29:31" x14ac:dyDescent="0.45">
      <c r="AC622" t="s">
        <v>19</v>
      </c>
      <c r="AD622" t="s">
        <v>2125</v>
      </c>
      <c r="AE622">
        <v>1.1575502825046458E-4</v>
      </c>
    </row>
    <row r="623" spans="29:31" x14ac:dyDescent="0.45">
      <c r="AC623" t="s">
        <v>19</v>
      </c>
      <c r="AD623" t="s">
        <v>2126</v>
      </c>
      <c r="AE623">
        <v>1.1526562500088551E-4</v>
      </c>
    </row>
    <row r="624" spans="29:31" x14ac:dyDescent="0.45">
      <c r="AC624" t="s">
        <v>19</v>
      </c>
      <c r="AD624" t="s">
        <v>2127</v>
      </c>
      <c r="AE624">
        <v>1.1464651783590073E-4</v>
      </c>
    </row>
    <row r="625" spans="29:31" x14ac:dyDescent="0.45">
      <c r="AC625" t="s">
        <v>19</v>
      </c>
      <c r="AD625" t="s">
        <v>2128</v>
      </c>
      <c r="AE625">
        <v>1.1324757994285108E-4</v>
      </c>
    </row>
    <row r="626" spans="29:31" x14ac:dyDescent="0.45">
      <c r="AC626" t="s">
        <v>19</v>
      </c>
      <c r="AD626" t="s">
        <v>2129</v>
      </c>
      <c r="AE626">
        <v>1.1295811680574371E-4</v>
      </c>
    </row>
    <row r="627" spans="29:31" x14ac:dyDescent="0.45">
      <c r="AC627" t="s">
        <v>19</v>
      </c>
      <c r="AD627" t="s">
        <v>328</v>
      </c>
      <c r="AE627">
        <v>7.9593927073451934E-2</v>
      </c>
    </row>
    <row r="628" spans="29:31" x14ac:dyDescent="0.45">
      <c r="AC628" t="s">
        <v>19</v>
      </c>
      <c r="AD628" t="s">
        <v>329</v>
      </c>
      <c r="AE628">
        <v>1.3453120842195791E-2</v>
      </c>
    </row>
    <row r="629" spans="29:31" x14ac:dyDescent="0.45">
      <c r="AC629" t="s">
        <v>19</v>
      </c>
      <c r="AD629" t="s">
        <v>330</v>
      </c>
      <c r="AE629">
        <v>1.3523654699300643E-2</v>
      </c>
    </row>
    <row r="630" spans="29:31" x14ac:dyDescent="0.45">
      <c r="AC630" t="s">
        <v>19</v>
      </c>
      <c r="AD630" t="s">
        <v>331</v>
      </c>
      <c r="AE630">
        <v>1.3569702964464487E-2</v>
      </c>
    </row>
    <row r="631" spans="29:31" x14ac:dyDescent="0.45">
      <c r="AC631" t="s">
        <v>19</v>
      </c>
      <c r="AD631" t="s">
        <v>332</v>
      </c>
      <c r="AE631">
        <v>9.5028429196643005E-2</v>
      </c>
    </row>
    <row r="632" spans="29:31" x14ac:dyDescent="0.45">
      <c r="AC632" t="s">
        <v>19</v>
      </c>
      <c r="AD632" t="s">
        <v>333</v>
      </c>
      <c r="AE632">
        <v>1.3567301111537816E-2</v>
      </c>
    </row>
    <row r="633" spans="29:31" x14ac:dyDescent="0.45">
      <c r="AC633" t="s">
        <v>19</v>
      </c>
      <c r="AD633" t="s">
        <v>334</v>
      </c>
      <c r="AE633">
        <v>1.3566268301921465E-2</v>
      </c>
    </row>
    <row r="634" spans="29:31" x14ac:dyDescent="0.45">
      <c r="AC634" t="s">
        <v>19</v>
      </c>
      <c r="AD634" t="s">
        <v>335</v>
      </c>
      <c r="AE634">
        <v>8.0757490130077603E-2</v>
      </c>
    </row>
    <row r="635" spans="29:31" x14ac:dyDescent="0.45">
      <c r="AC635" t="s">
        <v>19</v>
      </c>
      <c r="AD635" t="s">
        <v>2130</v>
      </c>
      <c r="AE635">
        <v>1.1178565952748399E-4</v>
      </c>
    </row>
    <row r="636" spans="29:31" x14ac:dyDescent="0.45">
      <c r="AC636" t="s">
        <v>19</v>
      </c>
      <c r="AD636" t="s">
        <v>2131</v>
      </c>
      <c r="AE636">
        <v>1.1154811010125153E-4</v>
      </c>
    </row>
    <row r="637" spans="29:31" x14ac:dyDescent="0.45">
      <c r="AC637" t="s">
        <v>19</v>
      </c>
      <c r="AD637" t="s">
        <v>2132</v>
      </c>
      <c r="AE637">
        <v>1.1154811010125153E-4</v>
      </c>
    </row>
    <row r="638" spans="29:31" x14ac:dyDescent="0.45">
      <c r="AC638" t="s">
        <v>19</v>
      </c>
      <c r="AD638" t="s">
        <v>2133</v>
      </c>
      <c r="AE638">
        <v>1.1155373542595934E-4</v>
      </c>
    </row>
    <row r="639" spans="29:31" x14ac:dyDescent="0.45">
      <c r="AC639" t="s">
        <v>19</v>
      </c>
      <c r="AD639" t="s">
        <v>2134</v>
      </c>
      <c r="AE639">
        <v>1.1156803982307347E-4</v>
      </c>
    </row>
    <row r="640" spans="29:31" x14ac:dyDescent="0.45">
      <c r="AC640" t="s">
        <v>19</v>
      </c>
      <c r="AD640" t="s">
        <v>2135</v>
      </c>
      <c r="AE640">
        <v>1.1168793960113126E-4</v>
      </c>
    </row>
    <row r="641" spans="29:31" x14ac:dyDescent="0.45">
      <c r="AC641" t="s">
        <v>19</v>
      </c>
      <c r="AD641" t="s">
        <v>2136</v>
      </c>
      <c r="AE641">
        <v>1.1225657956730886E-4</v>
      </c>
    </row>
    <row r="642" spans="29:31" x14ac:dyDescent="0.45">
      <c r="AC642" t="s">
        <v>19</v>
      </c>
      <c r="AD642" t="s">
        <v>2137</v>
      </c>
      <c r="AE642">
        <v>1.1273537506172464E-4</v>
      </c>
    </row>
    <row r="643" spans="29:31" x14ac:dyDescent="0.45">
      <c r="AC643" t="s">
        <v>19</v>
      </c>
      <c r="AD643" t="s">
        <v>2138</v>
      </c>
      <c r="AE643">
        <v>1.1336010755141719E-4</v>
      </c>
    </row>
    <row r="644" spans="29:31" x14ac:dyDescent="0.45">
      <c r="AC644" t="s">
        <v>19</v>
      </c>
      <c r="AD644" t="s">
        <v>2139</v>
      </c>
      <c r="AE644">
        <v>1.1364024872186591E-4</v>
      </c>
    </row>
    <row r="645" spans="29:31" x14ac:dyDescent="0.45">
      <c r="AC645" t="s">
        <v>19</v>
      </c>
      <c r="AD645" t="s">
        <v>2140</v>
      </c>
      <c r="AE645">
        <v>1.1365262443622308E-4</v>
      </c>
    </row>
    <row r="646" spans="29:31" x14ac:dyDescent="0.45">
      <c r="AC646" t="s">
        <v>19</v>
      </c>
      <c r="AD646" t="s">
        <v>2141</v>
      </c>
      <c r="AE646">
        <v>1.1366516087414336E-4</v>
      </c>
    </row>
    <row r="647" spans="29:31" x14ac:dyDescent="0.45">
      <c r="AC647" t="s">
        <v>19</v>
      </c>
      <c r="AD647" t="s">
        <v>2142</v>
      </c>
      <c r="AE647">
        <v>1.1369184098561465E-4</v>
      </c>
    </row>
    <row r="648" spans="29:31" x14ac:dyDescent="0.45">
      <c r="AC648" t="s">
        <v>19</v>
      </c>
      <c r="AD648" t="s">
        <v>2143</v>
      </c>
      <c r="AE648">
        <v>1.1358978152305874E-4</v>
      </c>
    </row>
    <row r="649" spans="29:31" x14ac:dyDescent="0.45">
      <c r="AC649" t="s">
        <v>19</v>
      </c>
      <c r="AD649" t="s">
        <v>2144</v>
      </c>
      <c r="AE649">
        <v>1.1357226265468301E-4</v>
      </c>
    </row>
    <row r="650" spans="29:31" x14ac:dyDescent="0.45">
      <c r="AC650" t="s">
        <v>19</v>
      </c>
      <c r="AD650" t="s">
        <v>2145</v>
      </c>
      <c r="AE650">
        <v>1.1361421150464693E-4</v>
      </c>
    </row>
    <row r="651" spans="29:31" x14ac:dyDescent="0.45">
      <c r="AC651" t="s">
        <v>19</v>
      </c>
      <c r="AD651" t="s">
        <v>2146</v>
      </c>
      <c r="AE651">
        <v>1.1365937482587247E-4</v>
      </c>
    </row>
    <row r="652" spans="29:31" x14ac:dyDescent="0.45">
      <c r="AC652" t="s">
        <v>19</v>
      </c>
      <c r="AD652" t="s">
        <v>2147</v>
      </c>
      <c r="AE652">
        <v>1.1362739083681951E-4</v>
      </c>
    </row>
    <row r="653" spans="29:31" x14ac:dyDescent="0.45">
      <c r="AC653" t="s">
        <v>19</v>
      </c>
      <c r="AD653" t="s">
        <v>2148</v>
      </c>
      <c r="AE653">
        <v>1.1365117792415538E-4</v>
      </c>
    </row>
    <row r="654" spans="29:31" x14ac:dyDescent="0.45">
      <c r="AC654" t="s">
        <v>19</v>
      </c>
      <c r="AD654" t="s">
        <v>2149</v>
      </c>
      <c r="AE654">
        <v>1.1362401564199482E-4</v>
      </c>
    </row>
    <row r="655" spans="29:31" x14ac:dyDescent="0.45">
      <c r="AC655" t="s">
        <v>19</v>
      </c>
      <c r="AD655" t="s">
        <v>2150</v>
      </c>
      <c r="AE655">
        <v>1.1349720475072458E-4</v>
      </c>
    </row>
    <row r="656" spans="29:31" x14ac:dyDescent="0.45">
      <c r="AC656" t="s">
        <v>19</v>
      </c>
      <c r="AD656" t="s">
        <v>2151</v>
      </c>
      <c r="AE656">
        <v>1.1338180523243302E-4</v>
      </c>
    </row>
    <row r="657" spans="29:31" x14ac:dyDescent="0.45">
      <c r="AC657" t="s">
        <v>19</v>
      </c>
      <c r="AD657" t="s">
        <v>2152</v>
      </c>
      <c r="AE657">
        <v>1.1407098787092072E-4</v>
      </c>
    </row>
    <row r="658" spans="29:31" x14ac:dyDescent="0.45">
      <c r="AC658" t="s">
        <v>19</v>
      </c>
      <c r="AD658" t="s">
        <v>2153</v>
      </c>
      <c r="AE658">
        <v>1.1303142786491828E-4</v>
      </c>
    </row>
    <row r="659" spans="29:31" x14ac:dyDescent="0.45">
      <c r="AC659" t="s">
        <v>19</v>
      </c>
      <c r="AD659" t="s">
        <v>2154</v>
      </c>
      <c r="AE659">
        <v>1.1229467105175884E-4</v>
      </c>
    </row>
    <row r="660" spans="29:31" x14ac:dyDescent="0.45">
      <c r="AC660" t="s">
        <v>19</v>
      </c>
      <c r="AD660" t="s">
        <v>2155</v>
      </c>
      <c r="AE660">
        <v>1.1213716195994029E-4</v>
      </c>
    </row>
    <row r="661" spans="29:31" x14ac:dyDescent="0.45">
      <c r="AC661" t="s">
        <v>19</v>
      </c>
      <c r="AD661" t="s">
        <v>2156</v>
      </c>
      <c r="AE661">
        <v>1.1213716195994029E-4</v>
      </c>
    </row>
    <row r="662" spans="29:31" x14ac:dyDescent="0.45">
      <c r="AC662" t="s">
        <v>19</v>
      </c>
      <c r="AD662" t="s">
        <v>2157</v>
      </c>
      <c r="AE662">
        <v>1.1215950253520844E-4</v>
      </c>
    </row>
    <row r="663" spans="29:31" x14ac:dyDescent="0.45">
      <c r="AC663" t="s">
        <v>19</v>
      </c>
      <c r="AD663" t="s">
        <v>2158</v>
      </c>
      <c r="AE663">
        <v>1.1259474194402952E-4</v>
      </c>
    </row>
    <row r="664" spans="29:31" x14ac:dyDescent="0.45">
      <c r="AC664" t="s">
        <v>19</v>
      </c>
      <c r="AD664" t="s">
        <v>2159</v>
      </c>
      <c r="AE664">
        <v>1.1378120328668722E-4</v>
      </c>
    </row>
    <row r="665" spans="29:31" x14ac:dyDescent="0.45">
      <c r="AC665" t="s">
        <v>19</v>
      </c>
      <c r="AD665" t="s">
        <v>2160</v>
      </c>
      <c r="AE665">
        <v>1.147879756858213E-4</v>
      </c>
    </row>
    <row r="666" spans="29:31" x14ac:dyDescent="0.45">
      <c r="AC666" t="s">
        <v>19</v>
      </c>
      <c r="AD666" t="s">
        <v>2161</v>
      </c>
      <c r="AE666">
        <v>1.1545996090305944E-4</v>
      </c>
    </row>
    <row r="667" spans="29:31" x14ac:dyDescent="0.45">
      <c r="AC667" t="s">
        <v>19</v>
      </c>
      <c r="AD667" t="s">
        <v>2162</v>
      </c>
      <c r="AE667">
        <v>1.1570843953158136E-4</v>
      </c>
    </row>
    <row r="668" spans="29:31" x14ac:dyDescent="0.45">
      <c r="AC668" t="s">
        <v>19</v>
      </c>
      <c r="AD668" t="s">
        <v>2163</v>
      </c>
      <c r="AE668">
        <v>1.1590998687968387E-4</v>
      </c>
    </row>
    <row r="669" spans="29:31" x14ac:dyDescent="0.45">
      <c r="AC669" t="s">
        <v>19</v>
      </c>
      <c r="AD669" t="s">
        <v>2164</v>
      </c>
      <c r="AE669">
        <v>1.1596093624918028E-4</v>
      </c>
    </row>
    <row r="670" spans="29:31" x14ac:dyDescent="0.45">
      <c r="AC670" t="s">
        <v>19</v>
      </c>
      <c r="AD670" t="s">
        <v>2165</v>
      </c>
      <c r="AE670">
        <v>1.1605512025714526E-4</v>
      </c>
    </row>
    <row r="671" spans="29:31" x14ac:dyDescent="0.45">
      <c r="AC671" t="s">
        <v>19</v>
      </c>
      <c r="AD671" t="s">
        <v>2166</v>
      </c>
      <c r="AE671">
        <v>1.1605865617553301E-4</v>
      </c>
    </row>
    <row r="672" spans="29:31" x14ac:dyDescent="0.45">
      <c r="AC672" t="s">
        <v>19</v>
      </c>
      <c r="AD672" t="s">
        <v>2167</v>
      </c>
      <c r="AE672">
        <v>1.1602345771521847E-4</v>
      </c>
    </row>
    <row r="673" spans="29:31" x14ac:dyDescent="0.45">
      <c r="AC673" t="s">
        <v>19</v>
      </c>
      <c r="AD673" t="s">
        <v>2168</v>
      </c>
      <c r="AE673">
        <v>1.1588973571073577E-4</v>
      </c>
    </row>
    <row r="674" spans="29:31" x14ac:dyDescent="0.45">
      <c r="AC674" t="s">
        <v>19</v>
      </c>
      <c r="AD674" t="s">
        <v>2169</v>
      </c>
      <c r="AE674">
        <v>1.1582271398493135E-4</v>
      </c>
    </row>
    <row r="675" spans="29:31" x14ac:dyDescent="0.45">
      <c r="AC675" t="s">
        <v>19</v>
      </c>
      <c r="AD675" t="s">
        <v>2170</v>
      </c>
      <c r="AE675">
        <v>1.1573640543155731E-4</v>
      </c>
    </row>
    <row r="676" spans="29:31" x14ac:dyDescent="0.45">
      <c r="AC676" t="s">
        <v>19</v>
      </c>
      <c r="AD676" t="s">
        <v>2171</v>
      </c>
      <c r="AE676">
        <v>1.1569976045917503E-4</v>
      </c>
    </row>
    <row r="677" spans="29:31" x14ac:dyDescent="0.45">
      <c r="AC677" t="s">
        <v>19</v>
      </c>
      <c r="AD677" t="s">
        <v>2172</v>
      </c>
      <c r="AE677">
        <v>1.1569831394710731E-4</v>
      </c>
    </row>
    <row r="678" spans="29:31" x14ac:dyDescent="0.45">
      <c r="AC678" t="s">
        <v>19</v>
      </c>
      <c r="AD678" t="s">
        <v>2173</v>
      </c>
      <c r="AE678">
        <v>1.1542042290654171E-4</v>
      </c>
    </row>
    <row r="679" spans="29:31" x14ac:dyDescent="0.45">
      <c r="AC679" t="s">
        <v>19</v>
      </c>
      <c r="AD679" t="s">
        <v>2174</v>
      </c>
      <c r="AE679">
        <v>1.1486271214265359E-4</v>
      </c>
    </row>
    <row r="680" spans="29:31" x14ac:dyDescent="0.45">
      <c r="AC680" t="s">
        <v>19</v>
      </c>
      <c r="AD680" t="s">
        <v>2175</v>
      </c>
      <c r="AE680">
        <v>1.1452824640788377E-4</v>
      </c>
    </row>
    <row r="681" spans="29:31" x14ac:dyDescent="0.45">
      <c r="AC681" t="s">
        <v>19</v>
      </c>
      <c r="AD681" t="s">
        <v>2176</v>
      </c>
      <c r="AE681">
        <v>1.1408416720309332E-4</v>
      </c>
    </row>
    <row r="682" spans="29:31" x14ac:dyDescent="0.45">
      <c r="AC682" t="s">
        <v>19</v>
      </c>
      <c r="AD682" t="s">
        <v>2177</v>
      </c>
      <c r="AE682">
        <v>1.1328778194803113E-4</v>
      </c>
    </row>
    <row r="683" spans="29:31" x14ac:dyDescent="0.45">
      <c r="AC683" t="s">
        <v>19</v>
      </c>
      <c r="AD683" t="s">
        <v>2178</v>
      </c>
      <c r="AE683">
        <v>1.1268217556234511E-4</v>
      </c>
    </row>
    <row r="684" spans="29:31" x14ac:dyDescent="0.45">
      <c r="AC684" t="s">
        <v>19</v>
      </c>
      <c r="AD684" t="s">
        <v>2179</v>
      </c>
      <c r="AE684">
        <v>1.1248898583952277E-4</v>
      </c>
    </row>
    <row r="685" spans="29:31" x14ac:dyDescent="0.45">
      <c r="AC685" t="s">
        <v>19</v>
      </c>
      <c r="AD685" t="s">
        <v>2180</v>
      </c>
      <c r="AE685">
        <v>1.1238676565340379E-4</v>
      </c>
    </row>
    <row r="686" spans="29:31" x14ac:dyDescent="0.45">
      <c r="AC686" t="s">
        <v>19</v>
      </c>
      <c r="AD686" t="s">
        <v>2181</v>
      </c>
      <c r="AE686">
        <v>1.1238306901145294E-4</v>
      </c>
    </row>
    <row r="687" spans="29:31" x14ac:dyDescent="0.45">
      <c r="AC687" t="s">
        <v>19</v>
      </c>
      <c r="AD687" t="s">
        <v>2182</v>
      </c>
      <c r="AE687">
        <v>1.1228968862130337E-4</v>
      </c>
    </row>
    <row r="688" spans="29:31" x14ac:dyDescent="0.45">
      <c r="AC688" t="s">
        <v>19</v>
      </c>
      <c r="AD688" t="s">
        <v>2183</v>
      </c>
      <c r="AE688">
        <v>1.1235156719308923E-4</v>
      </c>
    </row>
    <row r="689" spans="29:31" x14ac:dyDescent="0.45">
      <c r="AC689" t="s">
        <v>19</v>
      </c>
      <c r="AD689" t="s">
        <v>2184</v>
      </c>
      <c r="AE689">
        <v>1.1259586700897108E-4</v>
      </c>
    </row>
    <row r="690" spans="29:31" x14ac:dyDescent="0.45">
      <c r="AC690" t="s">
        <v>19</v>
      </c>
      <c r="AD690" t="s">
        <v>2185</v>
      </c>
      <c r="AE690">
        <v>1.128175048024586E-4</v>
      </c>
    </row>
    <row r="691" spans="29:31" x14ac:dyDescent="0.45">
      <c r="AC691" t="s">
        <v>19</v>
      </c>
      <c r="AD691" t="s">
        <v>2186</v>
      </c>
      <c r="AE691">
        <v>1.1351456289553723E-4</v>
      </c>
    </row>
    <row r="692" spans="29:31" x14ac:dyDescent="0.45">
      <c r="AC692" t="s">
        <v>19</v>
      </c>
      <c r="AD692" t="s">
        <v>2187</v>
      </c>
      <c r="AE692">
        <v>1.1366162495575558E-4</v>
      </c>
    </row>
    <row r="693" spans="29:31" x14ac:dyDescent="0.45">
      <c r="AC693" t="s">
        <v>19</v>
      </c>
      <c r="AD693" t="s">
        <v>2188</v>
      </c>
      <c r="AE693">
        <v>1.1365262443622308E-4</v>
      </c>
    </row>
    <row r="694" spans="29:31" x14ac:dyDescent="0.45">
      <c r="AC694" t="s">
        <v>19</v>
      </c>
      <c r="AD694" t="s">
        <v>2189</v>
      </c>
      <c r="AE694">
        <v>1.1366516087414336E-4</v>
      </c>
    </row>
    <row r="695" spans="29:31" x14ac:dyDescent="0.45">
      <c r="AC695" t="s">
        <v>19</v>
      </c>
      <c r="AD695" t="s">
        <v>2190</v>
      </c>
      <c r="AE695">
        <v>1.1366451797989101E-4</v>
      </c>
    </row>
    <row r="696" spans="29:31" x14ac:dyDescent="0.45">
      <c r="AC696" t="s">
        <v>19</v>
      </c>
      <c r="AD696" t="s">
        <v>2191</v>
      </c>
      <c r="AE696">
        <v>1.1360103217247436E-4</v>
      </c>
    </row>
    <row r="697" spans="29:31" x14ac:dyDescent="0.45">
      <c r="AC697" t="s">
        <v>19</v>
      </c>
      <c r="AD697" t="s">
        <v>2192</v>
      </c>
      <c r="AE697">
        <v>1.1357708436157541E-4</v>
      </c>
    </row>
    <row r="698" spans="29:31" x14ac:dyDescent="0.45">
      <c r="AC698" t="s">
        <v>19</v>
      </c>
      <c r="AD698" t="s">
        <v>2193</v>
      </c>
      <c r="AE698">
        <v>1.1354992207941488E-4</v>
      </c>
    </row>
    <row r="699" spans="29:31" x14ac:dyDescent="0.45">
      <c r="AC699" t="s">
        <v>19</v>
      </c>
      <c r="AD699" t="s">
        <v>2194</v>
      </c>
      <c r="AE699">
        <v>1.1360488953798829E-4</v>
      </c>
    </row>
    <row r="700" spans="29:31" x14ac:dyDescent="0.45">
      <c r="AC700" t="s">
        <v>19</v>
      </c>
      <c r="AD700" t="s">
        <v>2195</v>
      </c>
      <c r="AE700">
        <v>1.1360488953798829E-4</v>
      </c>
    </row>
    <row r="701" spans="29:31" x14ac:dyDescent="0.45">
      <c r="AC701" t="s">
        <v>19</v>
      </c>
      <c r="AD701" t="s">
        <v>2196</v>
      </c>
      <c r="AE701">
        <v>1.1362401564199482E-4</v>
      </c>
    </row>
    <row r="702" spans="29:31" x14ac:dyDescent="0.45">
      <c r="AC702" t="s">
        <v>19</v>
      </c>
      <c r="AD702" t="s">
        <v>2197</v>
      </c>
      <c r="AE702">
        <v>1.1347052463925327E-4</v>
      </c>
    </row>
    <row r="703" spans="29:31" x14ac:dyDescent="0.45">
      <c r="AC703" t="s">
        <v>19</v>
      </c>
      <c r="AD703" t="s">
        <v>2198</v>
      </c>
      <c r="AE703">
        <v>1.1349334738521065E-4</v>
      </c>
    </row>
    <row r="704" spans="29:31" x14ac:dyDescent="0.45">
      <c r="AC704" t="s">
        <v>19</v>
      </c>
      <c r="AD704" t="s">
        <v>2199</v>
      </c>
      <c r="AE704">
        <v>1.1338180523243302E-4</v>
      </c>
    </row>
    <row r="705" spans="29:31" x14ac:dyDescent="0.45">
      <c r="AC705" t="s">
        <v>19</v>
      </c>
      <c r="AD705" t="s">
        <v>2200</v>
      </c>
      <c r="AE705">
        <v>1.1408416720309332E-4</v>
      </c>
    </row>
    <row r="706" spans="29:31" x14ac:dyDescent="0.45">
      <c r="AC706" t="s">
        <v>19</v>
      </c>
      <c r="AD706" t="s">
        <v>2201</v>
      </c>
      <c r="AE706">
        <v>1.1348579337774588E-4</v>
      </c>
    </row>
    <row r="707" spans="29:31" x14ac:dyDescent="0.45">
      <c r="AC707" t="s">
        <v>19</v>
      </c>
      <c r="AD707" t="s">
        <v>2202</v>
      </c>
      <c r="AE707">
        <v>1.1232845994698282E-4</v>
      </c>
    </row>
    <row r="708" spans="29:31" x14ac:dyDescent="0.45">
      <c r="AC708" t="s">
        <v>19</v>
      </c>
      <c r="AD708" t="s">
        <v>2203</v>
      </c>
      <c r="AE708">
        <v>1.122264004844269E-4</v>
      </c>
    </row>
    <row r="709" spans="29:31" x14ac:dyDescent="0.45">
      <c r="AC709" t="s">
        <v>19</v>
      </c>
      <c r="AD709" t="s">
        <v>2204</v>
      </c>
      <c r="AE709">
        <v>1.122264004844269E-4</v>
      </c>
    </row>
    <row r="710" spans="29:31" x14ac:dyDescent="0.45">
      <c r="AC710" t="s">
        <v>19</v>
      </c>
      <c r="AD710" t="s">
        <v>2205</v>
      </c>
      <c r="AE710">
        <v>1.1226834933439083E-4</v>
      </c>
    </row>
    <row r="711" spans="29:31" x14ac:dyDescent="0.45">
      <c r="AC711" t="s">
        <v>19</v>
      </c>
      <c r="AD711" t="s">
        <v>2206</v>
      </c>
      <c r="AE711">
        <v>1.1281738102587264E-4</v>
      </c>
    </row>
    <row r="712" spans="29:31" x14ac:dyDescent="0.45">
      <c r="AC712" t="s">
        <v>19</v>
      </c>
      <c r="AD712" t="s">
        <v>2207</v>
      </c>
      <c r="AE712">
        <v>1.139255699933103E-4</v>
      </c>
    </row>
    <row r="713" spans="29:31" x14ac:dyDescent="0.45">
      <c r="AC713" t="s">
        <v>19</v>
      </c>
      <c r="AD713" t="s">
        <v>2208</v>
      </c>
      <c r="AE713">
        <v>1.1482272892242374E-4</v>
      </c>
    </row>
    <row r="714" spans="29:31" x14ac:dyDescent="0.45">
      <c r="AC714" t="s">
        <v>19</v>
      </c>
      <c r="AD714" t="s">
        <v>2209</v>
      </c>
      <c r="AE714">
        <v>1.1550419682988359E-4</v>
      </c>
    </row>
    <row r="715" spans="29:31" x14ac:dyDescent="0.45">
      <c r="AC715" t="s">
        <v>19</v>
      </c>
      <c r="AD715" t="s">
        <v>2210</v>
      </c>
      <c r="AE715">
        <v>1.1578980260147704E-4</v>
      </c>
    </row>
    <row r="716" spans="29:31" x14ac:dyDescent="0.45">
      <c r="AC716" t="s">
        <v>19</v>
      </c>
      <c r="AD716" t="s">
        <v>2211</v>
      </c>
      <c r="AE716">
        <v>1.1579349924342787E-4</v>
      </c>
    </row>
    <row r="717" spans="29:31" x14ac:dyDescent="0.45">
      <c r="AC717" t="s">
        <v>19</v>
      </c>
      <c r="AD717" t="s">
        <v>2212</v>
      </c>
      <c r="AE717">
        <v>1.157317813952051E-4</v>
      </c>
    </row>
    <row r="718" spans="29:31" x14ac:dyDescent="0.45">
      <c r="AC718" t="s">
        <v>19</v>
      </c>
      <c r="AD718" t="s">
        <v>2213</v>
      </c>
      <c r="AE718">
        <v>1.1568517156191185E-4</v>
      </c>
    </row>
    <row r="719" spans="29:31" x14ac:dyDescent="0.45">
      <c r="AC719" t="s">
        <v>19</v>
      </c>
      <c r="AD719" t="s">
        <v>2214</v>
      </c>
      <c r="AE719">
        <v>1.1570686924292768E-4</v>
      </c>
    </row>
    <row r="720" spans="29:31" x14ac:dyDescent="0.45">
      <c r="AC720" t="s">
        <v>19</v>
      </c>
      <c r="AD720" t="s">
        <v>2215</v>
      </c>
      <c r="AE720">
        <v>1.1566749196997302E-4</v>
      </c>
    </row>
    <row r="721" spans="29:31" x14ac:dyDescent="0.45">
      <c r="AC721" t="s">
        <v>19</v>
      </c>
      <c r="AD721" t="s">
        <v>2216</v>
      </c>
      <c r="AE721">
        <v>1.1561541753553507E-4</v>
      </c>
    </row>
    <row r="722" spans="29:31" x14ac:dyDescent="0.45">
      <c r="AC722" t="s">
        <v>19</v>
      </c>
      <c r="AD722" t="s">
        <v>2217</v>
      </c>
      <c r="AE722">
        <v>1.1565833072687747E-4</v>
      </c>
    </row>
    <row r="723" spans="29:31" x14ac:dyDescent="0.45">
      <c r="AC723" t="s">
        <v>19</v>
      </c>
      <c r="AD723" t="s">
        <v>2218</v>
      </c>
      <c r="AE723">
        <v>1.1562200720162135E-4</v>
      </c>
    </row>
    <row r="724" spans="29:31" x14ac:dyDescent="0.45">
      <c r="AC724" t="s">
        <v>19</v>
      </c>
      <c r="AD724" t="s">
        <v>2219</v>
      </c>
      <c r="AE724">
        <v>1.1561718549472895E-4</v>
      </c>
    </row>
    <row r="725" spans="29:31" x14ac:dyDescent="0.45">
      <c r="AC725" t="s">
        <v>19</v>
      </c>
      <c r="AD725" t="s">
        <v>2220</v>
      </c>
      <c r="AE725">
        <v>1.1560384543899329E-4</v>
      </c>
    </row>
    <row r="726" spans="29:31" x14ac:dyDescent="0.45">
      <c r="AC726" t="s">
        <v>19</v>
      </c>
      <c r="AD726" t="s">
        <v>2221</v>
      </c>
      <c r="AE726">
        <v>1.154217456420235E-4</v>
      </c>
    </row>
    <row r="727" spans="29:31" x14ac:dyDescent="0.45">
      <c r="AC727" t="s">
        <v>19</v>
      </c>
      <c r="AD727" t="s">
        <v>2222</v>
      </c>
      <c r="AE727">
        <v>1.1459353712147144E-4</v>
      </c>
    </row>
    <row r="728" spans="29:31" x14ac:dyDescent="0.45">
      <c r="AC728" t="s">
        <v>19</v>
      </c>
      <c r="AD728" t="s">
        <v>2223</v>
      </c>
      <c r="AE728">
        <v>1.1407986461386725E-4</v>
      </c>
    </row>
    <row r="729" spans="29:31" x14ac:dyDescent="0.45">
      <c r="AC729" t="s">
        <v>19</v>
      </c>
      <c r="AD729" t="s">
        <v>2224</v>
      </c>
      <c r="AE729">
        <v>1.1345690008336859E-4</v>
      </c>
    </row>
    <row r="730" spans="29:31" x14ac:dyDescent="0.45">
      <c r="AC730" t="s">
        <v>19</v>
      </c>
      <c r="AD730" t="s">
        <v>2225</v>
      </c>
      <c r="AE730">
        <v>1.1274601976386506E-4</v>
      </c>
    </row>
    <row r="731" spans="29:31" x14ac:dyDescent="0.45">
      <c r="AC731" t="s">
        <v>19</v>
      </c>
      <c r="AD731" t="s">
        <v>337</v>
      </c>
      <c r="AE731">
        <v>2.0244723728878155E-2</v>
      </c>
    </row>
    <row r="732" spans="29:31" x14ac:dyDescent="0.45">
      <c r="AC732" t="s">
        <v>19</v>
      </c>
      <c r="AD732" t="s">
        <v>338</v>
      </c>
      <c r="AE732">
        <v>3.43000980290011E-3</v>
      </c>
    </row>
    <row r="733" spans="29:31" x14ac:dyDescent="0.45">
      <c r="AC733" t="s">
        <v>19</v>
      </c>
      <c r="AD733" t="s">
        <v>339</v>
      </c>
      <c r="AE733">
        <v>3.4482030673465315E-3</v>
      </c>
    </row>
    <row r="734" spans="29:31" x14ac:dyDescent="0.45">
      <c r="AC734" t="s">
        <v>19</v>
      </c>
      <c r="AD734" t="s">
        <v>340</v>
      </c>
      <c r="AE734">
        <v>3.4542825968436014E-3</v>
      </c>
    </row>
    <row r="735" spans="29:31" x14ac:dyDescent="0.45">
      <c r="AC735" t="s">
        <v>19</v>
      </c>
      <c r="AD735" t="s">
        <v>341</v>
      </c>
      <c r="AE735">
        <v>2.4155110385331195E-2</v>
      </c>
    </row>
    <row r="736" spans="29:31" x14ac:dyDescent="0.45">
      <c r="AC736" t="s">
        <v>19</v>
      </c>
      <c r="AD736" t="s">
        <v>342</v>
      </c>
      <c r="AE736">
        <v>3.4497151546279896E-3</v>
      </c>
    </row>
    <row r="737" spans="29:31" x14ac:dyDescent="0.45">
      <c r="AC737" t="s">
        <v>19</v>
      </c>
      <c r="AD737" t="s">
        <v>343</v>
      </c>
      <c r="AE737">
        <v>3.452056575494941E-3</v>
      </c>
    </row>
    <row r="738" spans="29:31" x14ac:dyDescent="0.45">
      <c r="AC738" t="s">
        <v>19</v>
      </c>
      <c r="AD738" t="s">
        <v>344</v>
      </c>
      <c r="AE738">
        <v>2.0539179261301912E-2</v>
      </c>
    </row>
    <row r="739" spans="29:31" x14ac:dyDescent="0.45">
      <c r="AC739" t="s">
        <v>19</v>
      </c>
      <c r="AD739" t="s">
        <v>2226</v>
      </c>
      <c r="AE739">
        <v>1.1193968798204351E-4</v>
      </c>
    </row>
    <row r="740" spans="29:31" x14ac:dyDescent="0.45">
      <c r="AC740" t="s">
        <v>19</v>
      </c>
      <c r="AD740" t="s">
        <v>2227</v>
      </c>
      <c r="AE740">
        <v>1.1173058662647624E-4</v>
      </c>
    </row>
    <row r="741" spans="29:31" x14ac:dyDescent="0.45">
      <c r="AC741" t="s">
        <v>19</v>
      </c>
      <c r="AD741" t="s">
        <v>2228</v>
      </c>
      <c r="AE741">
        <v>1.1173058662647624E-4</v>
      </c>
    </row>
    <row r="742" spans="29:31" x14ac:dyDescent="0.45">
      <c r="AC742" t="s">
        <v>19</v>
      </c>
      <c r="AD742" t="s">
        <v>2229</v>
      </c>
      <c r="AE742">
        <v>1.117357297804948E-4</v>
      </c>
    </row>
    <row r="743" spans="29:31" x14ac:dyDescent="0.45">
      <c r="AC743" t="s">
        <v>19</v>
      </c>
      <c r="AD743" t="s">
        <v>2230</v>
      </c>
      <c r="AE743">
        <v>1.1176466002184924E-4</v>
      </c>
    </row>
    <row r="744" spans="29:31" x14ac:dyDescent="0.45">
      <c r="AC744" t="s">
        <v>19</v>
      </c>
      <c r="AD744" t="s">
        <v>2231</v>
      </c>
      <c r="AE744">
        <v>1.1184180733212771E-4</v>
      </c>
    </row>
    <row r="745" spans="29:31" x14ac:dyDescent="0.45">
      <c r="AC745" t="s">
        <v>19</v>
      </c>
      <c r="AD745" t="s">
        <v>2232</v>
      </c>
      <c r="AE745">
        <v>1.1249386282754389E-4</v>
      </c>
    </row>
    <row r="746" spans="29:31" x14ac:dyDescent="0.45">
      <c r="AC746" t="s">
        <v>19</v>
      </c>
      <c r="AD746" t="s">
        <v>2233</v>
      </c>
      <c r="AE746">
        <v>1.1320120722865966E-4</v>
      </c>
    </row>
    <row r="747" spans="29:31" x14ac:dyDescent="0.45">
      <c r="AC747" t="s">
        <v>19</v>
      </c>
      <c r="AD747" t="s">
        <v>2234</v>
      </c>
      <c r="AE747">
        <v>1.1356910346455014E-4</v>
      </c>
    </row>
    <row r="748" spans="29:31" x14ac:dyDescent="0.45">
      <c r="AC748" t="s">
        <v>19</v>
      </c>
      <c r="AD748" t="s">
        <v>2235</v>
      </c>
      <c r="AE748">
        <v>1.1372195157303936E-4</v>
      </c>
    </row>
    <row r="749" spans="29:31" x14ac:dyDescent="0.45">
      <c r="AC749" t="s">
        <v>19</v>
      </c>
      <c r="AD749" t="s">
        <v>2236</v>
      </c>
      <c r="AE749">
        <v>1.1365605491217651E-4</v>
      </c>
    </row>
    <row r="750" spans="29:31" x14ac:dyDescent="0.45">
      <c r="AC750" t="s">
        <v>19</v>
      </c>
      <c r="AD750" t="s">
        <v>2237</v>
      </c>
      <c r="AE750">
        <v>1.1365123320528409E-4</v>
      </c>
    </row>
    <row r="751" spans="29:31" x14ac:dyDescent="0.45">
      <c r="AC751" t="s">
        <v>19</v>
      </c>
      <c r="AD751" t="s">
        <v>2238</v>
      </c>
      <c r="AE751">
        <v>1.1363419650759761E-4</v>
      </c>
    </row>
    <row r="752" spans="29:31" x14ac:dyDescent="0.45">
      <c r="AC752" t="s">
        <v>19</v>
      </c>
      <c r="AD752" t="s">
        <v>2239</v>
      </c>
      <c r="AE752">
        <v>1.1357697891914107E-4</v>
      </c>
    </row>
    <row r="753" spans="29:31" x14ac:dyDescent="0.45">
      <c r="AC753" t="s">
        <v>19</v>
      </c>
      <c r="AD753" t="s">
        <v>2240</v>
      </c>
      <c r="AE753">
        <v>1.1353888743469106E-4</v>
      </c>
    </row>
    <row r="754" spans="29:31" x14ac:dyDescent="0.45">
      <c r="AC754" t="s">
        <v>19</v>
      </c>
      <c r="AD754" t="s">
        <v>2241</v>
      </c>
      <c r="AE754">
        <v>1.1355479906743602E-4</v>
      </c>
    </row>
    <row r="755" spans="29:31" x14ac:dyDescent="0.45">
      <c r="AC755" t="s">
        <v>19</v>
      </c>
      <c r="AD755" t="s">
        <v>2242</v>
      </c>
      <c r="AE755">
        <v>1.1362937480070518E-4</v>
      </c>
    </row>
    <row r="756" spans="29:31" x14ac:dyDescent="0.45">
      <c r="AC756" t="s">
        <v>19</v>
      </c>
      <c r="AD756" t="s">
        <v>2243</v>
      </c>
      <c r="AE756">
        <v>1.1364383992138241E-4</v>
      </c>
    </row>
    <row r="757" spans="29:31" x14ac:dyDescent="0.45">
      <c r="AC757" t="s">
        <v>19</v>
      </c>
      <c r="AD757" t="s">
        <v>2244</v>
      </c>
      <c r="AE757">
        <v>1.1364641149839169E-4</v>
      </c>
    </row>
    <row r="758" spans="29:31" x14ac:dyDescent="0.45">
      <c r="AC758" t="s">
        <v>19</v>
      </c>
      <c r="AD758" t="s">
        <v>2245</v>
      </c>
      <c r="AE758">
        <v>1.1365396550585648E-4</v>
      </c>
    </row>
    <row r="759" spans="29:31" x14ac:dyDescent="0.45">
      <c r="AC759" t="s">
        <v>19</v>
      </c>
      <c r="AD759" t="s">
        <v>2246</v>
      </c>
      <c r="AE759">
        <v>1.1355978149789148E-4</v>
      </c>
    </row>
    <row r="760" spans="29:31" x14ac:dyDescent="0.45">
      <c r="AC760" t="s">
        <v>19</v>
      </c>
      <c r="AD760" t="s">
        <v>2247</v>
      </c>
      <c r="AE760">
        <v>1.1326356797113475E-4</v>
      </c>
    </row>
    <row r="761" spans="29:31" x14ac:dyDescent="0.45">
      <c r="AC761" t="s">
        <v>19</v>
      </c>
      <c r="AD761" t="s">
        <v>2248</v>
      </c>
      <c r="AE761">
        <v>1.1329635557800313E-4</v>
      </c>
    </row>
    <row r="762" spans="29:31" x14ac:dyDescent="0.45">
      <c r="AC762" t="s">
        <v>19</v>
      </c>
      <c r="AD762" t="s">
        <v>2249</v>
      </c>
      <c r="AE762">
        <v>1.1272659054688395E-4</v>
      </c>
    </row>
    <row r="763" spans="29:31" x14ac:dyDescent="0.45">
      <c r="AC763" t="s">
        <v>19</v>
      </c>
      <c r="AD763" t="s">
        <v>703</v>
      </c>
      <c r="AE763">
        <v>1.8870507831327626E-2</v>
      </c>
    </row>
    <row r="764" spans="29:31" x14ac:dyDescent="0.45">
      <c r="AC764" t="s">
        <v>19</v>
      </c>
      <c r="AD764" t="s">
        <v>704</v>
      </c>
      <c r="AE764">
        <v>3.2027484224095106E-3</v>
      </c>
    </row>
    <row r="765" spans="29:31" x14ac:dyDescent="0.45">
      <c r="AC765" t="s">
        <v>19</v>
      </c>
      <c r="AD765" t="s">
        <v>705</v>
      </c>
      <c r="AE765">
        <v>3.2133071568860617E-3</v>
      </c>
    </row>
    <row r="766" spans="29:31" x14ac:dyDescent="0.45">
      <c r="AC766" t="s">
        <v>19</v>
      </c>
      <c r="AD766" t="s">
        <v>706</v>
      </c>
      <c r="AE766">
        <v>3.223885017466619E-3</v>
      </c>
    </row>
    <row r="767" spans="29:31" x14ac:dyDescent="0.45">
      <c r="AC767" t="s">
        <v>19</v>
      </c>
      <c r="AD767" t="s">
        <v>707</v>
      </c>
      <c r="AE767">
        <v>2.2568833056097685E-2</v>
      </c>
    </row>
    <row r="768" spans="29:31" x14ac:dyDescent="0.45">
      <c r="AC768" t="s">
        <v>19</v>
      </c>
      <c r="AD768" t="s">
        <v>708</v>
      </c>
      <c r="AE768">
        <v>3.2284288333184583E-3</v>
      </c>
    </row>
    <row r="769" spans="29:31" x14ac:dyDescent="0.45">
      <c r="AC769" t="s">
        <v>19</v>
      </c>
      <c r="AD769" t="s">
        <v>709</v>
      </c>
      <c r="AE769">
        <v>3.2301149842187322E-3</v>
      </c>
    </row>
    <row r="770" spans="29:31" x14ac:dyDescent="0.45">
      <c r="AC770" t="s">
        <v>19</v>
      </c>
      <c r="AD770" t="s">
        <v>710</v>
      </c>
      <c r="AE770">
        <v>1.9199662455955446E-2</v>
      </c>
    </row>
    <row r="771" spans="29:31" x14ac:dyDescent="0.45">
      <c r="AC771" t="s">
        <v>19</v>
      </c>
      <c r="AD771" t="s">
        <v>2250</v>
      </c>
      <c r="AE771">
        <v>1.1229225595987674E-4</v>
      </c>
    </row>
    <row r="772" spans="29:31" x14ac:dyDescent="0.45">
      <c r="AC772" t="s">
        <v>19</v>
      </c>
      <c r="AD772" t="s">
        <v>2251</v>
      </c>
      <c r="AE772">
        <v>1.1206676080087527E-4</v>
      </c>
    </row>
    <row r="773" spans="29:31" x14ac:dyDescent="0.45">
      <c r="AC773" t="s">
        <v>19</v>
      </c>
      <c r="AD773" t="s">
        <v>2252</v>
      </c>
      <c r="AE773">
        <v>1.1204265226641325E-4</v>
      </c>
    </row>
    <row r="774" spans="29:31" x14ac:dyDescent="0.45">
      <c r="AC774" t="s">
        <v>19</v>
      </c>
      <c r="AD774" t="s">
        <v>2253</v>
      </c>
      <c r="AE774">
        <v>1.1204265226641325E-4</v>
      </c>
    </row>
    <row r="775" spans="29:31" x14ac:dyDescent="0.45">
      <c r="AC775" t="s">
        <v>19</v>
      </c>
      <c r="AD775" t="s">
        <v>2254</v>
      </c>
      <c r="AE775">
        <v>1.1236843892877673E-4</v>
      </c>
    </row>
    <row r="776" spans="29:31" x14ac:dyDescent="0.45">
      <c r="AC776" t="s">
        <v>19</v>
      </c>
      <c r="AD776" t="s">
        <v>2255</v>
      </c>
      <c r="AE776">
        <v>1.1392826110846963E-4</v>
      </c>
    </row>
    <row r="777" spans="29:31" x14ac:dyDescent="0.45">
      <c r="AC777" t="s">
        <v>19</v>
      </c>
      <c r="AD777" t="s">
        <v>2256</v>
      </c>
      <c r="AE777">
        <v>1.1511247232124421E-4</v>
      </c>
    </row>
    <row r="778" spans="29:31" x14ac:dyDescent="0.45">
      <c r="AC778" t="s">
        <v>19</v>
      </c>
      <c r="AD778" t="s">
        <v>2257</v>
      </c>
      <c r="AE778">
        <v>1.1551299544043996E-4</v>
      </c>
    </row>
    <row r="779" spans="29:31" x14ac:dyDescent="0.45">
      <c r="AC779" t="s">
        <v>19</v>
      </c>
      <c r="AD779" t="s">
        <v>2258</v>
      </c>
      <c r="AE779">
        <v>1.1577802859595915E-4</v>
      </c>
    </row>
    <row r="780" spans="29:31" x14ac:dyDescent="0.45">
      <c r="AC780" t="s">
        <v>19</v>
      </c>
      <c r="AD780" t="s">
        <v>2259</v>
      </c>
      <c r="AE780">
        <v>1.1578783273330703E-4</v>
      </c>
    </row>
    <row r="781" spans="29:31" x14ac:dyDescent="0.45">
      <c r="AC781" t="s">
        <v>19</v>
      </c>
      <c r="AD781" t="s">
        <v>2260</v>
      </c>
      <c r="AE781">
        <v>1.1576018828045725E-4</v>
      </c>
    </row>
    <row r="782" spans="29:31" x14ac:dyDescent="0.45">
      <c r="AC782" t="s">
        <v>19</v>
      </c>
      <c r="AD782" t="s">
        <v>2261</v>
      </c>
      <c r="AE782">
        <v>1.1570200635062223E-4</v>
      </c>
    </row>
    <row r="783" spans="29:31" x14ac:dyDescent="0.45">
      <c r="AC783" t="s">
        <v>19</v>
      </c>
      <c r="AD783" t="s">
        <v>2262</v>
      </c>
      <c r="AE783">
        <v>1.1564961046905809E-4</v>
      </c>
    </row>
    <row r="784" spans="29:31" x14ac:dyDescent="0.45">
      <c r="AC784" t="s">
        <v>19</v>
      </c>
      <c r="AD784" t="s">
        <v>2263</v>
      </c>
      <c r="AE784">
        <v>1.1564961046905809E-4</v>
      </c>
    </row>
    <row r="785" spans="29:31" x14ac:dyDescent="0.45">
      <c r="AC785" t="s">
        <v>19</v>
      </c>
      <c r="AD785" t="s">
        <v>2264</v>
      </c>
      <c r="AE785">
        <v>1.1563723475470093E-4</v>
      </c>
    </row>
    <row r="786" spans="29:31" x14ac:dyDescent="0.45">
      <c r="AC786" t="s">
        <v>19</v>
      </c>
      <c r="AD786" t="s">
        <v>2265</v>
      </c>
      <c r="AE786">
        <v>1.1563723475470093E-4</v>
      </c>
    </row>
    <row r="787" spans="29:31" x14ac:dyDescent="0.45">
      <c r="AC787" t="s">
        <v>19</v>
      </c>
      <c r="AD787" t="s">
        <v>2266</v>
      </c>
      <c r="AE787">
        <v>1.1578317174997771E-4</v>
      </c>
    </row>
    <row r="788" spans="29:31" x14ac:dyDescent="0.45">
      <c r="AC788" t="s">
        <v>19</v>
      </c>
      <c r="AD788" t="s">
        <v>2267</v>
      </c>
      <c r="AE788">
        <v>1.1581724514535071E-4</v>
      </c>
    </row>
    <row r="789" spans="29:31" x14ac:dyDescent="0.45">
      <c r="AC789" t="s">
        <v>19</v>
      </c>
      <c r="AD789" t="s">
        <v>2268</v>
      </c>
      <c r="AE789">
        <v>1.1583669269648342E-4</v>
      </c>
    </row>
    <row r="790" spans="29:31" x14ac:dyDescent="0.45">
      <c r="AC790" t="s">
        <v>19</v>
      </c>
      <c r="AD790" t="s">
        <v>2269</v>
      </c>
      <c r="AE790">
        <v>1.1562807351160536E-4</v>
      </c>
    </row>
    <row r="791" spans="29:31" x14ac:dyDescent="0.45">
      <c r="AC791" t="s">
        <v>19</v>
      </c>
      <c r="AD791" t="s">
        <v>2270</v>
      </c>
      <c r="AE791">
        <v>1.1513642013214316E-4</v>
      </c>
    </row>
    <row r="792" spans="29:31" x14ac:dyDescent="0.45">
      <c r="AC792" t="s">
        <v>19</v>
      </c>
      <c r="AD792" t="s">
        <v>2271</v>
      </c>
      <c r="AE792">
        <v>1.1442296823563035E-4</v>
      </c>
    </row>
    <row r="793" spans="29:31" x14ac:dyDescent="0.45">
      <c r="AC793" t="s">
        <v>19</v>
      </c>
      <c r="AD793" t="s">
        <v>2272</v>
      </c>
      <c r="AE793">
        <v>1.1388341923437026E-4</v>
      </c>
    </row>
    <row r="794" spans="29:31" x14ac:dyDescent="0.45">
      <c r="AC794" t="s">
        <v>19</v>
      </c>
      <c r="AD794" t="s">
        <v>2273</v>
      </c>
      <c r="AE794">
        <v>1.1265034805841931E-4</v>
      </c>
    </row>
    <row r="795" spans="29:31" x14ac:dyDescent="0.45">
      <c r="AC795" t="s">
        <v>19</v>
      </c>
      <c r="AD795" t="s">
        <v>2274</v>
      </c>
      <c r="AE795">
        <v>1.1214326521690142E-4</v>
      </c>
    </row>
    <row r="796" spans="29:31" x14ac:dyDescent="0.45">
      <c r="AC796" t="s">
        <v>19</v>
      </c>
      <c r="AD796" t="s">
        <v>2275</v>
      </c>
      <c r="AE796">
        <v>1.1187341035448985E-4</v>
      </c>
    </row>
    <row r="797" spans="29:31" x14ac:dyDescent="0.45">
      <c r="AC797" t="s">
        <v>19</v>
      </c>
      <c r="AD797" t="s">
        <v>2276</v>
      </c>
      <c r="AE797">
        <v>1.1180028113328838E-4</v>
      </c>
    </row>
    <row r="798" spans="29:31" x14ac:dyDescent="0.45">
      <c r="AC798" t="s">
        <v>19</v>
      </c>
      <c r="AD798" t="s">
        <v>2277</v>
      </c>
      <c r="AE798">
        <v>1.1180028113328838E-4</v>
      </c>
    </row>
    <row r="799" spans="29:31" x14ac:dyDescent="0.45">
      <c r="AC799" t="s">
        <v>19</v>
      </c>
      <c r="AD799" t="s">
        <v>2278</v>
      </c>
      <c r="AE799">
        <v>1.1185171267347402E-4</v>
      </c>
    </row>
    <row r="800" spans="29:31" x14ac:dyDescent="0.45">
      <c r="AC800" t="s">
        <v>19</v>
      </c>
      <c r="AD800" t="s">
        <v>2279</v>
      </c>
      <c r="AE800">
        <v>1.1214149725770754E-4</v>
      </c>
    </row>
    <row r="801" spans="29:31" x14ac:dyDescent="0.45">
      <c r="AC801" t="s">
        <v>19</v>
      </c>
      <c r="AD801" t="s">
        <v>2280</v>
      </c>
      <c r="AE801">
        <v>1.1256468239929759E-4</v>
      </c>
    </row>
    <row r="802" spans="29:31" x14ac:dyDescent="0.45">
      <c r="AC802" t="s">
        <v>19</v>
      </c>
      <c r="AD802" t="s">
        <v>2281</v>
      </c>
      <c r="AE802">
        <v>1.1308574819080347E-4</v>
      </c>
    </row>
    <row r="803" spans="29:31" x14ac:dyDescent="0.45">
      <c r="AC803" t="s">
        <v>19</v>
      </c>
      <c r="AD803" t="s">
        <v>2282</v>
      </c>
      <c r="AE803">
        <v>1.1376609103332177E-4</v>
      </c>
    </row>
    <row r="804" spans="29:31" x14ac:dyDescent="0.45">
      <c r="AC804" t="s">
        <v>19</v>
      </c>
      <c r="AD804" t="s">
        <v>2283</v>
      </c>
      <c r="AE804">
        <v>1.141643640226344E-4</v>
      </c>
    </row>
    <row r="805" spans="29:31" x14ac:dyDescent="0.45">
      <c r="AC805" t="s">
        <v>19</v>
      </c>
      <c r="AD805" t="s">
        <v>2284</v>
      </c>
      <c r="AE805">
        <v>1.1403755313136414E-4</v>
      </c>
    </row>
    <row r="806" spans="29:31" x14ac:dyDescent="0.45">
      <c r="AC806" t="s">
        <v>19</v>
      </c>
      <c r="AD806" t="s">
        <v>2285</v>
      </c>
      <c r="AE806">
        <v>1.1402855261183166E-4</v>
      </c>
    </row>
    <row r="807" spans="29:31" x14ac:dyDescent="0.45">
      <c r="AC807" t="s">
        <v>19</v>
      </c>
      <c r="AD807" t="s">
        <v>2286</v>
      </c>
      <c r="AE807">
        <v>1.1404800016296434E-4</v>
      </c>
    </row>
    <row r="808" spans="29:31" x14ac:dyDescent="0.45">
      <c r="AC808" t="s">
        <v>19</v>
      </c>
      <c r="AD808" t="s">
        <v>2287</v>
      </c>
      <c r="AE808">
        <v>1.1406166166582616E-4</v>
      </c>
    </row>
    <row r="809" spans="29:31" x14ac:dyDescent="0.45">
      <c r="AC809" t="s">
        <v>19</v>
      </c>
      <c r="AD809" t="s">
        <v>2288</v>
      </c>
      <c r="AE809">
        <v>1.1406166166582616E-4</v>
      </c>
    </row>
    <row r="810" spans="29:31" x14ac:dyDescent="0.45">
      <c r="AC810" t="s">
        <v>19</v>
      </c>
      <c r="AD810" t="s">
        <v>2289</v>
      </c>
      <c r="AE810">
        <v>1.1409557433763608E-4</v>
      </c>
    </row>
    <row r="811" spans="29:31" x14ac:dyDescent="0.45">
      <c r="AC811" t="s">
        <v>19</v>
      </c>
      <c r="AD811" t="s">
        <v>2290</v>
      </c>
      <c r="AE811">
        <v>1.1452583131600167E-4</v>
      </c>
    </row>
    <row r="812" spans="29:31" x14ac:dyDescent="0.45">
      <c r="AC812" t="s">
        <v>19</v>
      </c>
      <c r="AD812" t="s">
        <v>2291</v>
      </c>
      <c r="AE812">
        <v>1.1459719257800926E-4</v>
      </c>
    </row>
    <row r="813" spans="29:31" x14ac:dyDescent="0.45">
      <c r="AC813" t="s">
        <v>19</v>
      </c>
      <c r="AD813" t="s">
        <v>2292</v>
      </c>
      <c r="AE813">
        <v>1.1473075385892885E-4</v>
      </c>
    </row>
    <row r="814" spans="29:31" x14ac:dyDescent="0.45">
      <c r="AC814" t="s">
        <v>19</v>
      </c>
      <c r="AD814" t="s">
        <v>2293</v>
      </c>
      <c r="AE814">
        <v>1.1458385252227358E-4</v>
      </c>
    </row>
    <row r="815" spans="29:31" x14ac:dyDescent="0.45">
      <c r="AC815" t="s">
        <v>19</v>
      </c>
      <c r="AD815" t="s">
        <v>2294</v>
      </c>
      <c r="AE815">
        <v>1.1431303331848353E-4</v>
      </c>
    </row>
    <row r="816" spans="29:31" x14ac:dyDescent="0.45">
      <c r="AC816" t="s">
        <v>19</v>
      </c>
      <c r="AD816" t="s">
        <v>2295</v>
      </c>
      <c r="AE816">
        <v>1.1387747246253629E-4</v>
      </c>
    </row>
    <row r="817" spans="29:31" x14ac:dyDescent="0.45">
      <c r="AC817" t="s">
        <v>19</v>
      </c>
      <c r="AD817" t="s">
        <v>2296</v>
      </c>
      <c r="AE817">
        <v>1.1346393073473106E-4</v>
      </c>
    </row>
    <row r="818" spans="29:31" x14ac:dyDescent="0.45">
      <c r="AC818" t="s">
        <v>19</v>
      </c>
      <c r="AD818" t="s">
        <v>2297</v>
      </c>
      <c r="AE818">
        <v>1.1265999147220413E-4</v>
      </c>
    </row>
    <row r="819" spans="29:31" x14ac:dyDescent="0.45">
      <c r="AC819" t="s">
        <v>19</v>
      </c>
      <c r="AD819" t="s">
        <v>735</v>
      </c>
      <c r="AE819">
        <v>2.0886124944902419E-2</v>
      </c>
    </row>
    <row r="820" spans="29:31" x14ac:dyDescent="0.45">
      <c r="AC820" t="s">
        <v>19</v>
      </c>
      <c r="AD820" t="s">
        <v>736</v>
      </c>
      <c r="AE820">
        <v>3.5533767775026348E-3</v>
      </c>
    </row>
    <row r="821" spans="29:31" x14ac:dyDescent="0.45">
      <c r="AC821" t="s">
        <v>19</v>
      </c>
      <c r="AD821" t="s">
        <v>737</v>
      </c>
      <c r="AE821">
        <v>3.5609515183070393E-3</v>
      </c>
    </row>
    <row r="822" spans="29:31" x14ac:dyDescent="0.45">
      <c r="AC822" t="s">
        <v>19</v>
      </c>
      <c r="AD822" t="s">
        <v>738</v>
      </c>
      <c r="AE822">
        <v>3.571774964491983E-3</v>
      </c>
    </row>
    <row r="823" spans="29:31" x14ac:dyDescent="0.45">
      <c r="AC823" t="s">
        <v>19</v>
      </c>
      <c r="AD823" t="s">
        <v>739</v>
      </c>
      <c r="AE823">
        <v>2.4996673258739058E-2</v>
      </c>
    </row>
    <row r="824" spans="29:31" x14ac:dyDescent="0.45">
      <c r="AC824" t="s">
        <v>19</v>
      </c>
      <c r="AD824" t="s">
        <v>740</v>
      </c>
      <c r="AE824">
        <v>3.5757184778357179E-3</v>
      </c>
    </row>
    <row r="825" spans="29:31" x14ac:dyDescent="0.45">
      <c r="AC825" t="s">
        <v>19</v>
      </c>
      <c r="AD825" t="s">
        <v>741</v>
      </c>
      <c r="AE825">
        <v>3.5767721815152713E-3</v>
      </c>
    </row>
    <row r="826" spans="29:31" x14ac:dyDescent="0.45">
      <c r="AC826" t="s">
        <v>19</v>
      </c>
      <c r="AD826" t="s">
        <v>742</v>
      </c>
      <c r="AE826">
        <v>2.1248640798795224E-2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1D67-5A88-429B-A54C-7D917C5F062A}">
  <dimension ref="A9:AM130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110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235</v>
      </c>
      <c r="L10" t="s">
        <v>30</v>
      </c>
      <c r="N10" t="s">
        <v>13</v>
      </c>
      <c r="O10" t="s">
        <v>134</v>
      </c>
      <c r="P10" t="s">
        <v>235</v>
      </c>
      <c r="Q10" t="s">
        <v>30</v>
      </c>
      <c r="S10" t="s">
        <v>13</v>
      </c>
      <c r="T10" t="s">
        <v>134</v>
      </c>
      <c r="U10" t="s">
        <v>235</v>
      </c>
      <c r="V10" t="s">
        <v>30</v>
      </c>
      <c r="X10" t="s">
        <v>348</v>
      </c>
      <c r="Y10" t="s">
        <v>235</v>
      </c>
      <c r="Z10" t="s">
        <v>134</v>
      </c>
      <c r="AA10" t="s">
        <v>13</v>
      </c>
      <c r="AC10" t="s">
        <v>13</v>
      </c>
      <c r="AD10" t="s">
        <v>134</v>
      </c>
      <c r="AE10" t="s">
        <v>235</v>
      </c>
      <c r="AG10" t="s">
        <v>13</v>
      </c>
      <c r="AH10" t="s">
        <v>134</v>
      </c>
      <c r="AI10" t="s">
        <v>354</v>
      </c>
      <c r="AK10" t="s">
        <v>134</v>
      </c>
      <c r="AL10" t="s">
        <v>355</v>
      </c>
      <c r="AM10" t="s">
        <v>356</v>
      </c>
    </row>
    <row r="11" spans="1:39" x14ac:dyDescent="0.45">
      <c r="A11" t="str">
        <f>IFERROR(IF(Veda!D5=A10,"ok","x"),"")</f>
        <v>x</v>
      </c>
      <c r="C11" t="s">
        <v>145</v>
      </c>
      <c r="D11" t="s">
        <v>146</v>
      </c>
      <c r="E11" t="s">
        <v>202</v>
      </c>
      <c r="F11" t="s">
        <v>148</v>
      </c>
      <c r="G11" t="s">
        <v>149</v>
      </c>
      <c r="I11" t="s">
        <v>236</v>
      </c>
      <c r="J11" t="s">
        <v>237</v>
      </c>
      <c r="K11">
        <v>0</v>
      </c>
      <c r="L11" t="s">
        <v>238</v>
      </c>
      <c r="N11" t="s">
        <v>346</v>
      </c>
      <c r="O11" t="s">
        <v>237</v>
      </c>
      <c r="P11">
        <v>4.4155047742032917E-2</v>
      </c>
      <c r="Q11" t="s">
        <v>238</v>
      </c>
      <c r="S11" t="s">
        <v>347</v>
      </c>
      <c r="T11" t="s">
        <v>237</v>
      </c>
      <c r="U11">
        <v>4.2330575516464429E-2</v>
      </c>
      <c r="V11" t="s">
        <v>238</v>
      </c>
      <c r="X11">
        <v>4.041095890410959E-2</v>
      </c>
      <c r="Y11">
        <v>8.6444737256461904E-3</v>
      </c>
      <c r="Z11" t="s">
        <v>237</v>
      </c>
      <c r="AA11" t="s">
        <v>25</v>
      </c>
      <c r="AC11" t="s">
        <v>22</v>
      </c>
      <c r="AD11" t="s">
        <v>237</v>
      </c>
      <c r="AE11">
        <v>3.6138622036271613E-2</v>
      </c>
      <c r="AG11" t="s">
        <v>97</v>
      </c>
      <c r="AH11" t="s">
        <v>237</v>
      </c>
      <c r="AI11">
        <v>0.20993758754647396</v>
      </c>
      <c r="AK11" t="s">
        <v>155</v>
      </c>
      <c r="AL11">
        <v>8.4099424771755762E-2</v>
      </c>
      <c r="AM11" t="s">
        <v>357</v>
      </c>
    </row>
    <row r="12" spans="1:39" x14ac:dyDescent="0.45">
      <c r="C12" t="s">
        <v>150</v>
      </c>
      <c r="D12" t="s">
        <v>149</v>
      </c>
      <c r="E12" t="s">
        <v>203</v>
      </c>
      <c r="F12" t="s">
        <v>150</v>
      </c>
      <c r="G12" t="s">
        <v>149</v>
      </c>
      <c r="I12" t="s">
        <v>236</v>
      </c>
      <c r="J12" t="s">
        <v>239</v>
      </c>
      <c r="K12">
        <v>0</v>
      </c>
      <c r="L12" t="s">
        <v>238</v>
      </c>
      <c r="N12" t="s">
        <v>346</v>
      </c>
      <c r="O12" t="s">
        <v>239</v>
      </c>
      <c r="P12">
        <v>7.4771968628568157E-3</v>
      </c>
      <c r="Q12" t="s">
        <v>238</v>
      </c>
      <c r="S12" t="s">
        <v>347</v>
      </c>
      <c r="T12" t="s">
        <v>239</v>
      </c>
      <c r="U12">
        <v>7.0255051417868024E-3</v>
      </c>
      <c r="V12" t="s">
        <v>238</v>
      </c>
      <c r="X12">
        <v>6.735159817351598E-3</v>
      </c>
      <c r="Y12">
        <v>9.9743927603609898E-3</v>
      </c>
      <c r="Z12" t="s">
        <v>239</v>
      </c>
      <c r="AA12" t="s">
        <v>25</v>
      </c>
      <c r="AC12" t="s">
        <v>22</v>
      </c>
      <c r="AD12" t="s">
        <v>239</v>
      </c>
      <c r="AE12">
        <v>8.5508495229955229E-3</v>
      </c>
      <c r="AG12" t="s">
        <v>97</v>
      </c>
      <c r="AH12" t="s">
        <v>239</v>
      </c>
      <c r="AI12">
        <v>8.4513738967735286E-2</v>
      </c>
      <c r="AK12" t="s">
        <v>145</v>
      </c>
      <c r="AL12">
        <v>0.18244762256583458</v>
      </c>
      <c r="AM12" t="s">
        <v>357</v>
      </c>
    </row>
    <row r="13" spans="1:39" x14ac:dyDescent="0.45">
      <c r="C13" t="s">
        <v>152</v>
      </c>
      <c r="E13" t="s">
        <v>204</v>
      </c>
      <c r="G13" t="s">
        <v>149</v>
      </c>
      <c r="I13" t="s">
        <v>236</v>
      </c>
      <c r="J13" t="s">
        <v>240</v>
      </c>
      <c r="K13">
        <v>2.1283100409942801E-4</v>
      </c>
      <c r="L13" t="s">
        <v>238</v>
      </c>
      <c r="N13" t="s">
        <v>346</v>
      </c>
      <c r="O13" t="s">
        <v>240</v>
      </c>
      <c r="P13">
        <v>7.486052410617448E-3</v>
      </c>
      <c r="Q13" t="s">
        <v>238</v>
      </c>
      <c r="S13" t="s">
        <v>347</v>
      </c>
      <c r="T13" t="s">
        <v>240</v>
      </c>
      <c r="U13">
        <v>7.0289935279836818E-3</v>
      </c>
      <c r="V13" t="s">
        <v>238</v>
      </c>
      <c r="X13">
        <v>6.735159817351598E-3</v>
      </c>
      <c r="Y13">
        <v>1.124563889648543E-2</v>
      </c>
      <c r="Z13" t="s">
        <v>240</v>
      </c>
      <c r="AA13" t="s">
        <v>25</v>
      </c>
      <c r="AC13" t="s">
        <v>22</v>
      </c>
      <c r="AD13" t="s">
        <v>240</v>
      </c>
      <c r="AE13">
        <v>8.9794169198168568E-3</v>
      </c>
      <c r="AG13" t="s">
        <v>97</v>
      </c>
      <c r="AH13" t="s">
        <v>240</v>
      </c>
      <c r="AI13">
        <v>8.4639654187265601E-2</v>
      </c>
      <c r="AK13" t="s">
        <v>152</v>
      </c>
      <c r="AL13">
        <v>7.4790226397171353E-2</v>
      </c>
      <c r="AM13" t="s">
        <v>357</v>
      </c>
    </row>
    <row r="14" spans="1:39" x14ac:dyDescent="0.45">
      <c r="C14" t="s">
        <v>155</v>
      </c>
      <c r="E14" t="s">
        <v>205</v>
      </c>
      <c r="G14" t="s">
        <v>149</v>
      </c>
      <c r="I14" t="s">
        <v>236</v>
      </c>
      <c r="J14" t="s">
        <v>241</v>
      </c>
      <c r="K14">
        <v>2.5148696506666463E-3</v>
      </c>
      <c r="L14" t="s">
        <v>238</v>
      </c>
      <c r="N14" t="s">
        <v>346</v>
      </c>
      <c r="O14" t="s">
        <v>241</v>
      </c>
      <c r="P14">
        <v>7.4313732460396372E-3</v>
      </c>
      <c r="Q14" t="s">
        <v>238</v>
      </c>
      <c r="S14" t="s">
        <v>347</v>
      </c>
      <c r="T14" t="s">
        <v>241</v>
      </c>
      <c r="U14">
        <v>7.0672308248558137E-3</v>
      </c>
      <c r="V14" t="s">
        <v>238</v>
      </c>
      <c r="X14">
        <v>6.735159817351598E-3</v>
      </c>
      <c r="Y14">
        <v>8.6053584599192871E-3</v>
      </c>
      <c r="Z14" t="s">
        <v>241</v>
      </c>
      <c r="AA14" t="s">
        <v>25</v>
      </c>
      <c r="AC14" t="s">
        <v>22</v>
      </c>
      <c r="AD14" t="s">
        <v>241</v>
      </c>
      <c r="AE14">
        <v>9.323225878081709E-3</v>
      </c>
      <c r="AG14" t="s">
        <v>97</v>
      </c>
      <c r="AH14" t="s">
        <v>241</v>
      </c>
      <c r="AI14">
        <v>8.0333357720038912E-2</v>
      </c>
      <c r="AK14" t="s">
        <v>150</v>
      </c>
      <c r="AL14">
        <v>0.85866272626523821</v>
      </c>
      <c r="AM14" t="s">
        <v>357</v>
      </c>
    </row>
    <row r="15" spans="1:39" x14ac:dyDescent="0.45">
      <c r="E15" t="s">
        <v>206</v>
      </c>
      <c r="G15" t="s">
        <v>149</v>
      </c>
      <c r="I15" t="s">
        <v>236</v>
      </c>
      <c r="J15" t="s">
        <v>242</v>
      </c>
      <c r="K15">
        <v>5.4922726320188048E-2</v>
      </c>
      <c r="L15" t="s">
        <v>238</v>
      </c>
      <c r="N15" t="s">
        <v>346</v>
      </c>
      <c r="O15" t="s">
        <v>242</v>
      </c>
      <c r="P15">
        <v>4.3114245149168305E-2</v>
      </c>
      <c r="Q15" t="s">
        <v>238</v>
      </c>
      <c r="S15" t="s">
        <v>347</v>
      </c>
      <c r="T15" t="s">
        <v>242</v>
      </c>
      <c r="U15">
        <v>4.2361321947580986E-2</v>
      </c>
      <c r="V15" t="s">
        <v>238</v>
      </c>
      <c r="X15">
        <v>4.041095890410959E-2</v>
      </c>
      <c r="Y15">
        <v>5.120188283651974E-2</v>
      </c>
      <c r="Z15" t="s">
        <v>242</v>
      </c>
      <c r="AA15" t="s">
        <v>25</v>
      </c>
      <c r="AC15" t="s">
        <v>22</v>
      </c>
      <c r="AD15" t="s">
        <v>242</v>
      </c>
      <c r="AE15">
        <v>5.6354898339289444E-2</v>
      </c>
      <c r="AG15" t="s">
        <v>97</v>
      </c>
      <c r="AH15" t="s">
        <v>242</v>
      </c>
      <c r="AI15">
        <v>8.5156903720867705E-2</v>
      </c>
    </row>
    <row r="16" spans="1:39" x14ac:dyDescent="0.45">
      <c r="E16" t="s">
        <v>207</v>
      </c>
      <c r="G16" t="s">
        <v>149</v>
      </c>
      <c r="I16" t="s">
        <v>236</v>
      </c>
      <c r="J16" t="s">
        <v>243</v>
      </c>
      <c r="K16">
        <v>7.6359461191081619E-3</v>
      </c>
      <c r="L16" t="s">
        <v>238</v>
      </c>
      <c r="N16" t="s">
        <v>346</v>
      </c>
      <c r="O16" t="s">
        <v>243</v>
      </c>
      <c r="P16">
        <v>7.1388004470522284E-3</v>
      </c>
      <c r="Q16" t="s">
        <v>238</v>
      </c>
      <c r="S16" t="s">
        <v>347</v>
      </c>
      <c r="T16" t="s">
        <v>243</v>
      </c>
      <c r="U16">
        <v>7.08732872355986E-3</v>
      </c>
      <c r="V16" t="s">
        <v>238</v>
      </c>
      <c r="X16">
        <v>6.735159817351598E-3</v>
      </c>
      <c r="Y16">
        <v>1.016996908899552E-2</v>
      </c>
      <c r="Z16" t="s">
        <v>243</v>
      </c>
      <c r="AA16" t="s">
        <v>25</v>
      </c>
      <c r="AC16" t="s">
        <v>22</v>
      </c>
      <c r="AD16" t="s">
        <v>243</v>
      </c>
      <c r="AE16">
        <v>9.4335915632671047E-3</v>
      </c>
      <c r="AG16" t="s">
        <v>97</v>
      </c>
      <c r="AH16" t="s">
        <v>243</v>
      </c>
      <c r="AI16">
        <v>8.31155395733576E-2</v>
      </c>
    </row>
    <row r="17" spans="5:35" x14ac:dyDescent="0.45">
      <c r="E17" t="s">
        <v>208</v>
      </c>
      <c r="G17" t="s">
        <v>149</v>
      </c>
      <c r="I17" t="s">
        <v>236</v>
      </c>
      <c r="J17" t="s">
        <v>244</v>
      </c>
      <c r="K17">
        <v>4.884449944847249E-3</v>
      </c>
      <c r="L17" t="s">
        <v>238</v>
      </c>
      <c r="N17" t="s">
        <v>346</v>
      </c>
      <c r="O17" t="s">
        <v>244</v>
      </c>
      <c r="P17">
        <v>7.1465471045658894E-3</v>
      </c>
      <c r="Q17" t="s">
        <v>238</v>
      </c>
      <c r="S17" t="s">
        <v>347</v>
      </c>
      <c r="T17" t="s">
        <v>244</v>
      </c>
      <c r="U17">
        <v>7.1736352625391417E-3</v>
      </c>
      <c r="V17" t="s">
        <v>238</v>
      </c>
      <c r="X17">
        <v>6.735159817351598E-3</v>
      </c>
      <c r="Y17">
        <v>1.3103614018513452E-2</v>
      </c>
      <c r="Z17" t="s">
        <v>244</v>
      </c>
      <c r="AA17" t="s">
        <v>25</v>
      </c>
      <c r="AC17" t="s">
        <v>22</v>
      </c>
      <c r="AD17" t="s">
        <v>244</v>
      </c>
      <c r="AE17">
        <v>9.6263596139477565E-3</v>
      </c>
      <c r="AG17" t="s">
        <v>97</v>
      </c>
      <c r="AH17" t="s">
        <v>244</v>
      </c>
      <c r="AI17">
        <v>7.9506794508142686E-2</v>
      </c>
    </row>
    <row r="18" spans="5:35" x14ac:dyDescent="0.45">
      <c r="E18" t="s">
        <v>209</v>
      </c>
      <c r="G18" t="s">
        <v>149</v>
      </c>
      <c r="I18" t="s">
        <v>236</v>
      </c>
      <c r="J18" t="s">
        <v>245</v>
      </c>
      <c r="K18">
        <v>1.8062387930995159E-3</v>
      </c>
      <c r="L18" t="s">
        <v>238</v>
      </c>
      <c r="N18" t="s">
        <v>346</v>
      </c>
      <c r="O18" t="s">
        <v>245</v>
      </c>
      <c r="P18">
        <v>7.2770367486697917E-3</v>
      </c>
      <c r="Q18" t="s">
        <v>238</v>
      </c>
      <c r="S18" t="s">
        <v>347</v>
      </c>
      <c r="T18" t="s">
        <v>245</v>
      </c>
      <c r="U18">
        <v>7.2869486355689019E-3</v>
      </c>
      <c r="V18" t="s">
        <v>238</v>
      </c>
      <c r="X18">
        <v>6.735159817351598E-3</v>
      </c>
      <c r="Y18">
        <v>1.3103614018513452E-2</v>
      </c>
      <c r="Z18" t="s">
        <v>245</v>
      </c>
      <c r="AA18" t="s">
        <v>25</v>
      </c>
      <c r="AC18" t="s">
        <v>22</v>
      </c>
      <c r="AD18" t="s">
        <v>245</v>
      </c>
      <c r="AE18">
        <v>9.6700816802201377E-3</v>
      </c>
      <c r="AG18" t="s">
        <v>97</v>
      </c>
      <c r="AH18" t="s">
        <v>245</v>
      </c>
      <c r="AI18">
        <v>8.0562479560222666E-2</v>
      </c>
    </row>
    <row r="19" spans="5:35" x14ac:dyDescent="0.45">
      <c r="E19" t="s">
        <v>210</v>
      </c>
      <c r="G19" t="s">
        <v>149</v>
      </c>
      <c r="I19" t="s">
        <v>236</v>
      </c>
      <c r="J19" t="s">
        <v>246</v>
      </c>
      <c r="K19">
        <v>1.260548737735539E-4</v>
      </c>
      <c r="L19" t="s">
        <v>238</v>
      </c>
      <c r="N19" t="s">
        <v>346</v>
      </c>
      <c r="O19" t="s">
        <v>246</v>
      </c>
      <c r="P19">
        <v>4.4361212419593996E-2</v>
      </c>
      <c r="Q19" t="s">
        <v>238</v>
      </c>
      <c r="S19" t="s">
        <v>347</v>
      </c>
      <c r="T19" t="s">
        <v>246</v>
      </c>
      <c r="U19">
        <v>4.3299572710980228E-2</v>
      </c>
      <c r="V19" t="s">
        <v>238</v>
      </c>
      <c r="X19">
        <v>4.041095890410959E-2</v>
      </c>
      <c r="Y19">
        <v>3.5594891811484314E-2</v>
      </c>
      <c r="Z19" t="s">
        <v>246</v>
      </c>
      <c r="AA19" t="s">
        <v>25</v>
      </c>
      <c r="AC19" t="s">
        <v>22</v>
      </c>
      <c r="AD19" t="s">
        <v>246</v>
      </c>
      <c r="AE19">
        <v>5.0177962677305961E-2</v>
      </c>
      <c r="AG19" t="s">
        <v>97</v>
      </c>
      <c r="AH19" t="s">
        <v>246</v>
      </c>
      <c r="AI19">
        <v>0.18372287613182636</v>
      </c>
    </row>
    <row r="20" spans="5:35" x14ac:dyDescent="0.45">
      <c r="E20" t="s">
        <v>211</v>
      </c>
      <c r="G20" t="s">
        <v>149</v>
      </c>
      <c r="I20" t="s">
        <v>236</v>
      </c>
      <c r="J20" t="s">
        <v>247</v>
      </c>
      <c r="K20">
        <v>8.3229830275678481E-3</v>
      </c>
      <c r="L20" t="s">
        <v>238</v>
      </c>
      <c r="N20" t="s">
        <v>346</v>
      </c>
      <c r="O20" t="s">
        <v>247</v>
      </c>
      <c r="P20">
        <v>0.15252452953431481</v>
      </c>
      <c r="Q20" t="s">
        <v>238</v>
      </c>
      <c r="S20" t="s">
        <v>347</v>
      </c>
      <c r="T20" t="s">
        <v>247</v>
      </c>
      <c r="U20">
        <v>0.15481638324162444</v>
      </c>
      <c r="V20" t="s">
        <v>238</v>
      </c>
      <c r="X20">
        <v>0.16712328767123288</v>
      </c>
      <c r="Y20">
        <v>3.5750026933180856E-2</v>
      </c>
      <c r="Z20" t="s">
        <v>247</v>
      </c>
      <c r="AA20" t="s">
        <v>25</v>
      </c>
      <c r="AC20" t="s">
        <v>22</v>
      </c>
      <c r="AD20" t="s">
        <v>247</v>
      </c>
      <c r="AE20">
        <v>0.11165675631049563</v>
      </c>
      <c r="AG20" t="s">
        <v>97</v>
      </c>
      <c r="AH20" t="s">
        <v>247</v>
      </c>
      <c r="AI20">
        <v>0.42148985725711618</v>
      </c>
    </row>
    <row r="21" spans="5:35" x14ac:dyDescent="0.45">
      <c r="E21" t="s">
        <v>212</v>
      </c>
      <c r="G21" t="s">
        <v>149</v>
      </c>
      <c r="I21" t="s">
        <v>236</v>
      </c>
      <c r="J21" t="s">
        <v>248</v>
      </c>
      <c r="K21">
        <v>2.4893194534100934E-2</v>
      </c>
      <c r="L21" t="s">
        <v>238</v>
      </c>
      <c r="N21" t="s">
        <v>346</v>
      </c>
      <c r="O21" t="s">
        <v>248</v>
      </c>
      <c r="P21">
        <v>2.469831931881385E-2</v>
      </c>
      <c r="Q21" t="s">
        <v>238</v>
      </c>
      <c r="S21" t="s">
        <v>347</v>
      </c>
      <c r="T21" t="s">
        <v>248</v>
      </c>
      <c r="U21">
        <v>2.5374949008024741E-2</v>
      </c>
      <c r="V21" t="s">
        <v>238</v>
      </c>
      <c r="X21">
        <v>2.7853881278538814E-2</v>
      </c>
      <c r="Y21">
        <v>4.1250031076747136E-2</v>
      </c>
      <c r="Z21" t="s">
        <v>248</v>
      </c>
      <c r="AA21" t="s">
        <v>25</v>
      </c>
      <c r="AC21" t="s">
        <v>22</v>
      </c>
      <c r="AD21" t="s">
        <v>248</v>
      </c>
      <c r="AE21">
        <v>2.6240541174639909E-2</v>
      </c>
      <c r="AG21" t="s">
        <v>97</v>
      </c>
      <c r="AH21" t="s">
        <v>248</v>
      </c>
      <c r="AI21">
        <v>0.30793959481925248</v>
      </c>
    </row>
    <row r="22" spans="5:35" x14ac:dyDescent="0.45">
      <c r="E22" t="s">
        <v>213</v>
      </c>
      <c r="G22" t="s">
        <v>149</v>
      </c>
      <c r="I22" t="s">
        <v>236</v>
      </c>
      <c r="J22" t="s">
        <v>249</v>
      </c>
      <c r="K22">
        <v>4.4670286025793142E-2</v>
      </c>
      <c r="L22" t="s">
        <v>238</v>
      </c>
      <c r="N22" t="s">
        <v>346</v>
      </c>
      <c r="O22" t="s">
        <v>249</v>
      </c>
      <c r="P22">
        <v>2.4127121652469333E-2</v>
      </c>
      <c r="Q22" t="s">
        <v>238</v>
      </c>
      <c r="S22" t="s">
        <v>347</v>
      </c>
      <c r="T22" t="s">
        <v>249</v>
      </c>
      <c r="U22">
        <v>2.5339557957103107E-2</v>
      </c>
      <c r="V22" t="s">
        <v>238</v>
      </c>
      <c r="X22">
        <v>2.7853881278538814E-2</v>
      </c>
      <c r="Y22">
        <v>4.6507387978685484E-2</v>
      </c>
      <c r="Z22" t="s">
        <v>249</v>
      </c>
      <c r="AA22" t="s">
        <v>25</v>
      </c>
      <c r="AC22" t="s">
        <v>22</v>
      </c>
      <c r="AD22" t="s">
        <v>249</v>
      </c>
      <c r="AE22">
        <v>2.8791417337484602E-2</v>
      </c>
      <c r="AG22" t="s">
        <v>97</v>
      </c>
      <c r="AH22" t="s">
        <v>249</v>
      </c>
      <c r="AI22">
        <v>0.27992550974995978</v>
      </c>
    </row>
    <row r="23" spans="5:35" x14ac:dyDescent="0.45">
      <c r="E23" t="s">
        <v>214</v>
      </c>
      <c r="G23" t="s">
        <v>149</v>
      </c>
      <c r="I23" t="s">
        <v>236</v>
      </c>
      <c r="J23" t="s">
        <v>250</v>
      </c>
      <c r="K23">
        <v>6.2460624908612435E-2</v>
      </c>
      <c r="L23" t="s">
        <v>238</v>
      </c>
      <c r="N23" t="s">
        <v>346</v>
      </c>
      <c r="O23" t="s">
        <v>250</v>
      </c>
      <c r="P23">
        <v>2.3764473403255066E-2</v>
      </c>
      <c r="Q23" t="s">
        <v>238</v>
      </c>
      <c r="S23" t="s">
        <v>347</v>
      </c>
      <c r="T23" t="s">
        <v>250</v>
      </c>
      <c r="U23">
        <v>2.537516310136495E-2</v>
      </c>
      <c r="V23" t="s">
        <v>238</v>
      </c>
      <c r="X23">
        <v>2.7853881278538814E-2</v>
      </c>
      <c r="Y23">
        <v>3.5588262105428911E-2</v>
      </c>
      <c r="Z23" t="s">
        <v>250</v>
      </c>
      <c r="AA23" t="s">
        <v>25</v>
      </c>
      <c r="AC23" t="s">
        <v>22</v>
      </c>
      <c r="AD23" t="s">
        <v>250</v>
      </c>
      <c r="AE23">
        <v>3.0222886500699892E-2</v>
      </c>
      <c r="AG23" t="s">
        <v>97</v>
      </c>
      <c r="AH23" t="s">
        <v>250</v>
      </c>
      <c r="AI23">
        <v>0.26688725276170699</v>
      </c>
    </row>
    <row r="24" spans="5:35" x14ac:dyDescent="0.45">
      <c r="E24" t="s">
        <v>215</v>
      </c>
      <c r="G24" t="s">
        <v>149</v>
      </c>
      <c r="I24" t="s">
        <v>236</v>
      </c>
      <c r="J24" t="s">
        <v>251</v>
      </c>
      <c r="K24">
        <v>0.4988173773998828</v>
      </c>
      <c r="L24" t="s">
        <v>238</v>
      </c>
      <c r="N24" t="s">
        <v>346</v>
      </c>
      <c r="O24" t="s">
        <v>251</v>
      </c>
      <c r="P24">
        <v>0.14488391194384406</v>
      </c>
      <c r="Q24" t="s">
        <v>238</v>
      </c>
      <c r="S24" t="s">
        <v>347</v>
      </c>
      <c r="T24" t="s">
        <v>251</v>
      </c>
      <c r="U24">
        <v>0.14839710388134286</v>
      </c>
      <c r="V24" t="s">
        <v>238</v>
      </c>
      <c r="X24">
        <v>0.16712328767123288</v>
      </c>
      <c r="Y24">
        <v>0.21175015952730203</v>
      </c>
      <c r="Z24" t="s">
        <v>251</v>
      </c>
      <c r="AA24" t="s">
        <v>25</v>
      </c>
      <c r="AC24" t="s">
        <v>22</v>
      </c>
      <c r="AD24" t="s">
        <v>251</v>
      </c>
      <c r="AE24">
        <v>0.18065284251841796</v>
      </c>
      <c r="AG24" t="s">
        <v>97</v>
      </c>
      <c r="AH24" t="s">
        <v>251</v>
      </c>
      <c r="AI24">
        <v>0.26278131701200547</v>
      </c>
    </row>
    <row r="25" spans="5:35" x14ac:dyDescent="0.45">
      <c r="E25" t="s">
        <v>216</v>
      </c>
      <c r="G25" t="s">
        <v>149</v>
      </c>
      <c r="I25" t="s">
        <v>236</v>
      </c>
      <c r="J25" t="s">
        <v>252</v>
      </c>
      <c r="K25">
        <v>7.4292865513727366E-2</v>
      </c>
      <c r="L25" t="s">
        <v>238</v>
      </c>
      <c r="N25" t="s">
        <v>346</v>
      </c>
      <c r="O25" t="s">
        <v>252</v>
      </c>
      <c r="P25">
        <v>2.5446079072278485E-2</v>
      </c>
      <c r="Q25" t="s">
        <v>238</v>
      </c>
      <c r="S25" t="s">
        <v>347</v>
      </c>
      <c r="T25" t="s">
        <v>252</v>
      </c>
      <c r="U25">
        <v>2.5613732934479921E-2</v>
      </c>
      <c r="V25" t="s">
        <v>238</v>
      </c>
      <c r="X25">
        <v>2.7853881278538814E-2</v>
      </c>
      <c r="Y25">
        <v>4.2058855215506868E-2</v>
      </c>
      <c r="Z25" t="s">
        <v>252</v>
      </c>
      <c r="AA25" t="s">
        <v>25</v>
      </c>
      <c r="AC25" t="s">
        <v>22</v>
      </c>
      <c r="AD25" t="s">
        <v>252</v>
      </c>
      <c r="AE25">
        <v>2.9768256120489629E-2</v>
      </c>
      <c r="AG25" t="s">
        <v>97</v>
      </c>
      <c r="AH25" t="s">
        <v>252</v>
      </c>
      <c r="AI25">
        <v>0.27412256298622517</v>
      </c>
    </row>
    <row r="26" spans="5:35" x14ac:dyDescent="0.45">
      <c r="E26" t="s">
        <v>217</v>
      </c>
      <c r="G26" t="s">
        <v>149</v>
      </c>
      <c r="I26" t="s">
        <v>236</v>
      </c>
      <c r="J26" t="s">
        <v>253</v>
      </c>
      <c r="K26">
        <v>6.2126922563880894E-2</v>
      </c>
      <c r="L26" t="s">
        <v>238</v>
      </c>
      <c r="N26" t="s">
        <v>346</v>
      </c>
      <c r="O26" t="s">
        <v>253</v>
      </c>
      <c r="P26">
        <v>2.505079424774484E-2</v>
      </c>
      <c r="Q26" t="s">
        <v>238</v>
      </c>
      <c r="S26" t="s">
        <v>347</v>
      </c>
      <c r="T26" t="s">
        <v>253</v>
      </c>
      <c r="U26">
        <v>2.5866846054709354E-2</v>
      </c>
      <c r="V26" t="s">
        <v>238</v>
      </c>
      <c r="X26">
        <v>2.7853881278538814E-2</v>
      </c>
      <c r="Y26">
        <v>5.4191217296903113E-2</v>
      </c>
      <c r="Z26" t="s">
        <v>253</v>
      </c>
      <c r="AA26" t="s">
        <v>25</v>
      </c>
      <c r="AC26" t="s">
        <v>22</v>
      </c>
      <c r="AD26" t="s">
        <v>253</v>
      </c>
      <c r="AE26">
        <v>2.9887544500857004E-2</v>
      </c>
      <c r="AG26" t="s">
        <v>97</v>
      </c>
      <c r="AH26" t="s">
        <v>253</v>
      </c>
      <c r="AI26">
        <v>0.28294994779864369</v>
      </c>
    </row>
    <row r="27" spans="5:35" x14ac:dyDescent="0.45">
      <c r="E27" t="s">
        <v>218</v>
      </c>
      <c r="G27" t="s">
        <v>149</v>
      </c>
      <c r="I27" t="s">
        <v>236</v>
      </c>
      <c r="J27" t="s">
        <v>254</v>
      </c>
      <c r="K27">
        <v>4.6311757861219355E-2</v>
      </c>
      <c r="L27" t="s">
        <v>238</v>
      </c>
      <c r="N27" t="s">
        <v>346</v>
      </c>
      <c r="O27" t="s">
        <v>254</v>
      </c>
      <c r="P27">
        <v>2.4702635837338571E-2</v>
      </c>
      <c r="Q27" t="s">
        <v>238</v>
      </c>
      <c r="S27" t="s">
        <v>347</v>
      </c>
      <c r="T27" t="s">
        <v>254</v>
      </c>
      <c r="U27">
        <v>2.5968488726506981E-2</v>
      </c>
      <c r="V27" t="s">
        <v>238</v>
      </c>
      <c r="X27">
        <v>2.7853881278538814E-2</v>
      </c>
      <c r="Y27">
        <v>5.4191217296903113E-2</v>
      </c>
      <c r="Z27" t="s">
        <v>254</v>
      </c>
      <c r="AA27" t="s">
        <v>25</v>
      </c>
      <c r="AC27" t="s">
        <v>22</v>
      </c>
      <c r="AD27" t="s">
        <v>254</v>
      </c>
      <c r="AE27">
        <v>2.9994118112246781E-2</v>
      </c>
      <c r="AG27" t="s">
        <v>97</v>
      </c>
      <c r="AH27" t="s">
        <v>254</v>
      </c>
      <c r="AI27">
        <v>0.28299707970063315</v>
      </c>
    </row>
    <row r="28" spans="5:35" x14ac:dyDescent="0.45">
      <c r="E28" t="s">
        <v>219</v>
      </c>
      <c r="G28" t="s">
        <v>149</v>
      </c>
      <c r="I28" t="s">
        <v>236</v>
      </c>
      <c r="J28" t="s">
        <v>255</v>
      </c>
      <c r="K28">
        <v>4.3227872953154285E-2</v>
      </c>
      <c r="L28" t="s">
        <v>238</v>
      </c>
      <c r="N28" t="s">
        <v>346</v>
      </c>
      <c r="O28" t="s">
        <v>255</v>
      </c>
      <c r="P28">
        <v>0.15746755736774523</v>
      </c>
      <c r="Q28" t="s">
        <v>238</v>
      </c>
      <c r="S28" t="s">
        <v>347</v>
      </c>
      <c r="T28" t="s">
        <v>255</v>
      </c>
      <c r="U28">
        <v>0.15819569011749615</v>
      </c>
      <c r="V28" t="s">
        <v>238</v>
      </c>
      <c r="X28">
        <v>0.16712328767123288</v>
      </c>
      <c r="Y28">
        <v>0.14720599325427411</v>
      </c>
      <c r="Z28" t="s">
        <v>255</v>
      </c>
      <c r="AA28" t="s">
        <v>25</v>
      </c>
      <c r="AC28" t="s">
        <v>22</v>
      </c>
      <c r="AD28" t="s">
        <v>255</v>
      </c>
      <c r="AE28">
        <v>0.15485152082019119</v>
      </c>
      <c r="AG28" t="s">
        <v>97</v>
      </c>
      <c r="AH28" t="s">
        <v>255</v>
      </c>
      <c r="AI28">
        <v>0.39629970783330637</v>
      </c>
    </row>
    <row r="29" spans="5:35" x14ac:dyDescent="0.45">
      <c r="E29" t="s">
        <v>220</v>
      </c>
      <c r="G29" t="s">
        <v>149</v>
      </c>
      <c r="I29" t="s">
        <v>236</v>
      </c>
      <c r="J29" t="s">
        <v>2300</v>
      </c>
      <c r="K29">
        <v>0</v>
      </c>
      <c r="L29" t="s">
        <v>238</v>
      </c>
      <c r="N29" t="s">
        <v>346</v>
      </c>
      <c r="O29" t="s">
        <v>2300</v>
      </c>
      <c r="P29">
        <v>2.8506573327434289E-5</v>
      </c>
      <c r="Q29" t="s">
        <v>238</v>
      </c>
      <c r="S29" t="s">
        <v>347</v>
      </c>
      <c r="T29" t="s">
        <v>2300</v>
      </c>
      <c r="U29">
        <v>1.1872048794571611E-5</v>
      </c>
      <c r="V29" t="s">
        <v>238</v>
      </c>
      <c r="X29">
        <v>1.1415525114155251E-4</v>
      </c>
      <c r="Y29">
        <v>2.1546544680075254E-5</v>
      </c>
      <c r="Z29" t="s">
        <v>2300</v>
      </c>
      <c r="AA29" t="s">
        <v>25</v>
      </c>
      <c r="AC29" t="s">
        <v>22</v>
      </c>
      <c r="AD29" t="s">
        <v>2300</v>
      </c>
      <c r="AE29">
        <v>6.4357138464299157E-5</v>
      </c>
      <c r="AG29" t="s">
        <v>97</v>
      </c>
      <c r="AH29" t="s">
        <v>2300</v>
      </c>
      <c r="AI29">
        <v>0</v>
      </c>
    </row>
    <row r="30" spans="5:35" x14ac:dyDescent="0.45">
      <c r="E30" t="s">
        <v>221</v>
      </c>
      <c r="G30" t="s">
        <v>149</v>
      </c>
      <c r="I30" t="s">
        <v>236</v>
      </c>
      <c r="J30" t="s">
        <v>2301</v>
      </c>
      <c r="K30">
        <v>0</v>
      </c>
      <c r="L30" t="s">
        <v>238</v>
      </c>
      <c r="N30" t="s">
        <v>346</v>
      </c>
      <c r="O30" t="s">
        <v>2301</v>
      </c>
      <c r="P30">
        <v>2.4337220951420891E-5</v>
      </c>
      <c r="Q30" t="s">
        <v>238</v>
      </c>
      <c r="S30" t="s">
        <v>347</v>
      </c>
      <c r="T30" t="s">
        <v>2301</v>
      </c>
      <c r="U30">
        <v>1.1718500536398084E-5</v>
      </c>
      <c r="V30" t="s">
        <v>238</v>
      </c>
      <c r="X30">
        <v>1.1415525114155251E-4</v>
      </c>
      <c r="Y30">
        <v>1.4916838624667481E-5</v>
      </c>
      <c r="Z30" t="s">
        <v>2301</v>
      </c>
      <c r="AA30" t="s">
        <v>25</v>
      </c>
      <c r="AC30" t="s">
        <v>22</v>
      </c>
      <c r="AD30" t="s">
        <v>2301</v>
      </c>
      <c r="AE30">
        <v>6.0628122585161419E-5</v>
      </c>
      <c r="AG30" t="s">
        <v>97</v>
      </c>
      <c r="AH30" t="s">
        <v>2301</v>
      </c>
      <c r="AI30">
        <v>0</v>
      </c>
    </row>
    <row r="31" spans="5:35" x14ac:dyDescent="0.45">
      <c r="E31" t="s">
        <v>222</v>
      </c>
      <c r="G31" t="s">
        <v>149</v>
      </c>
      <c r="I31" t="s">
        <v>236</v>
      </c>
      <c r="J31" t="s">
        <v>2302</v>
      </c>
      <c r="K31">
        <v>0</v>
      </c>
      <c r="L31" t="s">
        <v>238</v>
      </c>
      <c r="N31" t="s">
        <v>346</v>
      </c>
      <c r="O31" t="s">
        <v>2302</v>
      </c>
      <c r="P31">
        <v>1.971789554450978E-5</v>
      </c>
      <c r="Q31" t="s">
        <v>238</v>
      </c>
      <c r="S31" t="s">
        <v>347</v>
      </c>
      <c r="T31" t="s">
        <v>2302</v>
      </c>
      <c r="U31">
        <v>9.4985815355708083E-6</v>
      </c>
      <c r="V31" t="s">
        <v>238</v>
      </c>
      <c r="X31">
        <v>1.1415525114155251E-4</v>
      </c>
      <c r="Y31">
        <v>1.6574265138519424E-5</v>
      </c>
      <c r="Z31" t="s">
        <v>2302</v>
      </c>
      <c r="AA31" t="s">
        <v>25</v>
      </c>
      <c r="AC31" t="s">
        <v>22</v>
      </c>
      <c r="AD31" t="s">
        <v>2302</v>
      </c>
      <c r="AE31">
        <v>6.0628122585161419E-5</v>
      </c>
      <c r="AG31" t="s">
        <v>97</v>
      </c>
      <c r="AH31" t="s">
        <v>2302</v>
      </c>
      <c r="AI31">
        <v>0</v>
      </c>
    </row>
    <row r="32" spans="5:35" x14ac:dyDescent="0.45">
      <c r="E32" t="s">
        <v>223</v>
      </c>
      <c r="G32" t="s">
        <v>149</v>
      </c>
      <c r="I32" t="s">
        <v>236</v>
      </c>
      <c r="J32" t="s">
        <v>2303</v>
      </c>
      <c r="K32">
        <v>0</v>
      </c>
      <c r="L32" t="s">
        <v>238</v>
      </c>
      <c r="N32" t="s">
        <v>346</v>
      </c>
      <c r="O32" t="s">
        <v>2303</v>
      </c>
      <c r="P32">
        <v>1.7529012619929225E-5</v>
      </c>
      <c r="Q32" t="s">
        <v>238</v>
      </c>
      <c r="S32" t="s">
        <v>347</v>
      </c>
      <c r="T32" t="s">
        <v>2303</v>
      </c>
      <c r="U32">
        <v>8.8871897880432792E-6</v>
      </c>
      <c r="V32" t="s">
        <v>238</v>
      </c>
      <c r="X32">
        <v>1.1415525114155251E-4</v>
      </c>
      <c r="Y32">
        <v>1.4585353321897093E-5</v>
      </c>
      <c r="Z32" t="s">
        <v>2303</v>
      </c>
      <c r="AA32" t="s">
        <v>25</v>
      </c>
      <c r="AC32" t="s">
        <v>22</v>
      </c>
      <c r="AD32" t="s">
        <v>2303</v>
      </c>
      <c r="AE32">
        <v>6.0719843190951115E-5</v>
      </c>
      <c r="AG32" t="s">
        <v>97</v>
      </c>
      <c r="AH32" t="s">
        <v>2303</v>
      </c>
      <c r="AI32">
        <v>0</v>
      </c>
    </row>
    <row r="33" spans="5:35" x14ac:dyDescent="0.45">
      <c r="E33" t="s">
        <v>224</v>
      </c>
      <c r="G33" t="s">
        <v>149</v>
      </c>
      <c r="I33" t="s">
        <v>236</v>
      </c>
      <c r="J33" t="s">
        <v>2304</v>
      </c>
      <c r="K33">
        <v>0</v>
      </c>
      <c r="L33" t="s">
        <v>238</v>
      </c>
      <c r="N33" t="s">
        <v>346</v>
      </c>
      <c r="O33" t="s">
        <v>2304</v>
      </c>
      <c r="P33">
        <v>1.6390494313295294E-5</v>
      </c>
      <c r="Q33" t="s">
        <v>238</v>
      </c>
      <c r="S33" t="s">
        <v>347</v>
      </c>
      <c r="T33" t="s">
        <v>2304</v>
      </c>
      <c r="U33">
        <v>1.0691273269348942E-5</v>
      </c>
      <c r="V33" t="s">
        <v>238</v>
      </c>
      <c r="X33">
        <v>1.1415525114155251E-4</v>
      </c>
      <c r="Y33">
        <v>2.1215059377304864E-5</v>
      </c>
      <c r="Z33" t="s">
        <v>2304</v>
      </c>
      <c r="AA33" t="s">
        <v>25</v>
      </c>
      <c r="AC33" t="s">
        <v>22</v>
      </c>
      <c r="AD33" t="s">
        <v>2304</v>
      </c>
      <c r="AE33">
        <v>6.1235771598518212E-5</v>
      </c>
      <c r="AG33" t="s">
        <v>97</v>
      </c>
      <c r="AH33" t="s">
        <v>2304</v>
      </c>
      <c r="AI33">
        <v>0</v>
      </c>
    </row>
    <row r="34" spans="5:35" x14ac:dyDescent="0.45">
      <c r="E34" t="s">
        <v>225</v>
      </c>
      <c r="G34" t="s">
        <v>149</v>
      </c>
      <c r="I34" t="s">
        <v>236</v>
      </c>
      <c r="J34" t="s">
        <v>2305</v>
      </c>
      <c r="K34">
        <v>0</v>
      </c>
      <c r="L34" t="s">
        <v>238</v>
      </c>
      <c r="N34" t="s">
        <v>346</v>
      </c>
      <c r="O34" t="s">
        <v>2305</v>
      </c>
      <c r="P34">
        <v>1.303933586582716E-5</v>
      </c>
      <c r="Q34" t="s">
        <v>238</v>
      </c>
      <c r="S34" t="s">
        <v>347</v>
      </c>
      <c r="T34" t="s">
        <v>2305</v>
      </c>
      <c r="U34">
        <v>1.0277228536526072E-5</v>
      </c>
      <c r="V34" t="s">
        <v>238</v>
      </c>
      <c r="X34">
        <v>1.1415525114155251E-4</v>
      </c>
      <c r="Y34">
        <v>5.7678442682047593E-5</v>
      </c>
      <c r="Z34" t="s">
        <v>2305</v>
      </c>
      <c r="AA34" t="s">
        <v>25</v>
      </c>
      <c r="AC34" t="s">
        <v>22</v>
      </c>
      <c r="AD34" t="s">
        <v>2305</v>
      </c>
      <c r="AE34">
        <v>6.2611580685363794E-5</v>
      </c>
      <c r="AG34" t="s">
        <v>97</v>
      </c>
      <c r="AH34" t="s">
        <v>2305</v>
      </c>
      <c r="AI34">
        <v>0</v>
      </c>
    </row>
    <row r="35" spans="5:35" x14ac:dyDescent="0.45">
      <c r="E35" t="s">
        <v>226</v>
      </c>
      <c r="G35" t="s">
        <v>146</v>
      </c>
      <c r="I35" t="s">
        <v>236</v>
      </c>
      <c r="J35" t="s">
        <v>2306</v>
      </c>
      <c r="K35">
        <v>0</v>
      </c>
      <c r="L35" t="s">
        <v>238</v>
      </c>
      <c r="N35" t="s">
        <v>346</v>
      </c>
      <c r="O35" t="s">
        <v>2306</v>
      </c>
      <c r="P35">
        <v>1.0685070718111404E-5</v>
      </c>
      <c r="Q35" t="s">
        <v>238</v>
      </c>
      <c r="S35" t="s">
        <v>347</v>
      </c>
      <c r="T35" t="s">
        <v>2306</v>
      </c>
      <c r="U35">
        <v>1.073436312023141E-5</v>
      </c>
      <c r="V35" t="s">
        <v>238</v>
      </c>
      <c r="X35">
        <v>1.1415525114155251E-4</v>
      </c>
      <c r="Y35">
        <v>1.6905750441289813E-4</v>
      </c>
      <c r="Z35" t="s">
        <v>2306</v>
      </c>
      <c r="AA35" t="s">
        <v>25</v>
      </c>
      <c r="AC35" t="s">
        <v>22</v>
      </c>
      <c r="AD35" t="s">
        <v>2306</v>
      </c>
      <c r="AE35">
        <v>7.4240033738140002E-5</v>
      </c>
      <c r="AG35" t="s">
        <v>97</v>
      </c>
      <c r="AH35" t="s">
        <v>2306</v>
      </c>
      <c r="AI35">
        <v>0</v>
      </c>
    </row>
    <row r="36" spans="5:35" x14ac:dyDescent="0.45">
      <c r="E36" t="s">
        <v>227</v>
      </c>
      <c r="G36" t="s">
        <v>146</v>
      </c>
      <c r="I36" t="s">
        <v>236</v>
      </c>
      <c r="J36" t="s">
        <v>2307</v>
      </c>
      <c r="K36">
        <v>8.6959533267832638E-6</v>
      </c>
      <c r="L36" t="s">
        <v>238</v>
      </c>
      <c r="N36" t="s">
        <v>346</v>
      </c>
      <c r="O36" t="s">
        <v>2307</v>
      </c>
      <c r="P36">
        <v>1.0419011915756948E-5</v>
      </c>
      <c r="Q36" t="s">
        <v>238</v>
      </c>
      <c r="S36" t="s">
        <v>347</v>
      </c>
      <c r="T36" t="s">
        <v>2307</v>
      </c>
      <c r="U36">
        <v>1.2326624382868296E-5</v>
      </c>
      <c r="V36" t="s">
        <v>238</v>
      </c>
      <c r="X36">
        <v>1.1415525114155251E-4</v>
      </c>
      <c r="Y36">
        <v>1.9060404909297337E-4</v>
      </c>
      <c r="Z36" t="s">
        <v>2307</v>
      </c>
      <c r="AA36" t="s">
        <v>25</v>
      </c>
      <c r="AC36" t="s">
        <v>22</v>
      </c>
      <c r="AD36" t="s">
        <v>2307</v>
      </c>
      <c r="AE36">
        <v>8.6854483303155531E-5</v>
      </c>
      <c r="AG36" t="s">
        <v>97</v>
      </c>
      <c r="AH36" t="s">
        <v>2307</v>
      </c>
      <c r="AI36">
        <v>0</v>
      </c>
    </row>
    <row r="37" spans="5:35" x14ac:dyDescent="0.45">
      <c r="E37" t="s">
        <v>228</v>
      </c>
      <c r="G37" t="s">
        <v>146</v>
      </c>
      <c r="I37" t="s">
        <v>236</v>
      </c>
      <c r="J37" t="s">
        <v>2308</v>
      </c>
      <c r="K37">
        <v>2.8022329701780007E-5</v>
      </c>
      <c r="L37" t="s">
        <v>238</v>
      </c>
      <c r="N37" t="s">
        <v>346</v>
      </c>
      <c r="O37" t="s">
        <v>2308</v>
      </c>
      <c r="P37">
        <v>1.02718956039358E-5</v>
      </c>
      <c r="Q37" t="s">
        <v>238</v>
      </c>
      <c r="S37" t="s">
        <v>347</v>
      </c>
      <c r="T37" t="s">
        <v>2308</v>
      </c>
      <c r="U37">
        <v>1.4757504529974031E-5</v>
      </c>
      <c r="V37" t="s">
        <v>238</v>
      </c>
      <c r="X37">
        <v>1.1415525114155251E-4</v>
      </c>
      <c r="Y37">
        <v>1.4585353321897094E-4</v>
      </c>
      <c r="Z37" t="s">
        <v>2308</v>
      </c>
      <c r="AA37" t="s">
        <v>25</v>
      </c>
      <c r="AC37" t="s">
        <v>22</v>
      </c>
      <c r="AD37" t="s">
        <v>2308</v>
      </c>
      <c r="AE37">
        <v>9.341537288605046E-5</v>
      </c>
      <c r="AG37" t="s">
        <v>97</v>
      </c>
      <c r="AH37" t="s">
        <v>2308</v>
      </c>
      <c r="AI37">
        <v>0</v>
      </c>
    </row>
    <row r="38" spans="5:35" x14ac:dyDescent="0.45">
      <c r="E38" t="s">
        <v>229</v>
      </c>
      <c r="G38" t="s">
        <v>146</v>
      </c>
      <c r="I38" t="s">
        <v>236</v>
      </c>
      <c r="J38" t="s">
        <v>2309</v>
      </c>
      <c r="K38">
        <v>4.7613538160050058E-5</v>
      </c>
      <c r="L38" t="s">
        <v>238</v>
      </c>
      <c r="N38" t="s">
        <v>346</v>
      </c>
      <c r="O38" t="s">
        <v>2309</v>
      </c>
      <c r="P38">
        <v>9.4404321569721215E-6</v>
      </c>
      <c r="Q38" t="s">
        <v>238</v>
      </c>
      <c r="S38" t="s">
        <v>347</v>
      </c>
      <c r="T38" t="s">
        <v>2309</v>
      </c>
      <c r="U38">
        <v>1.7442292261083336E-5</v>
      </c>
      <c r="V38" t="s">
        <v>238</v>
      </c>
      <c r="X38">
        <v>1.1415525114155251E-4</v>
      </c>
      <c r="Y38">
        <v>1.4452759200788939E-4</v>
      </c>
      <c r="Z38" t="s">
        <v>2309</v>
      </c>
      <c r="AA38" t="s">
        <v>25</v>
      </c>
      <c r="AC38" t="s">
        <v>22</v>
      </c>
      <c r="AD38" t="s">
        <v>2309</v>
      </c>
      <c r="AE38">
        <v>9.6141194639363275E-5</v>
      </c>
      <c r="AG38" t="s">
        <v>97</v>
      </c>
      <c r="AH38" t="s">
        <v>2309</v>
      </c>
      <c r="AI38">
        <v>0</v>
      </c>
    </row>
    <row r="39" spans="5:35" x14ac:dyDescent="0.45">
      <c r="E39" t="s">
        <v>230</v>
      </c>
      <c r="G39" t="s">
        <v>146</v>
      </c>
      <c r="I39" t="s">
        <v>236</v>
      </c>
      <c r="J39" t="s">
        <v>2310</v>
      </c>
      <c r="K39">
        <v>6.8911691850348609E-5</v>
      </c>
      <c r="L39" t="s">
        <v>238</v>
      </c>
      <c r="N39" t="s">
        <v>346</v>
      </c>
      <c r="O39" t="s">
        <v>2310</v>
      </c>
      <c r="P39">
        <v>7.7715796828536144E-6</v>
      </c>
      <c r="Q39" t="s">
        <v>238</v>
      </c>
      <c r="S39" t="s">
        <v>347</v>
      </c>
      <c r="T39" t="s">
        <v>2310</v>
      </c>
      <c r="U39">
        <v>1.9139744935954811E-5</v>
      </c>
      <c r="V39" t="s">
        <v>238</v>
      </c>
      <c r="X39">
        <v>1.1415525114155251E-4</v>
      </c>
      <c r="Y39">
        <v>1.408812536774151E-4</v>
      </c>
      <c r="Z39" t="s">
        <v>2310</v>
      </c>
      <c r="AA39" t="s">
        <v>25</v>
      </c>
      <c r="AC39" t="s">
        <v>22</v>
      </c>
      <c r="AD39" t="s">
        <v>2310</v>
      </c>
      <c r="AE39">
        <v>9.4966024377682678E-5</v>
      </c>
      <c r="AG39" t="s">
        <v>97</v>
      </c>
      <c r="AH39" t="s">
        <v>2310</v>
      </c>
      <c r="AI39">
        <v>0</v>
      </c>
    </row>
    <row r="40" spans="5:35" x14ac:dyDescent="0.45">
      <c r="E40" t="s">
        <v>231</v>
      </c>
      <c r="G40" t="s">
        <v>146</v>
      </c>
      <c r="I40" t="s">
        <v>236</v>
      </c>
      <c r="J40" t="s">
        <v>2311</v>
      </c>
      <c r="K40">
        <v>8.8078731657053553E-5</v>
      </c>
      <c r="L40" t="s">
        <v>238</v>
      </c>
      <c r="N40" t="s">
        <v>346</v>
      </c>
      <c r="O40" t="s">
        <v>2311</v>
      </c>
      <c r="P40">
        <v>7.6434829553905244E-6</v>
      </c>
      <c r="Q40" t="s">
        <v>238</v>
      </c>
      <c r="S40" t="s">
        <v>347</v>
      </c>
      <c r="T40" t="s">
        <v>2311</v>
      </c>
      <c r="U40">
        <v>2.1849473281409998E-5</v>
      </c>
      <c r="V40" t="s">
        <v>238</v>
      </c>
      <c r="X40">
        <v>1.1415525114155251E-4</v>
      </c>
      <c r="Y40">
        <v>1.4054976837464471E-4</v>
      </c>
      <c r="Z40" t="s">
        <v>2311</v>
      </c>
      <c r="AA40" t="s">
        <v>25</v>
      </c>
      <c r="AC40" t="s">
        <v>22</v>
      </c>
      <c r="AD40" t="s">
        <v>2311</v>
      </c>
      <c r="AE40">
        <v>9.4880036309754831E-5</v>
      </c>
      <c r="AG40" t="s">
        <v>97</v>
      </c>
      <c r="AH40" t="s">
        <v>2311</v>
      </c>
      <c r="AI40">
        <v>0</v>
      </c>
    </row>
    <row r="41" spans="5:35" x14ac:dyDescent="0.45">
      <c r="E41" t="s">
        <v>232</v>
      </c>
      <c r="G41" t="s">
        <v>146</v>
      </c>
      <c r="I41" t="s">
        <v>236</v>
      </c>
      <c r="J41" t="s">
        <v>2312</v>
      </c>
      <c r="K41">
        <v>9.9134479780565107E-5</v>
      </c>
      <c r="L41" t="s">
        <v>238</v>
      </c>
      <c r="N41" t="s">
        <v>346</v>
      </c>
      <c r="O41" t="s">
        <v>2312</v>
      </c>
      <c r="P41">
        <v>1.1930199972543029E-5</v>
      </c>
      <c r="Q41" t="s">
        <v>238</v>
      </c>
      <c r="S41" t="s">
        <v>347</v>
      </c>
      <c r="T41" t="s">
        <v>2312</v>
      </c>
      <c r="U41">
        <v>2.2551867428991071E-5</v>
      </c>
      <c r="V41" t="s">
        <v>238</v>
      </c>
      <c r="X41">
        <v>1.1415525114155251E-4</v>
      </c>
      <c r="Y41">
        <v>1.4253868019126702E-4</v>
      </c>
      <c r="Z41" t="s">
        <v>2312</v>
      </c>
      <c r="AA41" t="s">
        <v>25</v>
      </c>
      <c r="AC41" t="s">
        <v>22</v>
      </c>
      <c r="AD41" t="s">
        <v>2312</v>
      </c>
      <c r="AE41">
        <v>9.4576211803076431E-5</v>
      </c>
      <c r="AG41" t="s">
        <v>97</v>
      </c>
      <c r="AH41" t="s">
        <v>2312</v>
      </c>
      <c r="AI41">
        <v>0</v>
      </c>
    </row>
    <row r="42" spans="5:35" x14ac:dyDescent="0.45">
      <c r="E42" t="s">
        <v>233</v>
      </c>
      <c r="G42" t="s">
        <v>146</v>
      </c>
      <c r="I42" t="s">
        <v>236</v>
      </c>
      <c r="J42" t="s">
        <v>2313</v>
      </c>
      <c r="K42">
        <v>1.124954710961E-4</v>
      </c>
      <c r="L42" t="s">
        <v>238</v>
      </c>
      <c r="N42" t="s">
        <v>346</v>
      </c>
      <c r="O42" t="s">
        <v>2313</v>
      </c>
      <c r="P42">
        <v>1.5170722051069231E-5</v>
      </c>
      <c r="Q42" t="s">
        <v>238</v>
      </c>
      <c r="S42" t="s">
        <v>347</v>
      </c>
      <c r="T42" t="s">
        <v>2313</v>
      </c>
      <c r="U42">
        <v>2.4054920438718008E-5</v>
      </c>
      <c r="V42" t="s">
        <v>238</v>
      </c>
      <c r="X42">
        <v>1.1415525114155251E-4</v>
      </c>
      <c r="Y42">
        <v>1.4883690094390442E-4</v>
      </c>
      <c r="Z42" t="s">
        <v>2313</v>
      </c>
      <c r="AA42" t="s">
        <v>25</v>
      </c>
      <c r="AC42" t="s">
        <v>22</v>
      </c>
      <c r="AD42" t="s">
        <v>2313</v>
      </c>
      <c r="AE42">
        <v>9.3555820063665921E-5</v>
      </c>
      <c r="AG42" t="s">
        <v>97</v>
      </c>
      <c r="AH42" t="s">
        <v>2313</v>
      </c>
      <c r="AI42">
        <v>0</v>
      </c>
    </row>
    <row r="43" spans="5:35" x14ac:dyDescent="0.45">
      <c r="E43" t="s">
        <v>234</v>
      </c>
      <c r="G43" t="s">
        <v>146</v>
      </c>
      <c r="I43" t="s">
        <v>236</v>
      </c>
      <c r="J43" t="s">
        <v>2314</v>
      </c>
      <c r="K43">
        <v>1.0325776692539999E-4</v>
      </c>
      <c r="L43" t="s">
        <v>238</v>
      </c>
      <c r="N43" t="s">
        <v>346</v>
      </c>
      <c r="O43" t="s">
        <v>2314</v>
      </c>
      <c r="P43">
        <v>1.840462191585694E-5</v>
      </c>
      <c r="Q43" t="s">
        <v>238</v>
      </c>
      <c r="S43" t="s">
        <v>347</v>
      </c>
      <c r="T43" t="s">
        <v>2314</v>
      </c>
      <c r="U43">
        <v>2.6152599690337569E-5</v>
      </c>
      <c r="V43" t="s">
        <v>238</v>
      </c>
      <c r="X43">
        <v>1.1415525114155251E-4</v>
      </c>
      <c r="Y43">
        <v>1.5049432745775637E-4</v>
      </c>
      <c r="Z43" t="s">
        <v>2314</v>
      </c>
      <c r="AA43" t="s">
        <v>25</v>
      </c>
      <c r="AC43" t="s">
        <v>22</v>
      </c>
      <c r="AD43" t="s">
        <v>2314</v>
      </c>
      <c r="AE43">
        <v>9.2876514327035927E-5</v>
      </c>
      <c r="AG43" t="s">
        <v>97</v>
      </c>
      <c r="AH43" t="s">
        <v>2314</v>
      </c>
      <c r="AI43">
        <v>0</v>
      </c>
    </row>
    <row r="44" spans="5:35" x14ac:dyDescent="0.45">
      <c r="I44" t="s">
        <v>236</v>
      </c>
      <c r="J44" t="s">
        <v>2315</v>
      </c>
      <c r="K44">
        <v>8.9447506332019633E-5</v>
      </c>
      <c r="L44" t="s">
        <v>238</v>
      </c>
      <c r="N44" t="s">
        <v>346</v>
      </c>
      <c r="O44" t="s">
        <v>2315</v>
      </c>
      <c r="P44">
        <v>1.8879600156053442E-5</v>
      </c>
      <c r="Q44" t="s">
        <v>238</v>
      </c>
      <c r="S44" t="s">
        <v>347</v>
      </c>
      <c r="T44" t="s">
        <v>2315</v>
      </c>
      <c r="U44">
        <v>2.8225475948737245E-5</v>
      </c>
      <c r="V44" t="s">
        <v>238</v>
      </c>
      <c r="X44">
        <v>1.1415525114155251E-4</v>
      </c>
      <c r="Y44">
        <v>1.7237235744060203E-4</v>
      </c>
      <c r="Z44" t="s">
        <v>2315</v>
      </c>
      <c r="AA44" t="s">
        <v>25</v>
      </c>
      <c r="AC44" t="s">
        <v>22</v>
      </c>
      <c r="AD44" t="s">
        <v>2315</v>
      </c>
      <c r="AE44">
        <v>9.3160274951197832E-5</v>
      </c>
      <c r="AG44" t="s">
        <v>97</v>
      </c>
      <c r="AH44" t="s">
        <v>2315</v>
      </c>
      <c r="AI44">
        <v>0</v>
      </c>
    </row>
    <row r="45" spans="5:35" x14ac:dyDescent="0.45">
      <c r="I45" t="s">
        <v>236</v>
      </c>
      <c r="J45" t="s">
        <v>2316</v>
      </c>
      <c r="K45">
        <v>6.0280175231801832E-5</v>
      </c>
      <c r="L45" t="s">
        <v>238</v>
      </c>
      <c r="N45" t="s">
        <v>346</v>
      </c>
      <c r="O45" t="s">
        <v>2316</v>
      </c>
      <c r="P45">
        <v>2.0105461868299867E-5</v>
      </c>
      <c r="Q45" t="s">
        <v>238</v>
      </c>
      <c r="S45" t="s">
        <v>347</v>
      </c>
      <c r="T45" t="s">
        <v>2316</v>
      </c>
      <c r="U45">
        <v>3.017158031353431E-5</v>
      </c>
      <c r="V45" t="s">
        <v>238</v>
      </c>
      <c r="X45">
        <v>1.1415525114155251E-4</v>
      </c>
      <c r="Y45">
        <v>2.2209515285616027E-4</v>
      </c>
      <c r="Z45" t="s">
        <v>2316</v>
      </c>
      <c r="AA45" t="s">
        <v>25</v>
      </c>
      <c r="AC45" t="s">
        <v>22</v>
      </c>
      <c r="AD45" t="s">
        <v>2316</v>
      </c>
      <c r="AE45">
        <v>9.4490223735148584E-5</v>
      </c>
      <c r="AG45" t="s">
        <v>97</v>
      </c>
      <c r="AH45" t="s">
        <v>2316</v>
      </c>
      <c r="AI45">
        <v>0</v>
      </c>
    </row>
    <row r="46" spans="5:35" x14ac:dyDescent="0.45">
      <c r="I46" t="s">
        <v>236</v>
      </c>
      <c r="J46" t="s">
        <v>2317</v>
      </c>
      <c r="K46">
        <v>3.3493743892819454E-5</v>
      </c>
      <c r="L46" t="s">
        <v>238</v>
      </c>
      <c r="N46" t="s">
        <v>346</v>
      </c>
      <c r="O46" t="s">
        <v>2317</v>
      </c>
      <c r="P46">
        <v>1.9834157076084809E-5</v>
      </c>
      <c r="Q46" t="s">
        <v>238</v>
      </c>
      <c r="S46" t="s">
        <v>347</v>
      </c>
      <c r="T46" t="s">
        <v>2317</v>
      </c>
      <c r="U46">
        <v>3.3880316763788743E-5</v>
      </c>
      <c r="V46" t="s">
        <v>238</v>
      </c>
      <c r="X46">
        <v>1.1415525114155251E-4</v>
      </c>
      <c r="Y46">
        <v>2.2209515285616027E-4</v>
      </c>
      <c r="Z46" t="s">
        <v>2317</v>
      </c>
      <c r="AA46" t="s">
        <v>25</v>
      </c>
      <c r="AC46" t="s">
        <v>22</v>
      </c>
      <c r="AD46" t="s">
        <v>2317</v>
      </c>
      <c r="AE46">
        <v>9.4748187938932112E-5</v>
      </c>
      <c r="AG46" t="s">
        <v>97</v>
      </c>
      <c r="AH46" t="s">
        <v>2317</v>
      </c>
      <c r="AI46">
        <v>0</v>
      </c>
    </row>
    <row r="47" spans="5:35" x14ac:dyDescent="0.45">
      <c r="I47" t="s">
        <v>236</v>
      </c>
      <c r="J47" t="s">
        <v>2318</v>
      </c>
      <c r="K47">
        <v>2.9970651830318938E-6</v>
      </c>
      <c r="L47" t="s">
        <v>238</v>
      </c>
      <c r="N47" t="s">
        <v>346</v>
      </c>
      <c r="O47" t="s">
        <v>2318</v>
      </c>
      <c r="P47">
        <v>2.2973244542486662E-5</v>
      </c>
      <c r="Q47" t="s">
        <v>238</v>
      </c>
      <c r="S47" t="s">
        <v>347</v>
      </c>
      <c r="T47" t="s">
        <v>2318</v>
      </c>
      <c r="U47">
        <v>4.0033961758395852E-5</v>
      </c>
      <c r="V47" t="s">
        <v>238</v>
      </c>
      <c r="X47">
        <v>1.1415525114155251E-4</v>
      </c>
      <c r="Y47">
        <v>1.7237235744060203E-4</v>
      </c>
      <c r="Z47" t="s">
        <v>2318</v>
      </c>
      <c r="AA47" t="s">
        <v>25</v>
      </c>
      <c r="AC47" t="s">
        <v>22</v>
      </c>
      <c r="AD47" t="s">
        <v>2318</v>
      </c>
      <c r="AE47">
        <v>9.479404824182697E-5</v>
      </c>
      <c r="AG47" t="s">
        <v>97</v>
      </c>
      <c r="AH47" t="s">
        <v>2318</v>
      </c>
      <c r="AI47">
        <v>0</v>
      </c>
    </row>
    <row r="48" spans="5:35" x14ac:dyDescent="0.45">
      <c r="I48" t="s">
        <v>236</v>
      </c>
      <c r="J48" t="s">
        <v>2319</v>
      </c>
      <c r="K48">
        <v>0</v>
      </c>
      <c r="L48" t="s">
        <v>238</v>
      </c>
      <c r="N48" t="s">
        <v>346</v>
      </c>
      <c r="O48" t="s">
        <v>2319</v>
      </c>
      <c r="P48">
        <v>2.9371957733785545E-5</v>
      </c>
      <c r="Q48" t="s">
        <v>238</v>
      </c>
      <c r="S48" t="s">
        <v>347</v>
      </c>
      <c r="T48" t="s">
        <v>2319</v>
      </c>
      <c r="U48">
        <v>4.6030290978479055E-5</v>
      </c>
      <c r="V48" t="s">
        <v>238</v>
      </c>
      <c r="X48">
        <v>1.1415525114155251E-4</v>
      </c>
      <c r="Y48">
        <v>1.5579809230208258E-4</v>
      </c>
      <c r="Z48" t="s">
        <v>2319</v>
      </c>
      <c r="AA48" t="s">
        <v>25</v>
      </c>
      <c r="AC48" t="s">
        <v>22</v>
      </c>
      <c r="AD48" t="s">
        <v>2319</v>
      </c>
      <c r="AE48">
        <v>9.4928762881580603E-5</v>
      </c>
      <c r="AG48" t="s">
        <v>97</v>
      </c>
      <c r="AH48" t="s">
        <v>2319</v>
      </c>
      <c r="AI48">
        <v>0</v>
      </c>
    </row>
    <row r="49" spans="9:35" x14ac:dyDescent="0.45">
      <c r="I49" t="s">
        <v>236</v>
      </c>
      <c r="J49" t="s">
        <v>2320</v>
      </c>
      <c r="K49">
        <v>0</v>
      </c>
      <c r="L49" t="s">
        <v>238</v>
      </c>
      <c r="N49" t="s">
        <v>346</v>
      </c>
      <c r="O49" t="s">
        <v>2320</v>
      </c>
      <c r="P49">
        <v>3.3904847763952998E-5</v>
      </c>
      <c r="Q49" t="s">
        <v>238</v>
      </c>
      <c r="S49" t="s">
        <v>347</v>
      </c>
      <c r="T49" t="s">
        <v>2320</v>
      </c>
      <c r="U49">
        <v>5.0388052655111682E-5</v>
      </c>
      <c r="V49" t="s">
        <v>238</v>
      </c>
      <c r="X49">
        <v>1.1415525114155251E-4</v>
      </c>
      <c r="Y49">
        <v>1.093901499142282E-4</v>
      </c>
      <c r="Z49" t="s">
        <v>2320</v>
      </c>
      <c r="AA49" t="s">
        <v>25</v>
      </c>
      <c r="AC49" t="s">
        <v>22</v>
      </c>
      <c r="AD49" t="s">
        <v>2320</v>
      </c>
      <c r="AE49">
        <v>9.3249129288056607E-5</v>
      </c>
      <c r="AG49" t="s">
        <v>97</v>
      </c>
      <c r="AH49" t="s">
        <v>2320</v>
      </c>
      <c r="AI49">
        <v>0</v>
      </c>
    </row>
    <row r="50" spans="9:35" x14ac:dyDescent="0.45">
      <c r="I50" t="s">
        <v>236</v>
      </c>
      <c r="J50" t="s">
        <v>2321</v>
      </c>
      <c r="K50">
        <v>0</v>
      </c>
      <c r="L50" t="s">
        <v>238</v>
      </c>
      <c r="N50" t="s">
        <v>346</v>
      </c>
      <c r="O50" t="s">
        <v>2321</v>
      </c>
      <c r="P50">
        <v>3.9185236963807563E-5</v>
      </c>
      <c r="Q50" t="s">
        <v>238</v>
      </c>
      <c r="S50" t="s">
        <v>347</v>
      </c>
      <c r="T50" t="s">
        <v>2321</v>
      </c>
      <c r="U50">
        <v>5.8974037720713233E-5</v>
      </c>
      <c r="V50" t="s">
        <v>238</v>
      </c>
      <c r="X50">
        <v>1.1415525114155251E-4</v>
      </c>
      <c r="Y50">
        <v>7.9556472664893237E-5</v>
      </c>
      <c r="Z50" t="s">
        <v>2321</v>
      </c>
      <c r="AA50" t="s">
        <v>25</v>
      </c>
      <c r="AC50" t="s">
        <v>22</v>
      </c>
      <c r="AD50" t="s">
        <v>2321</v>
      </c>
      <c r="AE50">
        <v>8.7966595648355744E-5</v>
      </c>
      <c r="AG50" t="s">
        <v>97</v>
      </c>
      <c r="AH50" t="s">
        <v>2321</v>
      </c>
      <c r="AI50">
        <v>0</v>
      </c>
    </row>
    <row r="51" spans="9:35" x14ac:dyDescent="0.45">
      <c r="I51" t="s">
        <v>236</v>
      </c>
      <c r="J51" t="s">
        <v>2322</v>
      </c>
      <c r="K51">
        <v>0</v>
      </c>
      <c r="L51" t="s">
        <v>238</v>
      </c>
      <c r="N51" t="s">
        <v>346</v>
      </c>
      <c r="O51" t="s">
        <v>2322</v>
      </c>
      <c r="P51">
        <v>4.7913592449489336E-5</v>
      </c>
      <c r="Q51" t="s">
        <v>238</v>
      </c>
      <c r="S51" t="s">
        <v>347</v>
      </c>
      <c r="T51" t="s">
        <v>2322</v>
      </c>
      <c r="U51">
        <v>7.4289607544449733E-5</v>
      </c>
      <c r="V51" t="s">
        <v>238</v>
      </c>
      <c r="X51">
        <v>1.1415525114155251E-4</v>
      </c>
      <c r="Y51">
        <v>5.6352501470966035E-5</v>
      </c>
      <c r="Z51" t="s">
        <v>2322</v>
      </c>
      <c r="AA51" t="s">
        <v>25</v>
      </c>
      <c r="AC51" t="s">
        <v>22</v>
      </c>
      <c r="AD51" t="s">
        <v>2322</v>
      </c>
      <c r="AE51">
        <v>8.8551314510265094E-5</v>
      </c>
      <c r="AG51" t="s">
        <v>97</v>
      </c>
      <c r="AH51" t="s">
        <v>2322</v>
      </c>
      <c r="AI51">
        <v>0</v>
      </c>
    </row>
    <row r="52" spans="9:35" x14ac:dyDescent="0.45">
      <c r="I52" t="s">
        <v>236</v>
      </c>
      <c r="J52" t="s">
        <v>2323</v>
      </c>
      <c r="K52">
        <v>0</v>
      </c>
      <c r="L52" t="s">
        <v>238</v>
      </c>
      <c r="N52" t="s">
        <v>346</v>
      </c>
      <c r="O52" t="s">
        <v>2323</v>
      </c>
      <c r="P52">
        <v>5.0412180859024105E-5</v>
      </c>
      <c r="Q52" t="s">
        <v>238</v>
      </c>
      <c r="S52" t="s">
        <v>347</v>
      </c>
      <c r="T52" t="s">
        <v>2323</v>
      </c>
      <c r="U52">
        <v>7.5977040902880293E-5</v>
      </c>
      <c r="V52" t="s">
        <v>238</v>
      </c>
      <c r="X52">
        <v>1.1415525114155251E-4</v>
      </c>
      <c r="Y52">
        <v>2.9833677249334962E-5</v>
      </c>
      <c r="Z52" t="s">
        <v>2323</v>
      </c>
      <c r="AA52" t="s">
        <v>25</v>
      </c>
      <c r="AC52" t="s">
        <v>22</v>
      </c>
      <c r="AD52" t="s">
        <v>2323</v>
      </c>
      <c r="AE52">
        <v>7.8390391150124226E-5</v>
      </c>
      <c r="AG52" t="s">
        <v>97</v>
      </c>
      <c r="AH52" t="s">
        <v>2323</v>
      </c>
      <c r="AI52">
        <v>0</v>
      </c>
    </row>
    <row r="53" spans="9:35" x14ac:dyDescent="0.45">
      <c r="I53" t="s">
        <v>236</v>
      </c>
      <c r="J53" t="s">
        <v>328</v>
      </c>
      <c r="K53">
        <v>0</v>
      </c>
      <c r="L53" t="s">
        <v>238</v>
      </c>
      <c r="N53" t="s">
        <v>346</v>
      </c>
      <c r="O53" t="s">
        <v>328</v>
      </c>
      <c r="P53">
        <v>2.3270983243587194E-2</v>
      </c>
      <c r="Q53" t="s">
        <v>238</v>
      </c>
      <c r="S53" t="s">
        <v>347</v>
      </c>
      <c r="T53" t="s">
        <v>328</v>
      </c>
      <c r="U53">
        <v>2.3147017709462602E-2</v>
      </c>
      <c r="V53" t="s">
        <v>238</v>
      </c>
      <c r="X53">
        <v>2.0547945205479451E-2</v>
      </c>
      <c r="Y53">
        <v>4.3954951147353507E-3</v>
      </c>
      <c r="Z53" t="s">
        <v>328</v>
      </c>
      <c r="AA53" t="s">
        <v>25</v>
      </c>
      <c r="AC53" t="s">
        <v>22</v>
      </c>
      <c r="AD53" t="s">
        <v>328</v>
      </c>
      <c r="AE53">
        <v>1.5405648074805758E-2</v>
      </c>
      <c r="AG53" t="s">
        <v>97</v>
      </c>
      <c r="AH53" t="s">
        <v>328</v>
      </c>
      <c r="AI53">
        <v>0.22401999671530937</v>
      </c>
    </row>
    <row r="54" spans="9:35" x14ac:dyDescent="0.45">
      <c r="I54" t="s">
        <v>236</v>
      </c>
      <c r="J54" t="s">
        <v>329</v>
      </c>
      <c r="K54">
        <v>0</v>
      </c>
      <c r="L54" t="s">
        <v>238</v>
      </c>
      <c r="N54" t="s">
        <v>346</v>
      </c>
      <c r="O54" t="s">
        <v>329</v>
      </c>
      <c r="P54">
        <v>3.8521435915883453E-3</v>
      </c>
      <c r="Q54" t="s">
        <v>238</v>
      </c>
      <c r="S54" t="s">
        <v>347</v>
      </c>
      <c r="T54" t="s">
        <v>329</v>
      </c>
      <c r="U54">
        <v>3.7017099285008054E-3</v>
      </c>
      <c r="V54" t="s">
        <v>238</v>
      </c>
      <c r="X54">
        <v>3.4246575342465752E-3</v>
      </c>
      <c r="Y54">
        <v>5.0717251323869452E-3</v>
      </c>
      <c r="Z54" t="s">
        <v>329</v>
      </c>
      <c r="AA54" t="s">
        <v>25</v>
      </c>
      <c r="AC54" t="s">
        <v>22</v>
      </c>
      <c r="AD54" t="s">
        <v>329</v>
      </c>
      <c r="AE54">
        <v>3.6545444845130057E-3</v>
      </c>
      <c r="AG54" t="s">
        <v>97</v>
      </c>
      <c r="AH54" t="s">
        <v>329</v>
      </c>
      <c r="AI54">
        <v>0.11358643172197058</v>
      </c>
    </row>
    <row r="55" spans="9:35" x14ac:dyDescent="0.45">
      <c r="I55" t="s">
        <v>236</v>
      </c>
      <c r="J55" t="s">
        <v>330</v>
      </c>
      <c r="K55">
        <v>1.0476133313176833E-4</v>
      </c>
      <c r="L55" t="s">
        <v>238</v>
      </c>
      <c r="N55" t="s">
        <v>346</v>
      </c>
      <c r="O55" t="s">
        <v>330</v>
      </c>
      <c r="P55">
        <v>3.8484639890142948E-3</v>
      </c>
      <c r="Q55" t="s">
        <v>238</v>
      </c>
      <c r="S55" t="s">
        <v>347</v>
      </c>
      <c r="T55" t="s">
        <v>330</v>
      </c>
      <c r="U55">
        <v>3.7344516712660824E-3</v>
      </c>
      <c r="V55" t="s">
        <v>238</v>
      </c>
      <c r="X55">
        <v>3.4246575342465752E-3</v>
      </c>
      <c r="Y55">
        <v>5.7181214727892006E-3</v>
      </c>
      <c r="Z55" t="s">
        <v>330</v>
      </c>
      <c r="AA55" t="s">
        <v>25</v>
      </c>
      <c r="AC55" t="s">
        <v>22</v>
      </c>
      <c r="AD55" t="s">
        <v>330</v>
      </c>
      <c r="AE55">
        <v>3.8592792079802851E-3</v>
      </c>
      <c r="AG55" t="s">
        <v>97</v>
      </c>
      <c r="AH55" t="s">
        <v>330</v>
      </c>
      <c r="AI55">
        <v>9.6767771206650144E-2</v>
      </c>
    </row>
    <row r="56" spans="9:35" x14ac:dyDescent="0.45">
      <c r="I56" t="s">
        <v>236</v>
      </c>
      <c r="J56" t="s">
        <v>331</v>
      </c>
      <c r="K56">
        <v>1.2538470161843739E-3</v>
      </c>
      <c r="L56" t="s">
        <v>238</v>
      </c>
      <c r="N56" t="s">
        <v>346</v>
      </c>
      <c r="O56" t="s">
        <v>331</v>
      </c>
      <c r="P56">
        <v>3.8119593032673637E-3</v>
      </c>
      <c r="Q56" t="s">
        <v>238</v>
      </c>
      <c r="S56" t="s">
        <v>347</v>
      </c>
      <c r="T56" t="s">
        <v>331</v>
      </c>
      <c r="U56">
        <v>3.7651324667083864E-3</v>
      </c>
      <c r="V56" t="s">
        <v>238</v>
      </c>
      <c r="X56">
        <v>3.4246575342465752E-3</v>
      </c>
      <c r="Y56">
        <v>4.3756059965691279E-3</v>
      </c>
      <c r="Z56" t="s">
        <v>331</v>
      </c>
      <c r="AA56" t="s">
        <v>25</v>
      </c>
      <c r="AC56" t="s">
        <v>22</v>
      </c>
      <c r="AD56" t="s">
        <v>331</v>
      </c>
      <c r="AE56">
        <v>4.0647792252521209E-3</v>
      </c>
      <c r="AG56" t="s">
        <v>97</v>
      </c>
      <c r="AH56" t="s">
        <v>331</v>
      </c>
      <c r="AI56">
        <v>9.8207429969362936E-2</v>
      </c>
    </row>
    <row r="57" spans="9:35" x14ac:dyDescent="0.45">
      <c r="I57" t="s">
        <v>236</v>
      </c>
      <c r="J57" t="s">
        <v>332</v>
      </c>
      <c r="K57">
        <v>2.2926065465161544E-2</v>
      </c>
      <c r="L57" t="s">
        <v>238</v>
      </c>
      <c r="N57" t="s">
        <v>346</v>
      </c>
      <c r="O57" t="s">
        <v>332</v>
      </c>
      <c r="P57">
        <v>2.1471016169551323E-2</v>
      </c>
      <c r="Q57" t="s">
        <v>238</v>
      </c>
      <c r="S57" t="s">
        <v>347</v>
      </c>
      <c r="T57" t="s">
        <v>332</v>
      </c>
      <c r="U57">
        <v>2.2403695124684743E-2</v>
      </c>
      <c r="V57" t="s">
        <v>238</v>
      </c>
      <c r="X57">
        <v>2.0547945205479451E-2</v>
      </c>
      <c r="Y57">
        <v>2.603485567958631E-2</v>
      </c>
      <c r="Z57" t="s">
        <v>332</v>
      </c>
      <c r="AA57" t="s">
        <v>25</v>
      </c>
      <c r="AC57" t="s">
        <v>22</v>
      </c>
      <c r="AD57" t="s">
        <v>332</v>
      </c>
      <c r="AE57">
        <v>2.4436089172168145E-2</v>
      </c>
      <c r="AG57" t="s">
        <v>97</v>
      </c>
      <c r="AH57" t="s">
        <v>332</v>
      </c>
      <c r="AI57">
        <v>0.10643838391302185</v>
      </c>
    </row>
    <row r="58" spans="9:35" x14ac:dyDescent="0.45">
      <c r="I58" t="s">
        <v>236</v>
      </c>
      <c r="J58" t="s">
        <v>333</v>
      </c>
      <c r="K58">
        <v>2.9298361358901012E-3</v>
      </c>
      <c r="L58" t="s">
        <v>238</v>
      </c>
      <c r="N58" t="s">
        <v>346</v>
      </c>
      <c r="O58" t="s">
        <v>333</v>
      </c>
      <c r="P58">
        <v>3.548369714146351E-3</v>
      </c>
      <c r="Q58" t="s">
        <v>238</v>
      </c>
      <c r="S58" t="s">
        <v>347</v>
      </c>
      <c r="T58" t="s">
        <v>333</v>
      </c>
      <c r="U58">
        <v>3.6987711250508894E-3</v>
      </c>
      <c r="V58" t="s">
        <v>238</v>
      </c>
      <c r="X58">
        <v>3.4246575342465752E-3</v>
      </c>
      <c r="Y58">
        <v>5.1711707232180593E-3</v>
      </c>
      <c r="Z58" t="s">
        <v>333</v>
      </c>
      <c r="AA58" t="s">
        <v>25</v>
      </c>
      <c r="AC58" t="s">
        <v>22</v>
      </c>
      <c r="AD58" t="s">
        <v>333</v>
      </c>
      <c r="AE58">
        <v>4.0735442756429001E-3</v>
      </c>
      <c r="AG58" t="s">
        <v>97</v>
      </c>
      <c r="AH58" t="s">
        <v>333</v>
      </c>
      <c r="AI58">
        <v>8.8781792705193041E-2</v>
      </c>
    </row>
    <row r="59" spans="9:35" x14ac:dyDescent="0.45">
      <c r="I59" t="s">
        <v>236</v>
      </c>
      <c r="J59" t="s">
        <v>334</v>
      </c>
      <c r="K59">
        <v>1.4138907096779235E-3</v>
      </c>
      <c r="L59" t="s">
        <v>238</v>
      </c>
      <c r="N59" t="s">
        <v>346</v>
      </c>
      <c r="O59" t="s">
        <v>334</v>
      </c>
      <c r="P59">
        <v>3.5428459222883462E-3</v>
      </c>
      <c r="Q59" t="s">
        <v>238</v>
      </c>
      <c r="S59" t="s">
        <v>347</v>
      </c>
      <c r="T59" t="s">
        <v>334</v>
      </c>
      <c r="U59">
        <v>3.666361487071672E-3</v>
      </c>
      <c r="V59" t="s">
        <v>238</v>
      </c>
      <c r="X59">
        <v>3.4246575342465752E-3</v>
      </c>
      <c r="Y59">
        <v>6.662854585684809E-3</v>
      </c>
      <c r="Z59" t="s">
        <v>334</v>
      </c>
      <c r="AA59" t="s">
        <v>25</v>
      </c>
      <c r="AC59" t="s">
        <v>22</v>
      </c>
      <c r="AD59" t="s">
        <v>334</v>
      </c>
      <c r="AE59">
        <v>4.1594520880406842E-3</v>
      </c>
      <c r="AG59" t="s">
        <v>97</v>
      </c>
      <c r="AH59" t="s">
        <v>334</v>
      </c>
      <c r="AI59">
        <v>8.317484755177218E-2</v>
      </c>
    </row>
    <row r="60" spans="9:35" x14ac:dyDescent="0.45">
      <c r="I60" t="s">
        <v>236</v>
      </c>
      <c r="J60" t="s">
        <v>335</v>
      </c>
      <c r="K60">
        <v>8.1893093857031315E-5</v>
      </c>
      <c r="L60" t="s">
        <v>238</v>
      </c>
      <c r="N60" t="s">
        <v>346</v>
      </c>
      <c r="O60" t="s">
        <v>335</v>
      </c>
      <c r="P60">
        <v>3.5743609788995074E-3</v>
      </c>
      <c r="Q60" t="s">
        <v>238</v>
      </c>
      <c r="S60" t="s">
        <v>347</v>
      </c>
      <c r="T60" t="s">
        <v>335</v>
      </c>
      <c r="U60">
        <v>3.6848351928343848E-3</v>
      </c>
      <c r="V60" t="s">
        <v>238</v>
      </c>
      <c r="X60">
        <v>3.4246575342465752E-3</v>
      </c>
      <c r="Y60">
        <v>6.662854585684809E-3</v>
      </c>
      <c r="Z60" t="s">
        <v>335</v>
      </c>
      <c r="AA60" t="s">
        <v>25</v>
      </c>
      <c r="AC60" t="s">
        <v>22</v>
      </c>
      <c r="AD60" t="s">
        <v>335</v>
      </c>
      <c r="AE60">
        <v>4.1914023878137424E-3</v>
      </c>
      <c r="AG60" t="s">
        <v>97</v>
      </c>
      <c r="AH60" t="s">
        <v>335</v>
      </c>
      <c r="AI60">
        <v>8.3920125831570491E-2</v>
      </c>
    </row>
    <row r="61" spans="9:35" x14ac:dyDescent="0.45">
      <c r="I61" t="s">
        <v>236</v>
      </c>
      <c r="J61" t="s">
        <v>336</v>
      </c>
      <c r="K61">
        <v>0</v>
      </c>
      <c r="L61" t="s">
        <v>238</v>
      </c>
      <c r="N61" t="s">
        <v>346</v>
      </c>
      <c r="O61" t="s">
        <v>336</v>
      </c>
      <c r="P61">
        <v>2.1859367861878292E-2</v>
      </c>
      <c r="Q61" t="s">
        <v>238</v>
      </c>
      <c r="S61" t="s">
        <v>347</v>
      </c>
      <c r="T61" t="s">
        <v>336</v>
      </c>
      <c r="U61">
        <v>2.2846534635290027E-2</v>
      </c>
      <c r="V61" t="s">
        <v>238</v>
      </c>
      <c r="X61">
        <v>2.0547945205479451E-2</v>
      </c>
      <c r="Y61">
        <v>1.8099097531263209E-2</v>
      </c>
      <c r="Z61" t="s">
        <v>336</v>
      </c>
      <c r="AA61" t="s">
        <v>25</v>
      </c>
      <c r="AC61" t="s">
        <v>22</v>
      </c>
      <c r="AD61" t="s">
        <v>336</v>
      </c>
      <c r="AE61">
        <v>2.1718542337258902E-2</v>
      </c>
      <c r="AG61" t="s">
        <v>97</v>
      </c>
      <c r="AH61" t="s">
        <v>336</v>
      </c>
      <c r="AI61">
        <v>0.18965932033405553</v>
      </c>
    </row>
    <row r="62" spans="9:35" x14ac:dyDescent="0.45">
      <c r="I62" t="s">
        <v>236</v>
      </c>
      <c r="J62" t="s">
        <v>337</v>
      </c>
      <c r="K62">
        <v>0</v>
      </c>
      <c r="L62" t="s">
        <v>238</v>
      </c>
      <c r="N62" t="s">
        <v>346</v>
      </c>
      <c r="O62" t="s">
        <v>337</v>
      </c>
      <c r="P62">
        <v>3.2736869650750684E-2</v>
      </c>
      <c r="Q62" t="s">
        <v>238</v>
      </c>
      <c r="S62" t="s">
        <v>347</v>
      </c>
      <c r="T62" t="s">
        <v>337</v>
      </c>
      <c r="U62">
        <v>3.0780194376606354E-2</v>
      </c>
      <c r="V62" t="s">
        <v>238</v>
      </c>
      <c r="X62">
        <v>2.1232876712328767E-2</v>
      </c>
      <c r="Y62">
        <v>4.5420116185598634E-3</v>
      </c>
      <c r="Z62" t="s">
        <v>337</v>
      </c>
      <c r="AA62" t="s">
        <v>25</v>
      </c>
      <c r="AC62" t="s">
        <v>22</v>
      </c>
      <c r="AD62" t="s">
        <v>337</v>
      </c>
      <c r="AE62">
        <v>1.6670392473391051E-2</v>
      </c>
      <c r="AG62" t="s">
        <v>97</v>
      </c>
      <c r="AH62" t="s">
        <v>337</v>
      </c>
      <c r="AI62">
        <v>0.238545611948626</v>
      </c>
    </row>
    <row r="63" spans="9:35" x14ac:dyDescent="0.45">
      <c r="I63" t="s">
        <v>236</v>
      </c>
      <c r="J63" t="s">
        <v>338</v>
      </c>
      <c r="K63">
        <v>0</v>
      </c>
      <c r="L63" t="s">
        <v>238</v>
      </c>
      <c r="N63" t="s">
        <v>346</v>
      </c>
      <c r="O63" t="s">
        <v>338</v>
      </c>
      <c r="P63">
        <v>5.6504380713402287E-3</v>
      </c>
      <c r="Q63" t="s">
        <v>238</v>
      </c>
      <c r="S63" t="s">
        <v>347</v>
      </c>
      <c r="T63" t="s">
        <v>338</v>
      </c>
      <c r="U63">
        <v>5.1882266419378802E-3</v>
      </c>
      <c r="V63" t="s">
        <v>238</v>
      </c>
      <c r="X63">
        <v>3.5388127853881279E-3</v>
      </c>
      <c r="Y63">
        <v>5.240782636799844E-3</v>
      </c>
      <c r="Z63" t="s">
        <v>338</v>
      </c>
      <c r="AA63" t="s">
        <v>25</v>
      </c>
      <c r="AC63" t="s">
        <v>22</v>
      </c>
      <c r="AD63" t="s">
        <v>338</v>
      </c>
      <c r="AE63">
        <v>4.0687610115993757E-3</v>
      </c>
      <c r="AG63" t="s">
        <v>97</v>
      </c>
      <c r="AH63" t="s">
        <v>338</v>
      </c>
      <c r="AI63">
        <v>8.8374494449703134E-2</v>
      </c>
    </row>
    <row r="64" spans="9:35" x14ac:dyDescent="0.45">
      <c r="I64" t="s">
        <v>236</v>
      </c>
      <c r="J64" t="s">
        <v>339</v>
      </c>
      <c r="K64">
        <v>0</v>
      </c>
      <c r="L64" t="s">
        <v>238</v>
      </c>
      <c r="N64" t="s">
        <v>346</v>
      </c>
      <c r="O64" t="s">
        <v>339</v>
      </c>
      <c r="P64">
        <v>5.7246561551984381E-3</v>
      </c>
      <c r="Q64" t="s">
        <v>238</v>
      </c>
      <c r="S64" t="s">
        <v>347</v>
      </c>
      <c r="T64" t="s">
        <v>339</v>
      </c>
      <c r="U64">
        <v>5.2072656259497599E-3</v>
      </c>
      <c r="V64" t="s">
        <v>238</v>
      </c>
      <c r="X64">
        <v>3.5388127853881279E-3</v>
      </c>
      <c r="Y64">
        <v>5.9087255218821738E-3</v>
      </c>
      <c r="Z64" t="s">
        <v>339</v>
      </c>
      <c r="AA64" t="s">
        <v>25</v>
      </c>
      <c r="AC64" t="s">
        <v>22</v>
      </c>
      <c r="AD64" t="s">
        <v>339</v>
      </c>
      <c r="AE64">
        <v>4.2038454000450963E-3</v>
      </c>
      <c r="AG64" t="s">
        <v>97</v>
      </c>
      <c r="AH64" t="s">
        <v>339</v>
      </c>
      <c r="AI64">
        <v>6.5091704487547197E-2</v>
      </c>
    </row>
    <row r="65" spans="9:35" x14ac:dyDescent="0.45">
      <c r="I65" t="s">
        <v>236</v>
      </c>
      <c r="J65" t="s">
        <v>340</v>
      </c>
      <c r="K65">
        <v>1.0272097371431923E-3</v>
      </c>
      <c r="L65" t="s">
        <v>238</v>
      </c>
      <c r="N65" t="s">
        <v>346</v>
      </c>
      <c r="O65" t="s">
        <v>340</v>
      </c>
      <c r="P65">
        <v>5.7849962600277742E-3</v>
      </c>
      <c r="Q65" t="s">
        <v>238</v>
      </c>
      <c r="S65" t="s">
        <v>347</v>
      </c>
      <c r="T65" t="s">
        <v>340</v>
      </c>
      <c r="U65">
        <v>5.2610554246647918E-3</v>
      </c>
      <c r="V65" t="s">
        <v>238</v>
      </c>
      <c r="X65">
        <v>3.5388127853881279E-3</v>
      </c>
      <c r="Y65">
        <v>4.521459529788099E-3</v>
      </c>
      <c r="Z65" t="s">
        <v>340</v>
      </c>
      <c r="AA65" t="s">
        <v>25</v>
      </c>
      <c r="AC65" t="s">
        <v>22</v>
      </c>
      <c r="AD65" t="s">
        <v>340</v>
      </c>
      <c r="AE65">
        <v>4.3968656823916716E-3</v>
      </c>
      <c r="AG65" t="s">
        <v>97</v>
      </c>
      <c r="AH65" t="s">
        <v>340</v>
      </c>
      <c r="AI65">
        <v>6.750385296878858E-2</v>
      </c>
    </row>
    <row r="66" spans="9:35" x14ac:dyDescent="0.45">
      <c r="I66" t="s">
        <v>236</v>
      </c>
      <c r="J66" t="s">
        <v>341</v>
      </c>
      <c r="K66">
        <v>2.7457440120741562E-2</v>
      </c>
      <c r="L66" t="s">
        <v>238</v>
      </c>
      <c r="N66" t="s">
        <v>346</v>
      </c>
      <c r="O66" t="s">
        <v>341</v>
      </c>
      <c r="P66">
        <v>3.3017485165206945E-2</v>
      </c>
      <c r="Q66" t="s">
        <v>238</v>
      </c>
      <c r="S66" t="s">
        <v>347</v>
      </c>
      <c r="T66" t="s">
        <v>341</v>
      </c>
      <c r="U66">
        <v>3.0873624967903475E-2</v>
      </c>
      <c r="V66" t="s">
        <v>238</v>
      </c>
      <c r="X66">
        <v>2.1232876712328767E-2</v>
      </c>
      <c r="Y66">
        <v>2.6902684202239187E-2</v>
      </c>
      <c r="Z66" t="s">
        <v>341</v>
      </c>
      <c r="AA66" t="s">
        <v>25</v>
      </c>
      <c r="AC66" t="s">
        <v>22</v>
      </c>
      <c r="AD66" t="s">
        <v>341</v>
      </c>
      <c r="AE66">
        <v>2.629290154620172E-2</v>
      </c>
      <c r="AG66" t="s">
        <v>97</v>
      </c>
      <c r="AH66" t="s">
        <v>341</v>
      </c>
      <c r="AI66">
        <v>8.5603790592709617E-2</v>
      </c>
    </row>
    <row r="67" spans="9:35" x14ac:dyDescent="0.45">
      <c r="I67" t="s">
        <v>236</v>
      </c>
      <c r="J67" t="s">
        <v>342</v>
      </c>
      <c r="K67">
        <v>3.8252189848232226E-3</v>
      </c>
      <c r="L67" t="s">
        <v>238</v>
      </c>
      <c r="N67" t="s">
        <v>346</v>
      </c>
      <c r="O67" t="s">
        <v>342</v>
      </c>
      <c r="P67">
        <v>5.3404639714106361E-3</v>
      </c>
      <c r="Q67" t="s">
        <v>238</v>
      </c>
      <c r="S67" t="s">
        <v>347</v>
      </c>
      <c r="T67" t="s">
        <v>342</v>
      </c>
      <c r="U67">
        <v>5.041408980011341E-3</v>
      </c>
      <c r="V67" t="s">
        <v>238</v>
      </c>
      <c r="X67">
        <v>3.5388127853881279E-3</v>
      </c>
      <c r="Y67">
        <v>5.3435430806586613E-3</v>
      </c>
      <c r="Z67" t="s">
        <v>342</v>
      </c>
      <c r="AA67" t="s">
        <v>25</v>
      </c>
      <c r="AC67" t="s">
        <v>22</v>
      </c>
      <c r="AD67" t="s">
        <v>342</v>
      </c>
      <c r="AE67">
        <v>4.3825887968467177E-3</v>
      </c>
      <c r="AG67" t="s">
        <v>97</v>
      </c>
      <c r="AH67" t="s">
        <v>342</v>
      </c>
      <c r="AI67">
        <v>7.3270473694665883E-2</v>
      </c>
    </row>
    <row r="68" spans="9:35" x14ac:dyDescent="0.45">
      <c r="I68" t="s">
        <v>236</v>
      </c>
      <c r="J68" t="s">
        <v>343</v>
      </c>
      <c r="K68">
        <v>1.0104074563618622E-3</v>
      </c>
      <c r="L68" t="s">
        <v>238</v>
      </c>
      <c r="N68" t="s">
        <v>346</v>
      </c>
      <c r="O68" t="s">
        <v>343</v>
      </c>
      <c r="P68">
        <v>5.4775786312612857E-3</v>
      </c>
      <c r="Q68" t="s">
        <v>238</v>
      </c>
      <c r="S68" t="s">
        <v>347</v>
      </c>
      <c r="T68" t="s">
        <v>343</v>
      </c>
      <c r="U68">
        <v>5.123830979424461E-3</v>
      </c>
      <c r="V68" t="s">
        <v>238</v>
      </c>
      <c r="X68">
        <v>3.5388127853881279E-3</v>
      </c>
      <c r="Y68">
        <v>6.8849497385409693E-3</v>
      </c>
      <c r="Z68" t="s">
        <v>343</v>
      </c>
      <c r="AA68" t="s">
        <v>25</v>
      </c>
      <c r="AC68" t="s">
        <v>22</v>
      </c>
      <c r="AD68" t="s">
        <v>343</v>
      </c>
      <c r="AE68">
        <v>4.467192456880929E-3</v>
      </c>
      <c r="AG68" t="s">
        <v>97</v>
      </c>
      <c r="AH68" t="s">
        <v>343</v>
      </c>
      <c r="AI68">
        <v>7.3382032846391221E-2</v>
      </c>
    </row>
    <row r="69" spans="9:35" x14ac:dyDescent="0.45">
      <c r="I69" t="s">
        <v>236</v>
      </c>
      <c r="J69" t="s">
        <v>344</v>
      </c>
      <c r="K69">
        <v>0</v>
      </c>
      <c r="L69" t="s">
        <v>238</v>
      </c>
      <c r="N69" t="s">
        <v>346</v>
      </c>
      <c r="O69" t="s">
        <v>344</v>
      </c>
      <c r="P69">
        <v>5.5579987889586074E-3</v>
      </c>
      <c r="Q69" t="s">
        <v>238</v>
      </c>
      <c r="S69" t="s">
        <v>347</v>
      </c>
      <c r="T69" t="s">
        <v>344</v>
      </c>
      <c r="U69">
        <v>5.0881884999339905E-3</v>
      </c>
      <c r="V69" t="s">
        <v>238</v>
      </c>
      <c r="X69">
        <v>3.5388127853881279E-3</v>
      </c>
      <c r="Y69">
        <v>6.8849497385409693E-3</v>
      </c>
      <c r="Z69" t="s">
        <v>344</v>
      </c>
      <c r="AA69" t="s">
        <v>25</v>
      </c>
      <c r="AC69" t="s">
        <v>22</v>
      </c>
      <c r="AD69" t="s">
        <v>344</v>
      </c>
      <c r="AE69">
        <v>4.4859837159920953E-3</v>
      </c>
      <c r="AG69" t="s">
        <v>97</v>
      </c>
      <c r="AH69" t="s">
        <v>344</v>
      </c>
      <c r="AI69">
        <v>7.2204719550229779E-2</v>
      </c>
    </row>
    <row r="70" spans="9:35" x14ac:dyDescent="0.45">
      <c r="I70" t="s">
        <v>236</v>
      </c>
      <c r="J70" t="s">
        <v>345</v>
      </c>
      <c r="K70">
        <v>0</v>
      </c>
      <c r="L70" t="s">
        <v>238</v>
      </c>
      <c r="N70" t="s">
        <v>346</v>
      </c>
      <c r="O70" t="s">
        <v>345</v>
      </c>
      <c r="P70">
        <v>3.3173230194001944E-2</v>
      </c>
      <c r="Q70" t="s">
        <v>238</v>
      </c>
      <c r="S70" t="s">
        <v>347</v>
      </c>
      <c r="T70" t="s">
        <v>345</v>
      </c>
      <c r="U70">
        <v>3.0508743271377835E-2</v>
      </c>
      <c r="V70" t="s">
        <v>238</v>
      </c>
      <c r="X70">
        <v>2.1232876712328767E-2</v>
      </c>
      <c r="Y70">
        <v>1.8702400782305319E-2</v>
      </c>
      <c r="Z70" t="s">
        <v>345</v>
      </c>
      <c r="AA70" t="s">
        <v>25</v>
      </c>
      <c r="AC70" t="s">
        <v>22</v>
      </c>
      <c r="AD70" t="s">
        <v>345</v>
      </c>
      <c r="AE70">
        <v>2.313533083755422E-2</v>
      </c>
      <c r="AG70" t="s">
        <v>97</v>
      </c>
      <c r="AH70" t="s">
        <v>345</v>
      </c>
      <c r="AI70">
        <v>0.173387686403907</v>
      </c>
    </row>
    <row r="71" spans="9:35" x14ac:dyDescent="0.45">
      <c r="AC71" t="s">
        <v>19</v>
      </c>
      <c r="AD71" t="s">
        <v>237</v>
      </c>
      <c r="AE71">
        <v>3.9707320225947071E-2</v>
      </c>
    </row>
    <row r="72" spans="9:35" x14ac:dyDescent="0.45">
      <c r="AC72" t="s">
        <v>19</v>
      </c>
      <c r="AD72" t="s">
        <v>239</v>
      </c>
      <c r="AE72">
        <v>6.7596278770507834E-3</v>
      </c>
    </row>
    <row r="73" spans="9:35" x14ac:dyDescent="0.45">
      <c r="AC73" t="s">
        <v>19</v>
      </c>
      <c r="AD73" t="s">
        <v>240</v>
      </c>
      <c r="AE73">
        <v>6.7836594249260918E-3</v>
      </c>
    </row>
    <row r="74" spans="9:35" x14ac:dyDescent="0.45">
      <c r="AC74" t="s">
        <v>19</v>
      </c>
      <c r="AD74" t="s">
        <v>241</v>
      </c>
      <c r="AE74">
        <v>6.8029382163175564E-3</v>
      </c>
    </row>
    <row r="75" spans="9:35" x14ac:dyDescent="0.45">
      <c r="AC75" t="s">
        <v>19</v>
      </c>
      <c r="AD75" t="s">
        <v>242</v>
      </c>
      <c r="AE75">
        <v>4.0840930517910011E-2</v>
      </c>
    </row>
    <row r="76" spans="9:35" x14ac:dyDescent="0.45">
      <c r="AC76" t="s">
        <v>19</v>
      </c>
      <c r="AD76" t="s">
        <v>243</v>
      </c>
      <c r="AE76">
        <v>6.8091268771139583E-3</v>
      </c>
    </row>
    <row r="77" spans="9:35" x14ac:dyDescent="0.45">
      <c r="AC77" t="s">
        <v>19</v>
      </c>
      <c r="AD77" t="s">
        <v>244</v>
      </c>
      <c r="AE77">
        <v>6.8199361796253506E-3</v>
      </c>
    </row>
    <row r="78" spans="9:35" x14ac:dyDescent="0.45">
      <c r="AC78" t="s">
        <v>19</v>
      </c>
      <c r="AD78" t="s">
        <v>245</v>
      </c>
      <c r="AE78">
        <v>6.8223878568565753E-3</v>
      </c>
    </row>
    <row r="79" spans="9:35" x14ac:dyDescent="0.45">
      <c r="AC79" t="s">
        <v>19</v>
      </c>
      <c r="AD79" t="s">
        <v>246</v>
      </c>
      <c r="AE79">
        <v>4.0494564167635499E-2</v>
      </c>
    </row>
    <row r="80" spans="9:35" x14ac:dyDescent="0.45">
      <c r="AC80" t="s">
        <v>19</v>
      </c>
      <c r="AD80" t="s">
        <v>247</v>
      </c>
      <c r="AE80">
        <v>0.16460731020736863</v>
      </c>
    </row>
    <row r="81" spans="29:31" x14ac:dyDescent="0.45">
      <c r="AC81" t="s">
        <v>19</v>
      </c>
      <c r="AD81" t="s">
        <v>248</v>
      </c>
      <c r="AE81">
        <v>2.7862458043909112E-2</v>
      </c>
    </row>
    <row r="82" spans="29:31" x14ac:dyDescent="0.45">
      <c r="AC82" t="s">
        <v>19</v>
      </c>
      <c r="AD82" t="s">
        <v>249</v>
      </c>
      <c r="AE82">
        <v>2.8005496229002183E-2</v>
      </c>
    </row>
    <row r="83" spans="29:31" x14ac:dyDescent="0.45">
      <c r="AC83" t="s">
        <v>19</v>
      </c>
      <c r="AD83" t="s">
        <v>250</v>
      </c>
      <c r="AE83">
        <v>2.808576463015211E-2</v>
      </c>
    </row>
    <row r="84" spans="29:31" x14ac:dyDescent="0.45">
      <c r="AC84" t="s">
        <v>19</v>
      </c>
      <c r="AD84" t="s">
        <v>251</v>
      </c>
      <c r="AE84">
        <v>0.16847620635115484</v>
      </c>
    </row>
    <row r="85" spans="29:31" x14ac:dyDescent="0.45">
      <c r="AC85" t="s">
        <v>19</v>
      </c>
      <c r="AD85" t="s">
        <v>252</v>
      </c>
      <c r="AE85">
        <v>2.8060271622917715E-2</v>
      </c>
    </row>
    <row r="86" spans="29:31" x14ac:dyDescent="0.45">
      <c r="AC86" t="s">
        <v>19</v>
      </c>
      <c r="AD86" t="s">
        <v>253</v>
      </c>
      <c r="AE86">
        <v>2.8066960616165981E-2</v>
      </c>
    </row>
    <row r="87" spans="29:31" x14ac:dyDescent="0.45">
      <c r="AC87" t="s">
        <v>19</v>
      </c>
      <c r="AD87" t="s">
        <v>254</v>
      </c>
      <c r="AE87">
        <v>2.8072936639688427E-2</v>
      </c>
    </row>
    <row r="88" spans="29:31" x14ac:dyDescent="0.45">
      <c r="AC88" t="s">
        <v>19</v>
      </c>
      <c r="AD88" t="s">
        <v>255</v>
      </c>
      <c r="AE88">
        <v>0.16702941944614061</v>
      </c>
    </row>
    <row r="89" spans="29:31" x14ac:dyDescent="0.45">
      <c r="AC89" t="s">
        <v>19</v>
      </c>
      <c r="AD89" t="s">
        <v>2300</v>
      </c>
      <c r="AE89">
        <v>1.1193968798204351E-4</v>
      </c>
    </row>
    <row r="90" spans="29:31" x14ac:dyDescent="0.45">
      <c r="AC90" t="s">
        <v>19</v>
      </c>
      <c r="AD90" t="s">
        <v>2301</v>
      </c>
      <c r="AE90">
        <v>1.1173058662647624E-4</v>
      </c>
    </row>
    <row r="91" spans="29:31" x14ac:dyDescent="0.45">
      <c r="AC91" t="s">
        <v>19</v>
      </c>
      <c r="AD91" t="s">
        <v>2302</v>
      </c>
      <c r="AE91">
        <v>1.1173058662647624E-4</v>
      </c>
    </row>
    <row r="92" spans="29:31" x14ac:dyDescent="0.45">
      <c r="AC92" t="s">
        <v>19</v>
      </c>
      <c r="AD92" t="s">
        <v>2303</v>
      </c>
      <c r="AE92">
        <v>1.117357297804948E-4</v>
      </c>
    </row>
    <row r="93" spans="29:31" x14ac:dyDescent="0.45">
      <c r="AC93" t="s">
        <v>19</v>
      </c>
      <c r="AD93" t="s">
        <v>2304</v>
      </c>
      <c r="AE93">
        <v>1.1176466002184924E-4</v>
      </c>
    </row>
    <row r="94" spans="29:31" x14ac:dyDescent="0.45">
      <c r="AC94" t="s">
        <v>19</v>
      </c>
      <c r="AD94" t="s">
        <v>2305</v>
      </c>
      <c r="AE94">
        <v>1.1184180733212771E-4</v>
      </c>
    </row>
    <row r="95" spans="29:31" x14ac:dyDescent="0.45">
      <c r="AC95" t="s">
        <v>19</v>
      </c>
      <c r="AD95" t="s">
        <v>2306</v>
      </c>
      <c r="AE95">
        <v>1.1249386282754389E-4</v>
      </c>
    </row>
    <row r="96" spans="29:31" x14ac:dyDescent="0.45">
      <c r="AC96" t="s">
        <v>19</v>
      </c>
      <c r="AD96" t="s">
        <v>2307</v>
      </c>
      <c r="AE96">
        <v>1.1320120722865966E-4</v>
      </c>
    </row>
    <row r="97" spans="29:31" x14ac:dyDescent="0.45">
      <c r="AC97" t="s">
        <v>19</v>
      </c>
      <c r="AD97" t="s">
        <v>2308</v>
      </c>
      <c r="AE97">
        <v>1.1356910346455014E-4</v>
      </c>
    </row>
    <row r="98" spans="29:31" x14ac:dyDescent="0.45">
      <c r="AC98" t="s">
        <v>19</v>
      </c>
      <c r="AD98" t="s">
        <v>2309</v>
      </c>
      <c r="AE98">
        <v>1.1372195157303936E-4</v>
      </c>
    </row>
    <row r="99" spans="29:31" x14ac:dyDescent="0.45">
      <c r="AC99" t="s">
        <v>19</v>
      </c>
      <c r="AD99" t="s">
        <v>2310</v>
      </c>
      <c r="AE99">
        <v>1.1365605491217651E-4</v>
      </c>
    </row>
    <row r="100" spans="29:31" x14ac:dyDescent="0.45">
      <c r="AC100" t="s">
        <v>19</v>
      </c>
      <c r="AD100" t="s">
        <v>2311</v>
      </c>
      <c r="AE100">
        <v>1.1365123320528409E-4</v>
      </c>
    </row>
    <row r="101" spans="29:31" x14ac:dyDescent="0.45">
      <c r="AC101" t="s">
        <v>19</v>
      </c>
      <c r="AD101" t="s">
        <v>2312</v>
      </c>
      <c r="AE101">
        <v>1.1363419650759761E-4</v>
      </c>
    </row>
    <row r="102" spans="29:31" x14ac:dyDescent="0.45">
      <c r="AC102" t="s">
        <v>19</v>
      </c>
      <c r="AD102" t="s">
        <v>2313</v>
      </c>
      <c r="AE102">
        <v>1.1357697891914107E-4</v>
      </c>
    </row>
    <row r="103" spans="29:31" x14ac:dyDescent="0.45">
      <c r="AC103" t="s">
        <v>19</v>
      </c>
      <c r="AD103" t="s">
        <v>2314</v>
      </c>
      <c r="AE103">
        <v>1.1353888743469106E-4</v>
      </c>
    </row>
    <row r="104" spans="29:31" x14ac:dyDescent="0.45">
      <c r="AC104" t="s">
        <v>19</v>
      </c>
      <c r="AD104" t="s">
        <v>2315</v>
      </c>
      <c r="AE104">
        <v>1.1355479906743602E-4</v>
      </c>
    </row>
    <row r="105" spans="29:31" x14ac:dyDescent="0.45">
      <c r="AC105" t="s">
        <v>19</v>
      </c>
      <c r="AD105" t="s">
        <v>2316</v>
      </c>
      <c r="AE105">
        <v>1.1362937480070518E-4</v>
      </c>
    </row>
    <row r="106" spans="29:31" x14ac:dyDescent="0.45">
      <c r="AC106" t="s">
        <v>19</v>
      </c>
      <c r="AD106" t="s">
        <v>2317</v>
      </c>
      <c r="AE106">
        <v>1.1364383992138241E-4</v>
      </c>
    </row>
    <row r="107" spans="29:31" x14ac:dyDescent="0.45">
      <c r="AC107" t="s">
        <v>19</v>
      </c>
      <c r="AD107" t="s">
        <v>2318</v>
      </c>
      <c r="AE107">
        <v>1.1364641149839169E-4</v>
      </c>
    </row>
    <row r="108" spans="29:31" x14ac:dyDescent="0.45">
      <c r="AC108" t="s">
        <v>19</v>
      </c>
      <c r="AD108" t="s">
        <v>2319</v>
      </c>
      <c r="AE108">
        <v>1.1365396550585648E-4</v>
      </c>
    </row>
    <row r="109" spans="29:31" x14ac:dyDescent="0.45">
      <c r="AC109" t="s">
        <v>19</v>
      </c>
      <c r="AD109" t="s">
        <v>2320</v>
      </c>
      <c r="AE109">
        <v>1.1355978149789148E-4</v>
      </c>
    </row>
    <row r="110" spans="29:31" x14ac:dyDescent="0.45">
      <c r="AC110" t="s">
        <v>19</v>
      </c>
      <c r="AD110" t="s">
        <v>2321</v>
      </c>
      <c r="AE110">
        <v>1.1326356797113475E-4</v>
      </c>
    </row>
    <row r="111" spans="29:31" x14ac:dyDescent="0.45">
      <c r="AC111" t="s">
        <v>19</v>
      </c>
      <c r="AD111" t="s">
        <v>2322</v>
      </c>
      <c r="AE111">
        <v>1.1329635557800313E-4</v>
      </c>
    </row>
    <row r="112" spans="29:31" x14ac:dyDescent="0.45">
      <c r="AC112" t="s">
        <v>19</v>
      </c>
      <c r="AD112" t="s">
        <v>2323</v>
      </c>
      <c r="AE112">
        <v>1.1272659054688395E-4</v>
      </c>
    </row>
    <row r="113" spans="29:31" x14ac:dyDescent="0.45">
      <c r="AC113" t="s">
        <v>19</v>
      </c>
      <c r="AD113" t="s">
        <v>328</v>
      </c>
      <c r="AE113">
        <v>2.02168593004276E-2</v>
      </c>
    </row>
    <row r="114" spans="29:31" x14ac:dyDescent="0.45">
      <c r="AC114" t="s">
        <v>19</v>
      </c>
      <c r="AD114" t="s">
        <v>329</v>
      </c>
      <c r="AE114">
        <v>3.4304255771300525E-3</v>
      </c>
    </row>
    <row r="115" spans="29:31" x14ac:dyDescent="0.45">
      <c r="AC115" t="s">
        <v>19</v>
      </c>
      <c r="AD115" t="s">
        <v>330</v>
      </c>
      <c r="AE115">
        <v>3.4419059005173051E-3</v>
      </c>
    </row>
    <row r="116" spans="29:31" x14ac:dyDescent="0.45">
      <c r="AC116" t="s">
        <v>19</v>
      </c>
      <c r="AD116" t="s">
        <v>331</v>
      </c>
      <c r="AE116">
        <v>3.4534291370958998E-3</v>
      </c>
    </row>
    <row r="117" spans="29:31" x14ac:dyDescent="0.45">
      <c r="AC117" t="s">
        <v>19</v>
      </c>
      <c r="AD117" t="s">
        <v>332</v>
      </c>
      <c r="AE117">
        <v>2.0723233511755871E-2</v>
      </c>
    </row>
    <row r="118" spans="29:31" x14ac:dyDescent="0.45">
      <c r="AC118" t="s">
        <v>19</v>
      </c>
      <c r="AD118" t="s">
        <v>333</v>
      </c>
      <c r="AE118">
        <v>3.453920629751799E-3</v>
      </c>
    </row>
    <row r="119" spans="29:31" x14ac:dyDescent="0.45">
      <c r="AC119" t="s">
        <v>19</v>
      </c>
      <c r="AD119" t="s">
        <v>334</v>
      </c>
      <c r="AE119">
        <v>3.4587378363844373E-3</v>
      </c>
    </row>
    <row r="120" spans="29:31" x14ac:dyDescent="0.45">
      <c r="AC120" t="s">
        <v>19</v>
      </c>
      <c r="AD120" t="s">
        <v>335</v>
      </c>
      <c r="AE120">
        <v>3.4605294219420919E-3</v>
      </c>
    </row>
    <row r="121" spans="29:31" x14ac:dyDescent="0.45">
      <c r="AC121" t="s">
        <v>19</v>
      </c>
      <c r="AD121" t="s">
        <v>336</v>
      </c>
      <c r="AE121">
        <v>2.0570849412193257E-2</v>
      </c>
    </row>
    <row r="122" spans="29:31" x14ac:dyDescent="0.45">
      <c r="AC122" t="s">
        <v>19</v>
      </c>
      <c r="AD122" t="s">
        <v>337</v>
      </c>
      <c r="AE122">
        <v>2.0886124944902419E-2</v>
      </c>
    </row>
    <row r="123" spans="29:31" x14ac:dyDescent="0.45">
      <c r="AC123" t="s">
        <v>19</v>
      </c>
      <c r="AD123" t="s">
        <v>338</v>
      </c>
      <c r="AE123">
        <v>3.5533767775026348E-3</v>
      </c>
    </row>
    <row r="124" spans="29:31" x14ac:dyDescent="0.45">
      <c r="AC124" t="s">
        <v>19</v>
      </c>
      <c r="AD124" t="s">
        <v>339</v>
      </c>
      <c r="AE124">
        <v>3.5609515183070393E-3</v>
      </c>
    </row>
    <row r="125" spans="29:31" x14ac:dyDescent="0.45">
      <c r="AC125" t="s">
        <v>19</v>
      </c>
      <c r="AD125" t="s">
        <v>340</v>
      </c>
      <c r="AE125">
        <v>3.571774964491983E-3</v>
      </c>
    </row>
    <row r="126" spans="29:31" x14ac:dyDescent="0.45">
      <c r="AC126" t="s">
        <v>19</v>
      </c>
      <c r="AD126" t="s">
        <v>341</v>
      </c>
      <c r="AE126">
        <v>2.1425698858314777E-2</v>
      </c>
    </row>
    <row r="127" spans="29:31" x14ac:dyDescent="0.45">
      <c r="AC127" t="s">
        <v>19</v>
      </c>
      <c r="AD127" t="s">
        <v>342</v>
      </c>
      <c r="AE127">
        <v>3.5709744004242807E-3</v>
      </c>
    </row>
    <row r="128" spans="29:31" x14ac:dyDescent="0.45">
      <c r="AC128" t="s">
        <v>19</v>
      </c>
      <c r="AD128" t="s">
        <v>343</v>
      </c>
      <c r="AE128">
        <v>3.5757184778357179E-3</v>
      </c>
    </row>
    <row r="129" spans="29:31" x14ac:dyDescent="0.45">
      <c r="AC129" t="s">
        <v>19</v>
      </c>
      <c r="AD129" t="s">
        <v>344</v>
      </c>
      <c r="AE129">
        <v>3.5767721815152713E-3</v>
      </c>
    </row>
    <row r="130" spans="29:31" x14ac:dyDescent="0.45">
      <c r="AC130" t="s">
        <v>19</v>
      </c>
      <c r="AD130" t="s">
        <v>345</v>
      </c>
      <c r="AE130">
        <v>2.1248640798795224E-2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3E23-1D87-43A1-8D79-4B138C5F3F11}">
  <dimension ref="A9:AM12"/>
  <sheetViews>
    <sheetView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111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235</v>
      </c>
      <c r="L10" t="s">
        <v>30</v>
      </c>
      <c r="N10" t="s">
        <v>13</v>
      </c>
      <c r="O10" t="s">
        <v>134</v>
      </c>
      <c r="P10" t="s">
        <v>235</v>
      </c>
      <c r="Q10" t="s">
        <v>30</v>
      </c>
      <c r="S10" t="s">
        <v>13</v>
      </c>
      <c r="T10" t="s">
        <v>134</v>
      </c>
      <c r="U10" t="s">
        <v>235</v>
      </c>
      <c r="V10" t="s">
        <v>30</v>
      </c>
      <c r="X10" t="s">
        <v>348</v>
      </c>
      <c r="Y10" t="s">
        <v>235</v>
      </c>
      <c r="Z10" t="s">
        <v>134</v>
      </c>
      <c r="AA10" t="s">
        <v>13</v>
      </c>
      <c r="AC10" t="s">
        <v>13</v>
      </c>
      <c r="AD10" t="s">
        <v>134</v>
      </c>
      <c r="AE10" t="s">
        <v>235</v>
      </c>
      <c r="AG10" t="s">
        <v>13</v>
      </c>
      <c r="AH10" t="s">
        <v>134</v>
      </c>
      <c r="AI10" t="s">
        <v>354</v>
      </c>
      <c r="AK10" t="s">
        <v>134</v>
      </c>
      <c r="AL10" t="s">
        <v>355</v>
      </c>
      <c r="AM10" t="s">
        <v>356</v>
      </c>
    </row>
    <row r="11" spans="1:39" x14ac:dyDescent="0.45">
      <c r="A11" t="str">
        <f>IFERROR(IF(Veda!D5=A10,"ok","x"),"")</f>
        <v>x</v>
      </c>
      <c r="C11" t="s">
        <v>2326</v>
      </c>
      <c r="D11" t="s">
        <v>146</v>
      </c>
      <c r="E11" t="s">
        <v>2327</v>
      </c>
      <c r="F11" t="s">
        <v>2326</v>
      </c>
      <c r="G11" t="s">
        <v>146</v>
      </c>
      <c r="I11" t="s">
        <v>236</v>
      </c>
      <c r="J11" t="s">
        <v>2328</v>
      </c>
      <c r="K11">
        <v>0.99999999999983202</v>
      </c>
      <c r="L11" t="s">
        <v>238</v>
      </c>
      <c r="N11" t="s">
        <v>346</v>
      </c>
      <c r="O11" t="s">
        <v>2328</v>
      </c>
      <c r="P11">
        <v>0.99999999999978673</v>
      </c>
      <c r="Q11" t="s">
        <v>238</v>
      </c>
      <c r="S11" t="s">
        <v>347</v>
      </c>
      <c r="T11" t="s">
        <v>2328</v>
      </c>
      <c r="U11">
        <v>0.99999999999976796</v>
      </c>
      <c r="V11" t="s">
        <v>238</v>
      </c>
      <c r="X11">
        <v>1</v>
      </c>
      <c r="Y11">
        <v>1.0000000000000002</v>
      </c>
      <c r="Z11" t="s">
        <v>2328</v>
      </c>
      <c r="AA11" t="s">
        <v>25</v>
      </c>
      <c r="AC11" t="s">
        <v>22</v>
      </c>
      <c r="AD11" t="s">
        <v>2328</v>
      </c>
      <c r="AE11">
        <v>1</v>
      </c>
      <c r="AG11" t="s">
        <v>97</v>
      </c>
      <c r="AH11" t="s">
        <v>2328</v>
      </c>
      <c r="AI11">
        <v>0.34111765552101359</v>
      </c>
      <c r="AK11" t="s">
        <v>2326</v>
      </c>
      <c r="AL11">
        <v>1.2000000000000002</v>
      </c>
      <c r="AM11" t="s">
        <v>357</v>
      </c>
    </row>
    <row r="12" spans="1:39" x14ac:dyDescent="0.45">
      <c r="AC12" t="s">
        <v>19</v>
      </c>
      <c r="AD12" t="s">
        <v>2328</v>
      </c>
      <c r="AE1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133E-8AFE-4075-9CA7-917A20A787F6}">
  <dimension ref="A9:AM34"/>
  <sheetViews>
    <sheetView tabSelected="1" workbookViewId="0"/>
  </sheetViews>
  <sheetFormatPr defaultRowHeight="14.25" x14ac:dyDescent="0.45"/>
  <sheetData>
    <row r="9" spans="1:39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39" x14ac:dyDescent="0.45">
      <c r="A10" t="s">
        <v>112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I10" t="s">
        <v>13</v>
      </c>
      <c r="J10" t="s">
        <v>134</v>
      </c>
      <c r="K10" t="s">
        <v>235</v>
      </c>
      <c r="L10" t="s">
        <v>30</v>
      </c>
      <c r="N10" t="s">
        <v>13</v>
      </c>
      <c r="O10" t="s">
        <v>134</v>
      </c>
      <c r="P10" t="s">
        <v>235</v>
      </c>
      <c r="Q10" t="s">
        <v>30</v>
      </c>
      <c r="S10" t="s">
        <v>13</v>
      </c>
      <c r="T10" t="s">
        <v>134</v>
      </c>
      <c r="U10" t="s">
        <v>235</v>
      </c>
      <c r="V10" t="s">
        <v>30</v>
      </c>
      <c r="X10" t="s">
        <v>348</v>
      </c>
      <c r="Y10" t="s">
        <v>235</v>
      </c>
      <c r="Z10" t="s">
        <v>134</v>
      </c>
      <c r="AA10" t="s">
        <v>13</v>
      </c>
      <c r="AC10" t="s">
        <v>13</v>
      </c>
      <c r="AD10" t="s">
        <v>134</v>
      </c>
      <c r="AE10" t="s">
        <v>235</v>
      </c>
      <c r="AG10" t="s">
        <v>13</v>
      </c>
      <c r="AH10" t="s">
        <v>134</v>
      </c>
      <c r="AI10" t="s">
        <v>354</v>
      </c>
      <c r="AK10" t="s">
        <v>134</v>
      </c>
      <c r="AL10" t="s">
        <v>355</v>
      </c>
      <c r="AM10" t="s">
        <v>356</v>
      </c>
    </row>
    <row r="11" spans="1:39" x14ac:dyDescent="0.45">
      <c r="A11" t="str">
        <f>IFERROR(IF(Veda!D5=A10,"ok","x"),"")</f>
        <v>x</v>
      </c>
      <c r="C11" t="s">
        <v>2329</v>
      </c>
      <c r="D11" t="s">
        <v>146</v>
      </c>
      <c r="E11" t="s">
        <v>350</v>
      </c>
      <c r="F11" t="s">
        <v>2330</v>
      </c>
      <c r="G11" t="s">
        <v>146</v>
      </c>
      <c r="I11" t="s">
        <v>236</v>
      </c>
      <c r="J11" t="s">
        <v>2335</v>
      </c>
      <c r="K11">
        <v>0.16500571071832595</v>
      </c>
      <c r="L11" t="s">
        <v>238</v>
      </c>
      <c r="N11" t="s">
        <v>346</v>
      </c>
      <c r="O11" t="s">
        <v>2335</v>
      </c>
      <c r="P11">
        <v>0.12302736357152495</v>
      </c>
      <c r="Q11" t="s">
        <v>238</v>
      </c>
      <c r="S11" t="s">
        <v>347</v>
      </c>
      <c r="T11" t="s">
        <v>2335</v>
      </c>
      <c r="U11">
        <v>0.12323583329913258</v>
      </c>
      <c r="V11" t="s">
        <v>238</v>
      </c>
      <c r="X11">
        <v>0.11426940639269406</v>
      </c>
      <c r="Y11">
        <v>0.16087081189037786</v>
      </c>
      <c r="Z11" t="s">
        <v>2335</v>
      </c>
      <c r="AA11" t="s">
        <v>25</v>
      </c>
      <c r="AC11" t="s">
        <v>22</v>
      </c>
      <c r="AD11" t="s">
        <v>2335</v>
      </c>
      <c r="AE11">
        <v>0.12154185877629864</v>
      </c>
      <c r="AG11" t="s">
        <v>97</v>
      </c>
      <c r="AH11" t="s">
        <v>2335</v>
      </c>
      <c r="AI11">
        <v>0.17884372713897179</v>
      </c>
      <c r="AK11" t="s">
        <v>2329</v>
      </c>
      <c r="AL11">
        <v>0.26274737453163749</v>
      </c>
      <c r="AM11" t="s">
        <v>357</v>
      </c>
    </row>
    <row r="12" spans="1:39" x14ac:dyDescent="0.45">
      <c r="C12" t="s">
        <v>2331</v>
      </c>
      <c r="E12" t="s">
        <v>352</v>
      </c>
      <c r="G12" t="s">
        <v>146</v>
      </c>
      <c r="I12" t="s">
        <v>236</v>
      </c>
      <c r="J12" t="s">
        <v>2336</v>
      </c>
      <c r="K12">
        <v>2.2477563802083164E-4</v>
      </c>
      <c r="L12" t="s">
        <v>238</v>
      </c>
      <c r="N12" t="s">
        <v>346</v>
      </c>
      <c r="O12" t="s">
        <v>2336</v>
      </c>
      <c r="P12">
        <v>0.12827553568303074</v>
      </c>
      <c r="Q12" t="s">
        <v>238</v>
      </c>
      <c r="S12" t="s">
        <v>347</v>
      </c>
      <c r="T12" t="s">
        <v>2336</v>
      </c>
      <c r="U12">
        <v>0.12778638796991929</v>
      </c>
      <c r="V12" t="s">
        <v>238</v>
      </c>
      <c r="X12">
        <v>0.11426940639269406</v>
      </c>
      <c r="Y12">
        <v>5.2547713165767528E-2</v>
      </c>
      <c r="Z12" t="s">
        <v>2336</v>
      </c>
      <c r="AA12" t="s">
        <v>25</v>
      </c>
      <c r="AC12" t="s">
        <v>22</v>
      </c>
      <c r="AD12" t="s">
        <v>2336</v>
      </c>
      <c r="AE12">
        <v>8.8527190099622954E-2</v>
      </c>
      <c r="AG12" t="s">
        <v>97</v>
      </c>
      <c r="AH12" t="s">
        <v>2336</v>
      </c>
      <c r="AI12">
        <v>0.36727282398527206</v>
      </c>
      <c r="AK12" t="s">
        <v>2334</v>
      </c>
      <c r="AL12">
        <v>0.26654704733759033</v>
      </c>
      <c r="AM12" t="s">
        <v>357</v>
      </c>
    </row>
    <row r="13" spans="1:39" x14ac:dyDescent="0.45">
      <c r="C13" t="s">
        <v>2332</v>
      </c>
      <c r="E13" t="s">
        <v>2333</v>
      </c>
      <c r="G13" t="s">
        <v>146</v>
      </c>
      <c r="I13" t="s">
        <v>236</v>
      </c>
      <c r="J13" t="s">
        <v>2337</v>
      </c>
      <c r="K13">
        <v>8.6502665801810735E-3</v>
      </c>
      <c r="L13" t="s">
        <v>238</v>
      </c>
      <c r="N13" t="s">
        <v>346</v>
      </c>
      <c r="O13" t="s">
        <v>2337</v>
      </c>
      <c r="P13">
        <v>2.2741229790278754E-2</v>
      </c>
      <c r="Q13" t="s">
        <v>238</v>
      </c>
      <c r="S13" t="s">
        <v>347</v>
      </c>
      <c r="T13" t="s">
        <v>2337</v>
      </c>
      <c r="U13">
        <v>2.274357165974885E-2</v>
      </c>
      <c r="V13" t="s">
        <v>238</v>
      </c>
      <c r="X13">
        <v>2.0776255707762557E-2</v>
      </c>
      <c r="Y13">
        <v>3.5896543437005365E-2</v>
      </c>
      <c r="Z13" t="s">
        <v>2337</v>
      </c>
      <c r="AA13" t="s">
        <v>25</v>
      </c>
      <c r="AC13" t="s">
        <v>22</v>
      </c>
      <c r="AD13" t="s">
        <v>2337</v>
      </c>
      <c r="AE13">
        <v>2.2637574024520383E-2</v>
      </c>
      <c r="AG13" t="s">
        <v>97</v>
      </c>
      <c r="AH13" t="s">
        <v>2337</v>
      </c>
      <c r="AI13">
        <v>0.16609836701710967</v>
      </c>
      <c r="AK13" t="s">
        <v>2332</v>
      </c>
      <c r="AL13">
        <v>0.34545358594121056</v>
      </c>
      <c r="AM13" t="s">
        <v>357</v>
      </c>
    </row>
    <row r="14" spans="1:39" x14ac:dyDescent="0.45">
      <c r="C14" t="s">
        <v>2334</v>
      </c>
      <c r="I14" t="s">
        <v>236</v>
      </c>
      <c r="J14" t="s">
        <v>2338</v>
      </c>
      <c r="K14">
        <v>0.27593004477523009</v>
      </c>
      <c r="L14" t="s">
        <v>238</v>
      </c>
      <c r="N14" t="s">
        <v>346</v>
      </c>
      <c r="O14" t="s">
        <v>2338</v>
      </c>
      <c r="P14">
        <v>0.10649235142275328</v>
      </c>
      <c r="Q14" t="s">
        <v>238</v>
      </c>
      <c r="S14" t="s">
        <v>347</v>
      </c>
      <c r="T14" t="s">
        <v>2338</v>
      </c>
      <c r="U14">
        <v>0.10638821130305877</v>
      </c>
      <c r="V14" t="s">
        <v>238</v>
      </c>
      <c r="X14">
        <v>0.11552511415525114</v>
      </c>
      <c r="Y14">
        <v>0.16263862301005233</v>
      </c>
      <c r="Z14" t="s">
        <v>2338</v>
      </c>
      <c r="AA14" t="s">
        <v>25</v>
      </c>
      <c r="AC14" t="s">
        <v>22</v>
      </c>
      <c r="AD14" t="s">
        <v>2338</v>
      </c>
      <c r="AE14">
        <v>0.13551107552473518</v>
      </c>
      <c r="AG14" t="s">
        <v>97</v>
      </c>
      <c r="AH14" t="s">
        <v>2338</v>
      </c>
      <c r="AI14">
        <v>0.22024800426650004</v>
      </c>
      <c r="AK14" t="s">
        <v>2331</v>
      </c>
      <c r="AL14">
        <v>0.32525199218956147</v>
      </c>
      <c r="AM14" t="s">
        <v>357</v>
      </c>
    </row>
    <row r="15" spans="1:39" x14ac:dyDescent="0.45">
      <c r="I15" t="s">
        <v>236</v>
      </c>
      <c r="J15" t="s">
        <v>2339</v>
      </c>
      <c r="K15">
        <v>4.8536203197970815E-3</v>
      </c>
      <c r="L15" t="s">
        <v>238</v>
      </c>
      <c r="N15" t="s">
        <v>346</v>
      </c>
      <c r="O15" t="s">
        <v>2339</v>
      </c>
      <c r="P15">
        <v>0.11496552442089168</v>
      </c>
      <c r="Q15" t="s">
        <v>238</v>
      </c>
      <c r="S15" t="s">
        <v>347</v>
      </c>
      <c r="T15" t="s">
        <v>2339</v>
      </c>
      <c r="U15">
        <v>0.11440973108356926</v>
      </c>
      <c r="V15" t="s">
        <v>238</v>
      </c>
      <c r="X15">
        <v>0.11552511415525114</v>
      </c>
      <c r="Y15">
        <v>5.3125160563193538E-2</v>
      </c>
      <c r="Z15" t="s">
        <v>2339</v>
      </c>
      <c r="AA15" t="s">
        <v>25</v>
      </c>
      <c r="AC15" t="s">
        <v>22</v>
      </c>
      <c r="AD15" t="s">
        <v>2339</v>
      </c>
      <c r="AE15">
        <v>0.10048263795391252</v>
      </c>
      <c r="AG15" t="s">
        <v>97</v>
      </c>
      <c r="AH15" t="s">
        <v>2339</v>
      </c>
      <c r="AI15">
        <v>0.41879867138276894</v>
      </c>
    </row>
    <row r="16" spans="1:39" x14ac:dyDescent="0.45">
      <c r="I16" t="s">
        <v>236</v>
      </c>
      <c r="J16" t="s">
        <v>2340</v>
      </c>
      <c r="K16">
        <v>2.4738578932481298E-2</v>
      </c>
      <c r="L16" t="s">
        <v>238</v>
      </c>
      <c r="N16" t="s">
        <v>346</v>
      </c>
      <c r="O16" t="s">
        <v>2340</v>
      </c>
      <c r="P16">
        <v>1.973501635693993E-2</v>
      </c>
      <c r="Q16" t="s">
        <v>238</v>
      </c>
      <c r="S16" t="s">
        <v>347</v>
      </c>
      <c r="T16" t="s">
        <v>2340</v>
      </c>
      <c r="U16">
        <v>2.0497263048531261E-2</v>
      </c>
      <c r="V16" t="s">
        <v>238</v>
      </c>
      <c r="X16">
        <v>2.1004566210045664E-2</v>
      </c>
      <c r="Y16">
        <v>3.6291010947302131E-2</v>
      </c>
      <c r="Z16" t="s">
        <v>2340</v>
      </c>
      <c r="AA16" t="s">
        <v>25</v>
      </c>
      <c r="AC16" t="s">
        <v>22</v>
      </c>
      <c r="AD16" t="s">
        <v>2340</v>
      </c>
      <c r="AE16">
        <v>2.5034684908137404E-2</v>
      </c>
      <c r="AG16" t="s">
        <v>97</v>
      </c>
      <c r="AH16" t="s">
        <v>2340</v>
      </c>
      <c r="AI16">
        <v>0.21176347115901417</v>
      </c>
    </row>
    <row r="17" spans="9:35" x14ac:dyDescent="0.45">
      <c r="I17" t="s">
        <v>236</v>
      </c>
      <c r="J17" t="s">
        <v>2341</v>
      </c>
      <c r="K17">
        <v>0.35565985375654913</v>
      </c>
      <c r="L17" t="s">
        <v>238</v>
      </c>
      <c r="N17" t="s">
        <v>346</v>
      </c>
      <c r="O17" t="s">
        <v>2341</v>
      </c>
      <c r="P17">
        <v>7.86665054129803E-2</v>
      </c>
      <c r="Q17" t="s">
        <v>238</v>
      </c>
      <c r="S17" t="s">
        <v>347</v>
      </c>
      <c r="T17" t="s">
        <v>2341</v>
      </c>
      <c r="U17">
        <v>8.7540836584448015E-2</v>
      </c>
      <c r="V17" t="s">
        <v>238</v>
      </c>
      <c r="X17">
        <v>0.11552511415525114</v>
      </c>
      <c r="Y17">
        <v>0.16263862301005233</v>
      </c>
      <c r="Z17" t="s">
        <v>2341</v>
      </c>
      <c r="AA17" t="s">
        <v>25</v>
      </c>
      <c r="AC17" t="s">
        <v>22</v>
      </c>
      <c r="AD17" t="s">
        <v>2341</v>
      </c>
      <c r="AE17">
        <v>0.11376739849528658</v>
      </c>
      <c r="AG17" t="s">
        <v>97</v>
      </c>
      <c r="AH17" t="s">
        <v>2341</v>
      </c>
      <c r="AI17">
        <v>0.11652662920397838</v>
      </c>
    </row>
    <row r="18" spans="9:35" x14ac:dyDescent="0.45">
      <c r="I18" t="s">
        <v>236</v>
      </c>
      <c r="J18" t="s">
        <v>2342</v>
      </c>
      <c r="K18">
        <v>1.8191854302516255E-2</v>
      </c>
      <c r="L18" t="s">
        <v>238</v>
      </c>
      <c r="N18" t="s">
        <v>346</v>
      </c>
      <c r="O18" t="s">
        <v>2342</v>
      </c>
      <c r="P18">
        <v>8.3545599227963188E-2</v>
      </c>
      <c r="Q18" t="s">
        <v>238</v>
      </c>
      <c r="S18" t="s">
        <v>347</v>
      </c>
      <c r="T18" t="s">
        <v>2342</v>
      </c>
      <c r="U18">
        <v>8.7354510853897629E-2</v>
      </c>
      <c r="V18" t="s">
        <v>238</v>
      </c>
      <c r="X18">
        <v>0.11552511415525114</v>
      </c>
      <c r="Y18">
        <v>5.3125160563193538E-2</v>
      </c>
      <c r="Z18" t="s">
        <v>2342</v>
      </c>
      <c r="AA18" t="s">
        <v>25</v>
      </c>
      <c r="AC18" t="s">
        <v>22</v>
      </c>
      <c r="AD18" t="s">
        <v>2342</v>
      </c>
      <c r="AE18">
        <v>8.1319196279968115E-2</v>
      </c>
      <c r="AG18" t="s">
        <v>97</v>
      </c>
      <c r="AH18" t="s">
        <v>2342</v>
      </c>
      <c r="AI18">
        <v>0.26664324648860149</v>
      </c>
    </row>
    <row r="19" spans="9:35" x14ac:dyDescent="0.45">
      <c r="I19" t="s">
        <v>236</v>
      </c>
      <c r="J19" t="s">
        <v>2343</v>
      </c>
      <c r="K19">
        <v>4.1321901971877829E-2</v>
      </c>
      <c r="L19" t="s">
        <v>238</v>
      </c>
      <c r="N19" t="s">
        <v>346</v>
      </c>
      <c r="O19" t="s">
        <v>2343</v>
      </c>
      <c r="P19">
        <v>1.4499645094670378E-2</v>
      </c>
      <c r="Q19" t="s">
        <v>238</v>
      </c>
      <c r="S19" t="s">
        <v>347</v>
      </c>
      <c r="T19" t="s">
        <v>2343</v>
      </c>
      <c r="U19">
        <v>1.6310003138332557E-2</v>
      </c>
      <c r="V19" t="s">
        <v>238</v>
      </c>
      <c r="X19">
        <v>2.1004566210045664E-2</v>
      </c>
      <c r="Y19">
        <v>3.6291010947302131E-2</v>
      </c>
      <c r="Z19" t="s">
        <v>2343</v>
      </c>
      <c r="AA19" t="s">
        <v>25</v>
      </c>
      <c r="AC19" t="s">
        <v>22</v>
      </c>
      <c r="AD19" t="s">
        <v>2343</v>
      </c>
      <c r="AE19">
        <v>2.0819513785419224E-2</v>
      </c>
      <c r="AG19" t="s">
        <v>97</v>
      </c>
      <c r="AH19" t="s">
        <v>2343</v>
      </c>
      <c r="AI19">
        <v>8.2939888326658107E-2</v>
      </c>
    </row>
    <row r="20" spans="9:35" x14ac:dyDescent="0.45">
      <c r="I20" t="s">
        <v>236</v>
      </c>
      <c r="J20" t="s">
        <v>2344</v>
      </c>
      <c r="K20">
        <v>0.10349109933797937</v>
      </c>
      <c r="L20" t="s">
        <v>238</v>
      </c>
      <c r="N20" t="s">
        <v>346</v>
      </c>
      <c r="O20" t="s">
        <v>2344</v>
      </c>
      <c r="P20">
        <v>0.14078983347474563</v>
      </c>
      <c r="Q20" t="s">
        <v>238</v>
      </c>
      <c r="S20" t="s">
        <v>347</v>
      </c>
      <c r="T20" t="s">
        <v>2344</v>
      </c>
      <c r="U20">
        <v>0.134439428048198</v>
      </c>
      <c r="V20" t="s">
        <v>238</v>
      </c>
      <c r="X20">
        <v>0.11301369863013698</v>
      </c>
      <c r="Y20">
        <v>0.15910300077070333</v>
      </c>
      <c r="Z20" t="s">
        <v>2344</v>
      </c>
      <c r="AA20" t="s">
        <v>25</v>
      </c>
      <c r="AC20" t="s">
        <v>22</v>
      </c>
      <c r="AD20" t="s">
        <v>2344</v>
      </c>
      <c r="AE20">
        <v>0.15008049673136389</v>
      </c>
      <c r="AG20" t="s">
        <v>97</v>
      </c>
      <c r="AH20" t="s">
        <v>2344</v>
      </c>
      <c r="AI20">
        <v>0.13042023902363176</v>
      </c>
    </row>
    <row r="21" spans="9:35" x14ac:dyDescent="0.45">
      <c r="I21" t="s">
        <v>236</v>
      </c>
      <c r="J21" t="s">
        <v>2345</v>
      </c>
      <c r="K21">
        <v>0</v>
      </c>
      <c r="L21" t="s">
        <v>238</v>
      </c>
      <c r="N21" t="s">
        <v>346</v>
      </c>
      <c r="O21" t="s">
        <v>2345</v>
      </c>
      <c r="P21">
        <v>0.14141007471312952</v>
      </c>
      <c r="Q21" t="s">
        <v>238</v>
      </c>
      <c r="S21" t="s">
        <v>347</v>
      </c>
      <c r="T21" t="s">
        <v>2345</v>
      </c>
      <c r="U21">
        <v>0.13452126301231809</v>
      </c>
      <c r="V21" t="s">
        <v>238</v>
      </c>
      <c r="X21">
        <v>0.11301369863013698</v>
      </c>
      <c r="Y21">
        <v>5.197026576834151E-2</v>
      </c>
      <c r="Z21" t="s">
        <v>2345</v>
      </c>
      <c r="AA21" t="s">
        <v>25</v>
      </c>
      <c r="AC21" t="s">
        <v>22</v>
      </c>
      <c r="AD21" t="s">
        <v>2345</v>
      </c>
      <c r="AE21">
        <v>0.11194412076470171</v>
      </c>
      <c r="AG21" t="s">
        <v>97</v>
      </c>
      <c r="AH21" t="s">
        <v>2345</v>
      </c>
      <c r="AI21">
        <v>0.32342907502345386</v>
      </c>
    </row>
    <row r="22" spans="9:35" x14ac:dyDescent="0.45">
      <c r="I22" t="s">
        <v>236</v>
      </c>
      <c r="J22" t="s">
        <v>2346</v>
      </c>
      <c r="K22">
        <v>1.9322936668730696E-3</v>
      </c>
      <c r="L22" t="s">
        <v>238</v>
      </c>
      <c r="N22" t="s">
        <v>346</v>
      </c>
      <c r="O22" t="s">
        <v>2346</v>
      </c>
      <c r="P22">
        <v>2.5851320830878426E-2</v>
      </c>
      <c r="Q22" t="s">
        <v>238</v>
      </c>
      <c r="S22" t="s">
        <v>347</v>
      </c>
      <c r="T22" t="s">
        <v>2346</v>
      </c>
      <c r="U22">
        <v>2.477295999861364E-2</v>
      </c>
      <c r="V22" t="s">
        <v>238</v>
      </c>
      <c r="X22">
        <v>2.0547945205479451E-2</v>
      </c>
      <c r="Y22">
        <v>3.5502075926708607E-2</v>
      </c>
      <c r="Z22" t="s">
        <v>2346</v>
      </c>
      <c r="AA22" t="s">
        <v>25</v>
      </c>
      <c r="AC22" t="s">
        <v>22</v>
      </c>
      <c r="AD22" t="s">
        <v>2346</v>
      </c>
      <c r="AE22">
        <v>2.8334252656033367E-2</v>
      </c>
      <c r="AG22" t="s">
        <v>97</v>
      </c>
      <c r="AH22" t="s">
        <v>2346</v>
      </c>
      <c r="AI22">
        <v>0.10802714049505879</v>
      </c>
    </row>
    <row r="23" spans="9:35" x14ac:dyDescent="0.45">
      <c r="AC23" t="s">
        <v>19</v>
      </c>
      <c r="AD23" t="s">
        <v>2335</v>
      </c>
      <c r="AE23">
        <v>0.11506316199164349</v>
      </c>
    </row>
    <row r="24" spans="9:35" x14ac:dyDescent="0.45">
      <c r="AC24" t="s">
        <v>19</v>
      </c>
      <c r="AD24" t="s">
        <v>2336</v>
      </c>
      <c r="AE24">
        <v>0.11321189286390412</v>
      </c>
    </row>
    <row r="25" spans="9:35" x14ac:dyDescent="0.45">
      <c r="AC25" t="s">
        <v>19</v>
      </c>
      <c r="AD25" t="s">
        <v>2337</v>
      </c>
      <c r="AE25">
        <v>2.0950801910466603E-2</v>
      </c>
    </row>
    <row r="26" spans="9:35" x14ac:dyDescent="0.45">
      <c r="AC26" t="s">
        <v>19</v>
      </c>
      <c r="AD26" t="s">
        <v>2338</v>
      </c>
      <c r="AE26">
        <v>0.11643727462754408</v>
      </c>
    </row>
    <row r="27" spans="9:35" x14ac:dyDescent="0.45">
      <c r="AC27" t="s">
        <v>19</v>
      </c>
      <c r="AD27" t="s">
        <v>2339</v>
      </c>
      <c r="AE27">
        <v>0.11447308514247369</v>
      </c>
    </row>
    <row r="28" spans="9:35" x14ac:dyDescent="0.45">
      <c r="AC28" t="s">
        <v>19</v>
      </c>
      <c r="AD28" t="s">
        <v>2340</v>
      </c>
      <c r="AE28">
        <v>2.119263617281722E-2</v>
      </c>
    </row>
    <row r="29" spans="9:35" x14ac:dyDescent="0.45">
      <c r="AC29" t="s">
        <v>19</v>
      </c>
      <c r="AD29" t="s">
        <v>2341</v>
      </c>
      <c r="AE29">
        <v>0.11626660111669057</v>
      </c>
    </row>
    <row r="30" spans="9:35" x14ac:dyDescent="0.45">
      <c r="AC30" t="s">
        <v>19</v>
      </c>
      <c r="AD30" t="s">
        <v>2342</v>
      </c>
      <c r="AE30">
        <v>0.11444709610816986</v>
      </c>
    </row>
    <row r="31" spans="9:35" x14ac:dyDescent="0.45">
      <c r="AC31" t="s">
        <v>19</v>
      </c>
      <c r="AD31" t="s">
        <v>2343</v>
      </c>
      <c r="AE31">
        <v>2.1146925800818128E-2</v>
      </c>
    </row>
    <row r="32" spans="9:35" x14ac:dyDescent="0.45">
      <c r="AC32" t="s">
        <v>19</v>
      </c>
      <c r="AD32" t="s">
        <v>2344</v>
      </c>
      <c r="AE32">
        <v>0.11407471408982019</v>
      </c>
    </row>
    <row r="33" spans="29:31" x14ac:dyDescent="0.45">
      <c r="AC33" t="s">
        <v>19</v>
      </c>
      <c r="AD33" t="s">
        <v>2345</v>
      </c>
      <c r="AE33">
        <v>0.11193624963444851</v>
      </c>
    </row>
    <row r="34" spans="29:31" x14ac:dyDescent="0.45">
      <c r="AC34" t="s">
        <v>19</v>
      </c>
      <c r="AD34" t="s">
        <v>2346</v>
      </c>
      <c r="AE34">
        <v>2.0799560541203545E-2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Veda</vt:lpstr>
      <vt:lpstr>fuel_prices</vt:lpstr>
      <vt:lpstr>iea_data</vt:lpstr>
      <vt:lpstr>ar6_r10</vt:lpstr>
      <vt:lpstr>ev_charging_uc</vt:lpstr>
      <vt:lpstr>s1p1v1_d</vt:lpstr>
      <vt:lpstr>s3p3v3_d</vt:lpstr>
      <vt:lpstr>s2_w</vt:lpstr>
      <vt:lpstr>s2_w_p2_d</vt:lpstr>
      <vt:lpstr>ts12_clu</vt:lpstr>
      <vt:lpstr>ts24_clu</vt:lpstr>
      <vt:lpstr>ts48_clu</vt:lpstr>
      <vt:lpstr>s5p5v5_d</vt:lpstr>
      <vt:lpstr>s1_d</vt:lpstr>
      <vt:lpstr>ts_annual</vt:lpstr>
      <vt:lpstr>ts_12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2025-09-06T20:56:24Z</dcterms:modified>
</cp:coreProperties>
</file>