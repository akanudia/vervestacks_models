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ppXLS\"/>
    </mc:Choice>
  </mc:AlternateContent>
  <xr:revisionPtr revIDLastSave="0" documentId="8_{EBE4EF45-32C7-4D71-B30A-D5508EDFBACC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12_clu" sheetId="7" r:id="rId6"/>
    <sheet name="ts_annual" sheetId="8" r:id="rId7"/>
    <sheet name="ts_12" sheetId="9" r:id="rId8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9" l="1"/>
  <c r="AG9" i="9"/>
  <c r="AC9" i="9"/>
  <c r="A10" i="6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H21" i="6" l="1"/>
  <c r="E15" i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J45" i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<sst xmlns="http://schemas.openxmlformats.org/spreadsheetml/2006/main" count="2228" uniqueCount="208">
  <si>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</si>
  <si>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</si>
  <si>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</si>
  <si>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</si>
  <si>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</si>
  <si>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</si>
  <si>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</si>
  <si>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</si>
  <si>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</si>
  <si>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</si>
  <si>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</si>
  <si>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</si>
  <si>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</si>
  <si>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</si>
  <si>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</si>
  <si>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</si>
  <si>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</si>
  <si>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</si>
  <si>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</si>
  <si>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</si>
  <si>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</si>
  <si>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</si>
  <si>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</si>
  <si>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</si>
  <si>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</si>
  <si>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</si>
  <si>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</si>
  <si>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</si>
  <si>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</si>
  <si>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</si>
  <si>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</si>
  <si>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</si>
  <si>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</si>
  <si>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</si>
  <si>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</si>
  <si>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</si>
  <si>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</si>
  <si>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</si>
  <si>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</si>
  <si>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</si>
  <si>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</si>
  <si>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</si>
  <si>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</si>
  <si>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</si>
  <si>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</si>
  <si>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</si>
  <si>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</si>
  <si>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</si>
  <si>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</si>
  <si>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</si>
  <si>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</si>
  <si>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</si>
  <si>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</si>
  <si>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</si>
  <si>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</si>
  <si>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</si>
  <si>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</si>
  <si>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</si>
  <si>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</si>
  <si>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</si>
  <si>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</si>
  <si>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</si>
  <si>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</si>
  <si>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</si>
  <si>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</si>
  <si>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</si>
  <si>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</si>
  <si>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</si>
  <si>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</si>
  <si>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</si>
  <si>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</si>
  <si>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</si>
  <si>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</si>
  <si>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</si>
  <si>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</si>
  <si>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</si>
  <si>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</si>
  <si>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</si>
  <si>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</si>
  <si>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</si>
  <si>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</si>
  <si>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</si>
  <si>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</si>
  <si>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</si>
  <si>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</si>
  <si>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</si>
  <si>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</si>
  <si>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</si>
  <si>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</si>
  <si>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</si>
  <si>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</si>
  <si>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</si>
  <si>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</si>
  <si>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</si>
  <si>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</si>
  <si>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</si>
  <si>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</si>
  <si>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</si>
  <si>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</si>
  <si>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</si>
  <si>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</si>
  <si>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</si>
  <si>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</si>
  <si>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</si>
  <si>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</si>
  <si>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</si>
  <si>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</si>
  <si>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</si>
  <si>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</si>
  <si>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</si>
  <si>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</si>
  <si>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</si>
  <si>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</si>
  <si>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</si>
  <si>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</si>
  <si>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</si>
  <si>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</si>
  <si>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</si>
  <si>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</si>
  <si>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</si>
  <si>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</si>
  <si>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</si>
  <si>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</si>
  <si>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</si>
  <si>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</si>
  <si>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</si>
  <si>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</si>
  <si>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</si>
  <si>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</si>
  <si>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</si>
  <si>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</si>
  <si>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</si>
  <si>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</si>
  <si>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</si>
  <si>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</si>
  <si>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</si>
  <si>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</si>
  <si>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DEU</t>
  </si>
  <si>
    <t>R10EUROPE</t>
  </si>
  <si>
    <t>TTF gas hub, imported coal via ARA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</si>
  <si>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</si>
  <si>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</si>
  <si>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</si>
  <si>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</si>
  <si>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</si>
  <si>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</si>
  <si>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</si>
  <si>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</si>
  <si>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</t>
  </si>
  <si>
    <t>S2</t>
  </si>
  <si>
    <t>H2</t>
  </si>
  <si>
    <t>S3</t>
  </si>
  <si>
    <t>H3</t>
  </si>
  <si>
    <t>H4</t>
  </si>
  <si>
    <t>H5</t>
  </si>
  <si>
    <t>com_fr</t>
  </si>
  <si>
    <t>elc_spv-DEU</t>
  </si>
  <si>
    <t>S1aH1</t>
  </si>
  <si>
    <t>IMPNRGZ</t>
  </si>
  <si>
    <t>S1aH2</t>
  </si>
  <si>
    <t>S1aH3</t>
  </si>
  <si>
    <t>S1aH4</t>
  </si>
  <si>
    <t>S1aH5</t>
  </si>
  <si>
    <t>S2aH1</t>
  </si>
  <si>
    <t>S2aH2</t>
  </si>
  <si>
    <t>S2aH3</t>
  </si>
  <si>
    <t>S2aH4</t>
  </si>
  <si>
    <t>S2aH5</t>
  </si>
  <si>
    <t>S3aH1</t>
  </si>
  <si>
    <t>S3aH2</t>
  </si>
  <si>
    <t>S3aH3</t>
  </si>
  <si>
    <t>S3aH4</t>
  </si>
  <si>
    <t>S3aH5</t>
  </si>
  <si>
    <t>elc_won-DEU</t>
  </si>
  <si>
    <t>elc_wof-DEU</t>
  </si>
  <si>
    <t>g_yrfr</t>
  </si>
  <si>
    <t>day_night</t>
  </si>
  <si>
    <t>D</t>
  </si>
  <si>
    <t>S1aH3,S3aH4,S3aH3,S1aH2,S2aH3,S2aH4,S1aH4,S2aH2,S3aH2</t>
  </si>
  <si>
    <t>N</t>
  </si>
  <si>
    <t>S2aH1,S1aH5,S2aH5,S3aH1,S3aH5,S1aH1</t>
  </si>
  <si>
    <t>com_pkflx</t>
  </si>
  <si>
    <t>ncap_afs</t>
  </si>
  <si>
    <t>pset_ci</t>
  </si>
  <si>
    <t>hydro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</si>
  <si>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</si>
  <si>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</si>
  <si>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</si>
  <si>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</si>
  <si>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</si>
  <si>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</si>
  <si>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</si>
  <si>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</si>
  <si>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</si>
  <si>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</si>
  <si>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</si>
  <si>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</si>
  <si>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</si>
  <si>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</si>
  <si>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</si>
  <si>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</si>
  <si>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</si>
  <si>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</si>
  <si>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</si>
  <si>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</si>
  <si>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</si>
  <si>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WaD,FaD,WaP,RaP,FaP,SaP,RaD,SaD</t>
  </si>
  <si>
    <t>RaP,SaN,WaN,RaN,FaN,WaP,FaP,SaP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</si>
</sst>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17" fontId="0" fillId="0" borderId="0" xfId="0" quotePrefix="1" applyNumberFormat="1"/>
    <xf numFmtId="0" fontId="9" fillId="0" borderId="0" xfId="0" applyFon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547.04999999999995</c:v>
                </c:pt>
                <c:pt idx="1">
                  <c:v>563.4615</c:v>
                </c:pt>
                <c:pt idx="2">
                  <c:v>650.98949999999991</c:v>
                </c:pt>
                <c:pt idx="3">
                  <c:v>782.28149999999994</c:v>
                </c:pt>
                <c:pt idx="4">
                  <c:v>902.63249999999982</c:v>
                </c:pt>
                <c:pt idx="5">
                  <c:v>990.16049999999996</c:v>
                </c:pt>
                <c:pt idx="6">
                  <c:v>1055.8064999999999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241.69</c:v>
                </c:pt>
                <c:pt idx="3">
                  <c:v>339.03</c:v>
                </c:pt>
                <c:pt idx="4">
                  <c:v>410.28</c:v>
                </c:pt>
                <c:pt idx="5">
                  <c:v>494.2</c:v>
                </c:pt>
                <c:pt idx="6">
                  <c:v>635.42999999999995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B14" sqref="B1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6" t="s">
        <v>114</v>
      </c>
    </row>
    <row r="2" spans="1:38" x14ac:dyDescent="0.45">
      <c r="D2" s="1" t="str">
        <f>"~Inputcell: "&amp;_xlfn.TEXTJOIN(",",TRUE,G1:EE1)</f>
        <v>~Inputcell: 1-55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7" t="s">
        <v>131</v>
      </c>
    </row>
    <row r="8" spans="1:38" ht="14.65" thickBot="1" x14ac:dyDescent="0.5">
      <c r="A8" s="4" t="s">
        <v>136</v>
      </c>
      <c r="B8" s="4" t="s">
        <v>132</v>
      </c>
      <c r="C8" s="4" t="s">
        <v>133</v>
      </c>
      <c r="D8" s="4" t="s">
        <v>134</v>
      </c>
      <c r="E8" s="4" t="s">
        <v>135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102</v>
      </c>
      <c r="E9" t="s">
        <v>0</v>
      </c>
      <c r="G9" t="s">
        <v>1</v>
      </c>
      <c r="AH9" t="s">
        <v>102</v>
      </c>
      <c r="AI9" t="s">
        <v>115</v>
      </c>
      <c r="AK9" t="s">
        <v>0</v>
      </c>
      <c r="AL9" t="s">
        <v>116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103</v>
      </c>
      <c r="E10" t="s">
        <v>0</v>
      </c>
      <c r="G10" t="s">
        <v>3</v>
      </c>
      <c r="S10" t="s">
        <v>4</v>
      </c>
      <c r="AH10" t="s">
        <v>103</v>
      </c>
      <c r="AI10" t="s">
        <v>117</v>
      </c>
      <c r="AK10" t="s">
        <v>2</v>
      </c>
      <c r="AL10" t="s">
        <v>118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104</v>
      </c>
      <c r="E11" t="s">
        <v>0</v>
      </c>
      <c r="G11" t="s">
        <v>6</v>
      </c>
      <c r="S11" s="1">
        <v>2022</v>
      </c>
      <c r="AH11" t="s">
        <v>104</v>
      </c>
      <c r="AI11" t="s">
        <v>119</v>
      </c>
      <c r="AK11" t="s">
        <v>5</v>
      </c>
      <c r="AL11" t="s">
        <v>120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105</v>
      </c>
      <c r="E12" t="s">
        <v>0</v>
      </c>
      <c r="G12" t="s">
        <v>8</v>
      </c>
      <c r="S12" s="3">
        <f>SUMIFS(iea_data!I3:I9999,iea_data!$B$3:$B$9999,Veda!$S$11)+T28-T29</f>
        <v>547.04999999999995</v>
      </c>
      <c r="T12" s="2" t="s">
        <v>57</v>
      </c>
      <c r="AH12" t="s">
        <v>105</v>
      </c>
      <c r="AI12" t="s">
        <v>121</v>
      </c>
      <c r="AK12" t="s">
        <v>7</v>
      </c>
      <c r="AL12" t="s">
        <v>122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106</v>
      </c>
      <c r="E13" t="s">
        <v>0</v>
      </c>
      <c r="G13" t="s">
        <v>10</v>
      </c>
      <c r="AH13" t="s">
        <v>106</v>
      </c>
      <c r="AI13" t="s">
        <v>123</v>
      </c>
      <c r="AK13" t="s">
        <v>9</v>
      </c>
      <c r="AL13" t="s">
        <v>124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107</v>
      </c>
      <c r="E14" t="str">
        <f t="shared" ref="E14:E63" si="1">E13</f>
        <v>C1</v>
      </c>
      <c r="T14" s="8">
        <f>S12</f>
        <v>547.04999999999995</v>
      </c>
      <c r="U14" s="8">
        <f t="shared" ref="U14:Z14" si="2">$S$12*J15</f>
        <v>563.4615</v>
      </c>
      <c r="V14" s="8">
        <f t="shared" si="2"/>
        <v>650.98949999999991</v>
      </c>
      <c r="W14" s="8">
        <f t="shared" si="2"/>
        <v>782.28149999999994</v>
      </c>
      <c r="X14" s="8">
        <f t="shared" si="2"/>
        <v>902.63249999999982</v>
      </c>
      <c r="Y14" s="8">
        <f t="shared" si="2"/>
        <v>990.16049999999996</v>
      </c>
      <c r="Z14" s="8">
        <f t="shared" si="2"/>
        <v>1055.8064999999999</v>
      </c>
      <c r="AH14" t="s">
        <v>107</v>
      </c>
      <c r="AI14" t="s">
        <v>125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108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1.03</v>
      </c>
      <c r="K15" s="11">
        <f>SUMIFS(ar6_r10!$F$2:$F$999,ar6_r10!$A$2:$A$999,Veda!$E$5,ar6_r10!$C$2:$C$999,Veda!K$17,ar6_r10!$M$2:$M$999,Veda!$G15)</f>
        <v>1.19</v>
      </c>
      <c r="L15" s="11">
        <f>SUMIFS(ar6_r10!$F$2:$F$999,ar6_r10!$A$2:$A$999,Veda!$E$5,ar6_r10!$C$2:$C$999,Veda!L$17,ar6_r10!$M$2:$M$999,Veda!$G15)</f>
        <v>1.43</v>
      </c>
      <c r="M15" s="11">
        <f>SUMIFS(ar6_r10!$F$2:$F$999,ar6_r10!$A$2:$A$999,Veda!$E$5,ar6_r10!$C$2:$C$999,Veda!M$17,ar6_r10!$M$2:$M$999,Veda!$G15)</f>
        <v>1.65</v>
      </c>
      <c r="N15" s="11">
        <f>SUMIFS(ar6_r10!$F$2:$F$999,ar6_r10!$A$2:$A$999,Veda!$E$5,ar6_r10!$C$2:$C$999,Veda!N$17,ar6_r10!$M$2:$M$999,Veda!$G15)</f>
        <v>1.81</v>
      </c>
      <c r="O15" s="11">
        <f>SUMIFS(ar6_r10!$F$2:$F$999,ar6_r10!$A$2:$A$999,Veda!$E$5,ar6_r10!$C$2:$C$999,Veda!O$17,ar6_r10!$M$2:$M$999,Veda!$G15)</f>
        <v>1.93</v>
      </c>
      <c r="AH15" t="s">
        <v>108</v>
      </c>
      <c r="AI15" t="s">
        <v>126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109</v>
      </c>
      <c r="E16" t="str">
        <f t="shared" si="1"/>
        <v>C1</v>
      </c>
      <c r="S16" s="5" t="s">
        <v>12</v>
      </c>
      <c r="AH16" t="s">
        <v>109</v>
      </c>
      <c r="AI16" t="s">
        <v>127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110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112</v>
      </c>
      <c r="AI17" t="s">
        <v>128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111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0.01</v>
      </c>
      <c r="J18" s="11">
        <f>SUMIFS(ar6_r10!$F$2:$F$999,ar6_r10!$A$2:$A$999,Veda!$E$5,ar6_r10!$C$2:$C$999,Veda!J$17,ar6_r10!$M$2:$M$999,Veda!$G18)</f>
        <v>0.01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0.03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0.04</v>
      </c>
      <c r="O18" s="11">
        <f>SUMIFS(ar6_r10!$F$2:$F$999,ar6_r10!$A$2:$A$999,Veda!$E$5,ar6_r10!$C$2:$C$999,Veda!O$17,ar6_r10!$M$2:$M$999,Veda!$G18)</f>
        <v>0.05</v>
      </c>
      <c r="S18" s="10" t="s">
        <v>16</v>
      </c>
      <c r="T18" s="6">
        <f t="shared" ref="T18:Z20" si="4">I18*T$14</f>
        <v>5.4704999999999995</v>
      </c>
      <c r="U18" s="6">
        <f t="shared" si="4"/>
        <v>5.6346150000000002</v>
      </c>
      <c r="V18" s="6">
        <f t="shared" si="4"/>
        <v>6.5098949999999993</v>
      </c>
      <c r="W18" s="6">
        <f t="shared" si="4"/>
        <v>23.468444999999996</v>
      </c>
      <c r="X18" s="6">
        <f t="shared" si="4"/>
        <v>27.078974999999993</v>
      </c>
      <c r="Y18" s="6">
        <f t="shared" si="4"/>
        <v>39.60642</v>
      </c>
      <c r="Z18" s="6">
        <f t="shared" si="4"/>
        <v>52.790324999999996</v>
      </c>
      <c r="AA18" t="s">
        <v>17</v>
      </c>
      <c r="AC18" s="2"/>
      <c r="AH18" t="s">
        <v>111</v>
      </c>
      <c r="AI18" t="s">
        <v>129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112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0.35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0.31</v>
      </c>
      <c r="S19" s="10" t="s">
        <v>19</v>
      </c>
      <c r="T19" s="6">
        <f t="shared" si="4"/>
        <v>191.46749999999997</v>
      </c>
      <c r="U19" s="6">
        <f t="shared" si="4"/>
        <v>180.30768</v>
      </c>
      <c r="V19" s="6">
        <f t="shared" si="4"/>
        <v>195.29684999999998</v>
      </c>
      <c r="W19" s="6">
        <f t="shared" si="4"/>
        <v>226.86163499999998</v>
      </c>
      <c r="X19" s="6">
        <f t="shared" si="4"/>
        <v>261.76342499999993</v>
      </c>
      <c r="Y19" s="6">
        <f t="shared" si="4"/>
        <v>297.04814999999996</v>
      </c>
      <c r="Z19" s="6">
        <f t="shared" si="4"/>
        <v>327.30001499999997</v>
      </c>
      <c r="AA19" t="s">
        <v>17</v>
      </c>
      <c r="AH19" t="s">
        <v>110</v>
      </c>
      <c r="AI19" t="s">
        <v>130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0.61</v>
      </c>
      <c r="J20" s="11">
        <f>SUMIFS(ar6_r10!$F$2:$F$999,ar6_r10!$A$2:$A$999,Veda!$E$5,ar6_r10!$C$2:$C$999,Veda!J$17,ar6_r10!$M$2:$M$999,Veda!$G20)</f>
        <v>0.62</v>
      </c>
      <c r="K20" s="11">
        <f>SUMIFS(ar6_r10!$F$2:$F$999,ar6_r10!$A$2:$A$999,Veda!$E$5,ar6_r10!$C$2:$C$999,Veda!K$17,ar6_r10!$M$2:$M$999,Veda!$G20)</f>
        <v>0.59</v>
      </c>
      <c r="L20" s="11">
        <f>SUMIFS(ar6_r10!$F$2:$F$999,ar6_r10!$A$2:$A$999,Veda!$E$5,ar6_r10!$C$2:$C$999,Veda!L$17,ar6_r10!$M$2:$M$999,Veda!$G20)</f>
        <v>0.56000000000000005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0.53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4"/>
        <v>333.70049999999998</v>
      </c>
      <c r="U20" s="6">
        <f t="shared" si="4"/>
        <v>349.34613000000002</v>
      </c>
      <c r="V20" s="6">
        <f t="shared" si="4"/>
        <v>384.08380499999993</v>
      </c>
      <c r="W20" s="6">
        <f t="shared" si="4"/>
        <v>438.07764000000003</v>
      </c>
      <c r="X20" s="6">
        <f t="shared" si="4"/>
        <v>487.42154999999991</v>
      </c>
      <c r="Y20" s="6">
        <f t="shared" si="4"/>
        <v>524.78506500000003</v>
      </c>
      <c r="Z20" s="6">
        <f t="shared" si="4"/>
        <v>559.57744500000001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0.1</v>
      </c>
      <c r="L21" s="11">
        <f>SUMIFS(ar6_r10!$F$2:$F$999,ar6_r10!$A$2:$A$999,Veda!$E$5,ar6_r10!$C$2:$C$999,Veda!L$17,ar6_r10!$M$2:$M$999,Veda!$G21)</f>
        <v>0.14000000000000001</v>
      </c>
      <c r="M21" s="11">
        <f>SUMIFS(ar6_r10!$F$2:$F$999,ar6_r10!$A$2:$A$999,Veda!$E$5,ar6_r10!$C$2:$C$999,Veda!M$17,ar6_r10!$M$2:$M$999,Veda!$G21)</f>
        <v>0.17</v>
      </c>
      <c r="N21" s="11">
        <f>SUMIFS(ar6_r10!$F$2:$F$999,ar6_r10!$A$2:$A$999,Veda!$E$5,ar6_r10!$C$2:$C$999,Veda!N$17,ar6_r10!$M$2:$M$999,Veda!$G21)</f>
        <v>0.19</v>
      </c>
      <c r="O21" s="11">
        <f>SUMIFS(ar6_r10!$F$2:$F$999,ar6_r10!$A$2:$A$999,Veda!$E$5,ar6_r10!$C$2:$C$999,Veda!O$17,ar6_r10!$M$2:$M$999,Veda!$G21)</f>
        <v>0.2</v>
      </c>
      <c r="S21" s="10" t="s">
        <v>24</v>
      </c>
      <c r="T21" s="6">
        <f>I21*T$14</f>
        <v>16.411499999999997</v>
      </c>
      <c r="U21" s="6">
        <f t="shared" ref="U21:Z21" si="6">T21</f>
        <v>16.411499999999997</v>
      </c>
      <c r="V21" s="6">
        <f t="shared" si="6"/>
        <v>16.411499999999997</v>
      </c>
      <c r="W21" s="6">
        <f t="shared" si="6"/>
        <v>16.411499999999997</v>
      </c>
      <c r="X21" s="6">
        <f t="shared" si="6"/>
        <v>16.411499999999997</v>
      </c>
      <c r="Y21" s="6">
        <f t="shared" si="6"/>
        <v>16.411499999999997</v>
      </c>
      <c r="Z21" s="6">
        <f t="shared" si="6"/>
        <v>16.411499999999997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5.4705000000000155</v>
      </c>
      <c r="U22" s="6">
        <f t="shared" si="7"/>
        <v>17.396189999999933</v>
      </c>
      <c r="V22" s="6">
        <f t="shared" si="7"/>
        <v>55.197344999999927</v>
      </c>
      <c r="W22" s="6">
        <f t="shared" si="7"/>
        <v>100.93072499999994</v>
      </c>
      <c r="X22" s="6">
        <f t="shared" si="7"/>
        <v>137.03602499999988</v>
      </c>
      <c r="Y22" s="6">
        <f t="shared" si="7"/>
        <v>151.91578499999991</v>
      </c>
      <c r="Z22" s="6">
        <f t="shared" si="7"/>
        <v>152.51753999999994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241.69</v>
      </c>
      <c r="L24" s="8">
        <f>SUMIFS(ar6_r10!$F$2:$F$999,ar6_r10!$A$2:$A$999,Veda!$E$5,ar6_r10!$C$2:$C$999,Veda!L$17,ar6_r10!$M$2:$M$999,Veda!$G24)</f>
        <v>339.03</v>
      </c>
      <c r="M24" s="8">
        <f>SUMIFS(ar6_r10!$F$2:$F$999,ar6_r10!$A$2:$A$999,Veda!$E$5,ar6_r10!$C$2:$C$999,Veda!M$17,ar6_r10!$M$2:$M$999,Veda!$G24)</f>
        <v>410.28</v>
      </c>
      <c r="N24" s="8">
        <f>SUMIFS(ar6_r10!$F$2:$F$999,ar6_r10!$A$2:$A$999,Veda!$E$5,ar6_r10!$C$2:$C$999,Veda!N$17,ar6_r10!$M$2:$M$999,Veda!$G24)</f>
        <v>494.2</v>
      </c>
      <c r="O24" s="8">
        <f>SUMIFS(ar6_r10!$F$2:$F$999,ar6_r10!$A$2:$A$999,Veda!$E$5,ar6_r10!$C$2:$C$999,Veda!O$17,ar6_r10!$M$2:$M$999,Veda!$G24)</f>
        <v>635.42999999999995</v>
      </c>
      <c r="S24" t="s">
        <v>28</v>
      </c>
      <c r="U24">
        <v>0</v>
      </c>
      <c r="V24" s="11">
        <f>K24/1000</f>
        <v>0.24168999999999999</v>
      </c>
      <c r="W24" s="11">
        <f>L24/1000</f>
        <v>0.33903</v>
      </c>
      <c r="X24" s="11">
        <f>M24/1000</f>
        <v>0.41027999999999998</v>
      </c>
      <c r="Y24" s="11">
        <f>N24/1000</f>
        <v>0.49419999999999997</v>
      </c>
      <c r="Z24" s="11">
        <f>O24/1000</f>
        <v>0.63542999999999994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49.33</v>
      </c>
      <c r="S28" t="s">
        <v>32</v>
      </c>
      <c r="T28" s="3">
        <f>Q28</f>
        <v>49.33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-76.59</v>
      </c>
      <c r="S29" t="s">
        <v>35</v>
      </c>
      <c r="T29" s="3">
        <f>-1*Q29</f>
        <v>76.59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84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113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82</v>
      </c>
      <c r="S44" t="s">
        <v>83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78</v>
      </c>
      <c r="H45" t="str">
        <f>G45</f>
        <v>Gas</v>
      </c>
      <c r="I45">
        <f t="shared" ref="I45:O48" si="10">AVERAGE($R45:$S45)*I37</f>
        <v>35.1</v>
      </c>
      <c r="J45">
        <f t="shared" si="10"/>
        <v>37.557000000000002</v>
      </c>
      <c r="K45">
        <f t="shared" si="10"/>
        <v>43.524000000000001</v>
      </c>
      <c r="L45">
        <f t="shared" si="10"/>
        <v>40.365000000000002</v>
      </c>
      <c r="M45">
        <f t="shared" si="10"/>
        <v>43.875</v>
      </c>
      <c r="N45">
        <f t="shared" si="10"/>
        <v>41.067</v>
      </c>
      <c r="O45">
        <f t="shared" si="10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79</v>
      </c>
      <c r="H46" t="str">
        <f t="shared" ref="H46:H48" si="11">G46</f>
        <v>Coal</v>
      </c>
      <c r="I46">
        <f t="shared" si="10"/>
        <v>15.2</v>
      </c>
      <c r="J46">
        <f t="shared" si="10"/>
        <v>15.504</v>
      </c>
      <c r="K46">
        <f t="shared" si="10"/>
        <v>16.111999999999998</v>
      </c>
      <c r="L46">
        <f t="shared" si="10"/>
        <v>16.263999999999999</v>
      </c>
      <c r="M46">
        <f t="shared" si="10"/>
        <v>16.416</v>
      </c>
      <c r="N46">
        <f t="shared" si="10"/>
        <v>16.72</v>
      </c>
      <c r="O46">
        <f t="shared" si="10"/>
        <v>17.024000000000001</v>
      </c>
      <c r="R46">
        <f>HLOOKUP($G46&amp;"_"&amp;R$44,fuel_prices!$B$10:$I$11,2,FALSE)</f>
        <v>13.7</v>
      </c>
      <c r="S46">
        <f>HLOOKUP($G46&amp;"_"&amp;S$44,fuel_prices!$B$10:$I$11,2,FALSE)</f>
        <v>16.7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80</v>
      </c>
      <c r="H47" t="str">
        <f t="shared" si="11"/>
        <v>Oil</v>
      </c>
      <c r="I47">
        <f t="shared" si="10"/>
        <v>53</v>
      </c>
      <c r="J47">
        <f t="shared" si="10"/>
        <v>53.53</v>
      </c>
      <c r="K47">
        <f t="shared" si="10"/>
        <v>58.830000000000005</v>
      </c>
      <c r="L47">
        <f t="shared" si="10"/>
        <v>53.53</v>
      </c>
      <c r="M47">
        <f t="shared" si="10"/>
        <v>53.53</v>
      </c>
      <c r="N47">
        <f t="shared" si="10"/>
        <v>55.120000000000005</v>
      </c>
      <c r="O47">
        <f t="shared" si="10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81</v>
      </c>
      <c r="H48" t="str">
        <f t="shared" si="11"/>
        <v>Bioenergy</v>
      </c>
      <c r="I48">
        <f t="shared" si="10"/>
        <v>28</v>
      </c>
      <c r="J48">
        <f t="shared" si="10"/>
        <v>26.88</v>
      </c>
      <c r="K48">
        <f t="shared" si="10"/>
        <v>29.12</v>
      </c>
      <c r="L48">
        <f t="shared" si="10"/>
        <v>29.12</v>
      </c>
      <c r="M48">
        <f t="shared" si="10"/>
        <v>27.439999999999998</v>
      </c>
      <c r="N48">
        <f t="shared" si="10"/>
        <v>27.72</v>
      </c>
      <c r="O48">
        <f t="shared" si="10"/>
        <v>28</v>
      </c>
      <c r="R48">
        <f>HLOOKUP($G48&amp;"_"&amp;R$44,fuel_prices!$B$10:$I$11,2,FALSE)</f>
        <v>24</v>
      </c>
      <c r="S48">
        <f>HLOOKUP($G48&amp;"_"&amp;S$44,fuel_prices!$B$10:$I$11,2,FALSE)</f>
        <v>32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137</v>
      </c>
      <c r="B11">
        <v>29.1</v>
      </c>
      <c r="C11">
        <v>41.1</v>
      </c>
      <c r="D11">
        <v>13.7</v>
      </c>
      <c r="E11">
        <v>16.7</v>
      </c>
      <c r="F11">
        <v>48</v>
      </c>
      <c r="G11">
        <v>58</v>
      </c>
      <c r="H11">
        <v>24</v>
      </c>
      <c r="I11">
        <v>32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137</v>
      </c>
      <c r="B11">
        <v>2000</v>
      </c>
      <c r="C11">
        <v>296.72000000000003</v>
      </c>
      <c r="D11">
        <v>255.95</v>
      </c>
      <c r="E11">
        <v>15.91</v>
      </c>
      <c r="F11">
        <v>0</v>
      </c>
      <c r="G11">
        <v>45.13</v>
      </c>
      <c r="H11">
        <v>-42.08</v>
      </c>
      <c r="I11">
        <v>572.30999999999995</v>
      </c>
    </row>
    <row r="12" spans="1:9" x14ac:dyDescent="0.45">
      <c r="A12" t="s">
        <v>137</v>
      </c>
      <c r="B12">
        <v>2001</v>
      </c>
      <c r="C12">
        <v>302.91000000000003</v>
      </c>
      <c r="D12">
        <v>259.64</v>
      </c>
      <c r="E12">
        <v>16.399999999999999</v>
      </c>
      <c r="F12">
        <v>0</v>
      </c>
      <c r="G12">
        <v>45.78</v>
      </c>
      <c r="H12">
        <v>-42.12</v>
      </c>
      <c r="I12">
        <v>581.89</v>
      </c>
    </row>
    <row r="13" spans="1:9" x14ac:dyDescent="0.45">
      <c r="A13" t="s">
        <v>137</v>
      </c>
      <c r="B13">
        <v>2002</v>
      </c>
      <c r="C13">
        <v>297.20999999999998</v>
      </c>
      <c r="D13">
        <v>271.74</v>
      </c>
      <c r="E13">
        <v>16.190000000000001</v>
      </c>
      <c r="F13">
        <v>0</v>
      </c>
      <c r="G13">
        <v>48.37</v>
      </c>
      <c r="H13">
        <v>-38.369999999999997</v>
      </c>
      <c r="I13">
        <v>581.95000000000005</v>
      </c>
    </row>
    <row r="14" spans="1:9" x14ac:dyDescent="0.45">
      <c r="A14" t="s">
        <v>137</v>
      </c>
      <c r="B14">
        <v>2003</v>
      </c>
      <c r="C14">
        <v>299.02999999999997</v>
      </c>
      <c r="D14">
        <v>281.33</v>
      </c>
      <c r="E14">
        <v>13.04</v>
      </c>
      <c r="F14">
        <v>0.02</v>
      </c>
      <c r="G14">
        <v>49.11</v>
      </c>
      <c r="H14">
        <v>-52.38</v>
      </c>
      <c r="I14">
        <v>604.67999999999995</v>
      </c>
    </row>
    <row r="15" spans="1:9" x14ac:dyDescent="0.45">
      <c r="A15" t="s">
        <v>137</v>
      </c>
      <c r="B15">
        <v>2004</v>
      </c>
      <c r="C15">
        <v>306.79000000000002</v>
      </c>
      <c r="D15">
        <v>281.62</v>
      </c>
      <c r="E15">
        <v>12.88</v>
      </c>
      <c r="F15">
        <v>0.02</v>
      </c>
      <c r="G15">
        <v>48.19</v>
      </c>
      <c r="H15">
        <v>-50.81</v>
      </c>
      <c r="I15">
        <v>612.36</v>
      </c>
    </row>
    <row r="16" spans="1:9" x14ac:dyDescent="0.45">
      <c r="A16" t="s">
        <v>137</v>
      </c>
      <c r="B16">
        <v>2005</v>
      </c>
      <c r="C16">
        <v>312.43</v>
      </c>
      <c r="D16">
        <v>278.70999999999998</v>
      </c>
      <c r="E16">
        <v>13.12</v>
      </c>
      <c r="F16">
        <v>0.02</v>
      </c>
      <c r="G16">
        <v>56.86</v>
      </c>
      <c r="H16">
        <v>-61.43</v>
      </c>
      <c r="I16">
        <v>616.34</v>
      </c>
    </row>
    <row r="17" spans="1:9" x14ac:dyDescent="0.45">
      <c r="A17" t="s">
        <v>137</v>
      </c>
      <c r="B17">
        <v>2006</v>
      </c>
      <c r="C17">
        <v>312.93</v>
      </c>
      <c r="D17">
        <v>283.64999999999998</v>
      </c>
      <c r="E17">
        <v>12.67</v>
      </c>
      <c r="F17">
        <v>0.02</v>
      </c>
      <c r="G17">
        <v>48.46</v>
      </c>
      <c r="H17">
        <v>-65.44</v>
      </c>
      <c r="I17">
        <v>633.35</v>
      </c>
    </row>
    <row r="18" spans="1:9" x14ac:dyDescent="0.45">
      <c r="A18" t="s">
        <v>137</v>
      </c>
      <c r="B18">
        <v>2007</v>
      </c>
      <c r="C18">
        <v>320.33</v>
      </c>
      <c r="D18">
        <v>277.98</v>
      </c>
      <c r="E18">
        <v>12.22</v>
      </c>
      <c r="F18">
        <v>0.02</v>
      </c>
      <c r="G18">
        <v>45.95</v>
      </c>
      <c r="H18">
        <v>-62.51</v>
      </c>
      <c r="I18">
        <v>634.44000000000005</v>
      </c>
    </row>
    <row r="19" spans="1:9" x14ac:dyDescent="0.45">
      <c r="A19" t="s">
        <v>137</v>
      </c>
      <c r="B19">
        <v>2008</v>
      </c>
      <c r="C19">
        <v>315.16000000000003</v>
      </c>
      <c r="D19">
        <v>281.69</v>
      </c>
      <c r="E19">
        <v>11.09</v>
      </c>
      <c r="F19">
        <v>0.02</v>
      </c>
      <c r="G19">
        <v>41.67</v>
      </c>
      <c r="H19">
        <v>-61.77</v>
      </c>
      <c r="I19">
        <v>635.20000000000005</v>
      </c>
    </row>
    <row r="20" spans="1:9" x14ac:dyDescent="0.45">
      <c r="A20" t="s">
        <v>137</v>
      </c>
      <c r="B20">
        <v>2009</v>
      </c>
      <c r="C20">
        <v>276.39</v>
      </c>
      <c r="D20">
        <v>283.85000000000002</v>
      </c>
      <c r="E20">
        <v>11.58</v>
      </c>
      <c r="F20">
        <v>0.02</v>
      </c>
      <c r="G20">
        <v>41.86</v>
      </c>
      <c r="H20">
        <v>-54.13</v>
      </c>
      <c r="I20">
        <v>590.82000000000005</v>
      </c>
    </row>
    <row r="21" spans="1:9" x14ac:dyDescent="0.45">
      <c r="A21" t="s">
        <v>137</v>
      </c>
      <c r="B21">
        <v>2010</v>
      </c>
      <c r="C21">
        <v>301.16000000000003</v>
      </c>
      <c r="D21">
        <v>291.42</v>
      </c>
      <c r="E21">
        <v>12.06</v>
      </c>
      <c r="F21">
        <v>0.02</v>
      </c>
      <c r="G21">
        <v>42.96</v>
      </c>
      <c r="H21">
        <v>-57.92</v>
      </c>
      <c r="I21">
        <v>626.72</v>
      </c>
    </row>
    <row r="22" spans="1:9" x14ac:dyDescent="0.45">
      <c r="A22" t="s">
        <v>137</v>
      </c>
      <c r="B22">
        <v>2011</v>
      </c>
      <c r="C22">
        <v>306.11</v>
      </c>
      <c r="D22">
        <v>278.54000000000002</v>
      </c>
      <c r="E22">
        <v>12.08</v>
      </c>
      <c r="F22">
        <v>0.02</v>
      </c>
      <c r="G22">
        <v>51</v>
      </c>
      <c r="H22">
        <v>-54.77</v>
      </c>
      <c r="I22">
        <v>607.28</v>
      </c>
    </row>
    <row r="23" spans="1:9" x14ac:dyDescent="0.45">
      <c r="A23" t="s">
        <v>137</v>
      </c>
      <c r="B23">
        <v>2012</v>
      </c>
      <c r="C23">
        <v>300.92</v>
      </c>
      <c r="D23">
        <v>281.91000000000003</v>
      </c>
      <c r="E23">
        <v>12</v>
      </c>
      <c r="F23">
        <v>0.03</v>
      </c>
      <c r="G23">
        <v>46.27</v>
      </c>
      <c r="H23">
        <v>-66.81</v>
      </c>
      <c r="I23">
        <v>622.22</v>
      </c>
    </row>
    <row r="24" spans="1:9" x14ac:dyDescent="0.45">
      <c r="A24" t="s">
        <v>137</v>
      </c>
      <c r="B24">
        <v>2013</v>
      </c>
      <c r="C24">
        <v>299.36</v>
      </c>
      <c r="D24">
        <v>282.54000000000002</v>
      </c>
      <c r="E24">
        <v>11.89</v>
      </c>
      <c r="F24">
        <v>0.04</v>
      </c>
      <c r="G24">
        <v>39.22</v>
      </c>
      <c r="H24">
        <v>-71.42</v>
      </c>
      <c r="I24">
        <v>632.91999999999996</v>
      </c>
    </row>
    <row r="25" spans="1:9" x14ac:dyDescent="0.45">
      <c r="A25" t="s">
        <v>137</v>
      </c>
      <c r="B25">
        <v>2014</v>
      </c>
      <c r="C25">
        <v>302.14</v>
      </c>
      <c r="D25">
        <v>267.37</v>
      </c>
      <c r="E25">
        <v>11.47</v>
      </c>
      <c r="F25">
        <v>0.05</v>
      </c>
      <c r="G25">
        <v>40.44</v>
      </c>
      <c r="H25">
        <v>-74.319999999999993</v>
      </c>
      <c r="I25">
        <v>621.95000000000005</v>
      </c>
    </row>
    <row r="26" spans="1:9" x14ac:dyDescent="0.45">
      <c r="A26" t="s">
        <v>137</v>
      </c>
      <c r="B26">
        <v>2015</v>
      </c>
      <c r="C26">
        <v>300.43</v>
      </c>
      <c r="D26">
        <v>274.98</v>
      </c>
      <c r="E26">
        <v>11.07</v>
      </c>
      <c r="F26">
        <v>0.08</v>
      </c>
      <c r="G26">
        <v>37.01</v>
      </c>
      <c r="H26">
        <v>-85.29</v>
      </c>
      <c r="I26">
        <v>642.39</v>
      </c>
    </row>
    <row r="27" spans="1:9" x14ac:dyDescent="0.45">
      <c r="A27" t="s">
        <v>137</v>
      </c>
      <c r="B27">
        <v>2016</v>
      </c>
      <c r="C27">
        <v>300.37</v>
      </c>
      <c r="D27">
        <v>275.24</v>
      </c>
      <c r="E27">
        <v>11.63</v>
      </c>
      <c r="F27">
        <v>0.11</v>
      </c>
      <c r="G27">
        <v>28.34</v>
      </c>
      <c r="H27">
        <v>-78.86</v>
      </c>
      <c r="I27">
        <v>644.86</v>
      </c>
    </row>
    <row r="28" spans="1:9" x14ac:dyDescent="0.45">
      <c r="A28" t="s">
        <v>137</v>
      </c>
      <c r="B28">
        <v>2017</v>
      </c>
      <c r="C28">
        <v>301.43</v>
      </c>
      <c r="D28">
        <v>274.77</v>
      </c>
      <c r="E28">
        <v>11.8</v>
      </c>
      <c r="F28">
        <v>0.16</v>
      </c>
      <c r="G28">
        <v>27.84</v>
      </c>
      <c r="H28">
        <v>-80.3</v>
      </c>
      <c r="I28">
        <v>647.72</v>
      </c>
    </row>
    <row r="29" spans="1:9" x14ac:dyDescent="0.45">
      <c r="A29" t="s">
        <v>137</v>
      </c>
      <c r="B29">
        <v>2018</v>
      </c>
      <c r="C29">
        <v>299.7</v>
      </c>
      <c r="D29">
        <v>266.49</v>
      </c>
      <c r="E29">
        <v>11.86</v>
      </c>
      <c r="F29">
        <v>0.23</v>
      </c>
      <c r="G29">
        <v>31.73</v>
      </c>
      <c r="H29">
        <v>-80.459999999999994</v>
      </c>
      <c r="I29">
        <v>634.29999999999995</v>
      </c>
    </row>
    <row r="30" spans="1:9" x14ac:dyDescent="0.45">
      <c r="A30" t="s">
        <v>137</v>
      </c>
      <c r="B30">
        <v>2019</v>
      </c>
      <c r="C30">
        <v>288.64999999999998</v>
      </c>
      <c r="D30">
        <v>261.57</v>
      </c>
      <c r="E30">
        <v>11.27</v>
      </c>
      <c r="F30">
        <v>0.34</v>
      </c>
      <c r="G30">
        <v>40.130000000000003</v>
      </c>
      <c r="H30">
        <v>-72.790000000000006</v>
      </c>
      <c r="I30">
        <v>600.98</v>
      </c>
    </row>
    <row r="31" spans="1:9" x14ac:dyDescent="0.45">
      <c r="A31" t="s">
        <v>137</v>
      </c>
      <c r="B31">
        <v>2020</v>
      </c>
      <c r="C31">
        <v>273.14999999999998</v>
      </c>
      <c r="D31">
        <v>259.02</v>
      </c>
      <c r="E31">
        <v>10.87</v>
      </c>
      <c r="F31">
        <v>0.66</v>
      </c>
      <c r="G31">
        <v>47.85</v>
      </c>
      <c r="H31">
        <v>-66.88</v>
      </c>
      <c r="I31">
        <v>568.91</v>
      </c>
    </row>
    <row r="32" spans="1:9" x14ac:dyDescent="0.45">
      <c r="A32" t="s">
        <v>137</v>
      </c>
      <c r="B32">
        <v>2021</v>
      </c>
      <c r="C32">
        <v>282</v>
      </c>
      <c r="D32">
        <v>269.08999999999997</v>
      </c>
      <c r="E32">
        <v>10.69</v>
      </c>
      <c r="F32">
        <v>0.55000000000000004</v>
      </c>
      <c r="G32">
        <v>51.73</v>
      </c>
      <c r="H32">
        <v>-70.31</v>
      </c>
      <c r="I32">
        <v>587.48</v>
      </c>
    </row>
    <row r="33" spans="1:9" x14ac:dyDescent="0.45">
      <c r="A33" t="s">
        <v>137</v>
      </c>
      <c r="B33">
        <v>2022</v>
      </c>
      <c r="C33">
        <v>269.70999999999998</v>
      </c>
      <c r="D33">
        <v>256.95999999999998</v>
      </c>
      <c r="E33">
        <v>10.69</v>
      </c>
      <c r="F33">
        <v>2.4500000000000002</v>
      </c>
      <c r="G33">
        <v>49.33</v>
      </c>
      <c r="H33">
        <v>-76.59</v>
      </c>
      <c r="I33">
        <v>574.30999999999995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138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138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138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138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138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138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138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138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138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138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138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138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138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138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138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138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138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138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138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138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138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138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138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138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138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138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138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138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138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138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138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138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138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138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138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138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138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138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138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138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138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138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138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138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138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138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138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138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138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138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138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138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138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138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138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138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138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138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138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138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138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138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138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138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138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138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138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138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138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138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138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138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138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138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138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138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138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138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138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138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138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138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138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138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138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138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138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138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138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138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138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138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138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138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138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138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138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138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138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138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138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138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138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138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138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138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138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138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138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138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138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138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138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138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138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138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138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138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138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138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138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138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138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138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138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138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138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138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138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138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138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138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138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138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138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138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138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138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138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138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138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138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138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138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138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138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138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138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138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138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138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138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138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138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138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138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138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138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138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138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138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138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138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138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138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138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138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138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138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138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138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138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138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138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138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138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138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138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138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138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138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138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138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138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138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138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138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138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138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138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138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138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138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138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138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138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138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138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138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138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138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138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138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138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138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138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138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138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138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138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138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138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138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138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138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138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138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138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138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138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138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138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138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138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138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138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138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138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138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138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138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138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138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138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138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138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138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138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138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138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138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138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138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138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138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138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138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138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138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138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138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138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138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138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138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138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138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138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138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138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138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138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138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138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138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138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138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138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138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138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138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138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138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138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138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138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138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138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138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138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138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138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138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138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138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138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138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138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138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138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138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138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138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138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138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138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138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138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138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138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138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138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138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138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138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138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138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138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138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138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138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138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138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138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138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138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138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138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138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138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138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138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138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138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138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138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138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138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138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138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138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138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138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138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138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138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138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138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138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138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138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138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138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138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138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138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138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138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138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138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0" x14ac:dyDescent="0.45">
      <c r="A10" t="str">
        <f>IFERROR(Veda!D5,"ts_12")</f>
        <v>s2_w</v>
      </c>
      <c r="B10" s="15"/>
      <c r="C10" s="15" t="s">
        <v>176</v>
      </c>
      <c r="D10" t="s">
        <v>106</v>
      </c>
      <c r="F10" t="s">
        <v>176</v>
      </c>
      <c r="G10" t="s">
        <v>111</v>
      </c>
      <c r="I10" t="s">
        <v>176</v>
      </c>
      <c r="J10" t="s">
        <v>112</v>
      </c>
    </row>
    <row r="11" spans="1:10" x14ac:dyDescent="0.45">
      <c r="B11" s="15"/>
      <c r="C11" s="15" t="s">
        <v>177</v>
      </c>
      <c r="D11" t="s">
        <v>178</v>
      </c>
      <c r="F11" t="s">
        <v>177</v>
      </c>
      <c r="G11" t="s">
        <v>187</v>
      </c>
      <c r="I11" t="s">
        <v>177</v>
      </c>
      <c r="J11" t="s">
        <v>206</v>
      </c>
    </row>
    <row r="12" spans="1:10" x14ac:dyDescent="0.45">
      <c r="B12" s="15"/>
      <c r="C12" s="15" t="s">
        <v>179</v>
      </c>
      <c r="D12" t="s">
        <v>180</v>
      </c>
      <c r="F12" t="s">
        <v>179</v>
      </c>
      <c r="G12" t="s">
        <v>187</v>
      </c>
      <c r="I12" t="s">
        <v>179</v>
      </c>
      <c r="J12" t="s">
        <v>207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40E53-B4C5-49C5-B756-FBA573731B88}">
  <dimension ref="A9:AM4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106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175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181</v>
      </c>
      <c r="AK10" t="s">
        <v>134</v>
      </c>
      <c r="AL10" t="s">
        <v>182</v>
      </c>
      <c r="AM10" t="s">
        <v>183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146</v>
      </c>
      <c r="I11" t="s">
        <v>156</v>
      </c>
      <c r="J11" t="s">
        <v>157</v>
      </c>
      <c r="K11">
        <v>7.8107990544888137E-2</v>
      </c>
      <c r="L11" t="s">
        <v>158</v>
      </c>
      <c r="N11" t="s">
        <v>173</v>
      </c>
      <c r="O11" t="s">
        <v>157</v>
      </c>
      <c r="P11">
        <v>0.26060889213636146</v>
      </c>
      <c r="Q11" t="s">
        <v>158</v>
      </c>
      <c r="S11" t="s">
        <v>174</v>
      </c>
      <c r="T11" t="s">
        <v>157</v>
      </c>
      <c r="U11">
        <v>0.26200197020295074</v>
      </c>
      <c r="V11" t="s">
        <v>158</v>
      </c>
      <c r="X11">
        <v>0.27762557077625571</v>
      </c>
      <c r="Y11">
        <v>0.15387812942843648</v>
      </c>
      <c r="Z11" t="s">
        <v>157</v>
      </c>
      <c r="AA11" t="s">
        <v>25</v>
      </c>
      <c r="AC11" t="s">
        <v>22</v>
      </c>
      <c r="AD11" t="s">
        <v>157</v>
      </c>
      <c r="AE11">
        <v>0.2208888783978549</v>
      </c>
      <c r="AG11" t="s">
        <v>97</v>
      </c>
      <c r="AH11" t="s">
        <v>157</v>
      </c>
      <c r="AI11">
        <v>0.47476110616327905</v>
      </c>
      <c r="AK11" t="s">
        <v>145</v>
      </c>
      <c r="AL11">
        <v>1.0411103488310727</v>
      </c>
      <c r="AM11" t="s">
        <v>184</v>
      </c>
    </row>
    <row r="12" spans="1:39" x14ac:dyDescent="0.45">
      <c r="C12" t="s">
        <v>149</v>
      </c>
      <c r="E12" t="s">
        <v>150</v>
      </c>
      <c r="G12" t="s">
        <v>146</v>
      </c>
      <c r="I12" t="s">
        <v>156</v>
      </c>
      <c r="J12" t="s">
        <v>159</v>
      </c>
      <c r="K12">
        <v>6.5003516888980858E-2</v>
      </c>
      <c r="L12" t="s">
        <v>158</v>
      </c>
      <c r="N12" t="s">
        <v>173</v>
      </c>
      <c r="O12" t="s">
        <v>159</v>
      </c>
      <c r="P12">
        <v>3.1206118544898638E-2</v>
      </c>
      <c r="Q12" t="s">
        <v>158</v>
      </c>
      <c r="S12" t="s">
        <v>174</v>
      </c>
      <c r="T12" t="s">
        <v>159</v>
      </c>
      <c r="U12">
        <v>3.2457151430750737E-2</v>
      </c>
      <c r="V12" t="s">
        <v>158</v>
      </c>
      <c r="X12">
        <v>3.4703196347031964E-2</v>
      </c>
      <c r="Y12">
        <v>4.4339474098567179E-2</v>
      </c>
      <c r="Z12" t="s">
        <v>159</v>
      </c>
      <c r="AA12" t="s">
        <v>25</v>
      </c>
      <c r="AC12" t="s">
        <v>22</v>
      </c>
      <c r="AD12" t="s">
        <v>159</v>
      </c>
      <c r="AE12">
        <v>3.9639527751667653E-2</v>
      </c>
      <c r="AG12" t="s">
        <v>97</v>
      </c>
      <c r="AH12" t="s">
        <v>159</v>
      </c>
      <c r="AI12">
        <v>0.23085979479529573</v>
      </c>
      <c r="AK12" t="s">
        <v>149</v>
      </c>
      <c r="AL12">
        <v>7.4790226397171353E-2</v>
      </c>
      <c r="AM12" t="s">
        <v>184</v>
      </c>
    </row>
    <row r="13" spans="1:39" x14ac:dyDescent="0.45">
      <c r="C13" t="s">
        <v>151</v>
      </c>
      <c r="E13" t="s">
        <v>152</v>
      </c>
      <c r="G13" t="s">
        <v>146</v>
      </c>
      <c r="I13" t="s">
        <v>156</v>
      </c>
      <c r="J13" t="s">
        <v>160</v>
      </c>
      <c r="K13">
        <v>0.70334950722266787</v>
      </c>
      <c r="L13" t="s">
        <v>158</v>
      </c>
      <c r="N13" t="s">
        <v>173</v>
      </c>
      <c r="O13" t="s">
        <v>160</v>
      </c>
      <c r="P13">
        <v>0.25288972406541288</v>
      </c>
      <c r="Q13" t="s">
        <v>158</v>
      </c>
      <c r="S13" t="s">
        <v>174</v>
      </c>
      <c r="T13" t="s">
        <v>160</v>
      </c>
      <c r="U13">
        <v>0.25668955675851091</v>
      </c>
      <c r="V13" t="s">
        <v>158</v>
      </c>
      <c r="X13">
        <v>0.27762557077625571</v>
      </c>
      <c r="Y13">
        <v>0.3837379940166904</v>
      </c>
      <c r="Z13" t="s">
        <v>160</v>
      </c>
      <c r="AA13" t="s">
        <v>25</v>
      </c>
      <c r="AC13" t="s">
        <v>22</v>
      </c>
      <c r="AD13" t="s">
        <v>160</v>
      </c>
      <c r="AE13">
        <v>0.31647813895647581</v>
      </c>
      <c r="AG13" t="s">
        <v>97</v>
      </c>
      <c r="AH13" t="s">
        <v>160</v>
      </c>
      <c r="AI13">
        <v>0.23992613433894494</v>
      </c>
      <c r="AK13" t="s">
        <v>151</v>
      </c>
      <c r="AL13">
        <v>8.4099424771755762E-2</v>
      </c>
      <c r="AM13" t="s">
        <v>184</v>
      </c>
    </row>
    <row r="14" spans="1:39" x14ac:dyDescent="0.45">
      <c r="E14" t="s">
        <v>153</v>
      </c>
      <c r="G14" t="s">
        <v>146</v>
      </c>
      <c r="I14" t="s">
        <v>156</v>
      </c>
      <c r="J14" t="s">
        <v>161</v>
      </c>
      <c r="K14">
        <v>4.8151490398211691E-2</v>
      </c>
      <c r="L14" t="s">
        <v>158</v>
      </c>
      <c r="N14" t="s">
        <v>173</v>
      </c>
      <c r="O14" t="s">
        <v>161</v>
      </c>
      <c r="P14">
        <v>3.1999506743084445E-2</v>
      </c>
      <c r="Q14" t="s">
        <v>158</v>
      </c>
      <c r="S14" t="s">
        <v>174</v>
      </c>
      <c r="T14" t="s">
        <v>161</v>
      </c>
      <c r="U14">
        <v>3.3289317678839671E-2</v>
      </c>
      <c r="V14" t="s">
        <v>158</v>
      </c>
      <c r="X14">
        <v>3.4703196347031964E-2</v>
      </c>
      <c r="Y14">
        <v>6.7516926468272731E-2</v>
      </c>
      <c r="Z14" t="s">
        <v>161</v>
      </c>
      <c r="AA14" t="s">
        <v>25</v>
      </c>
      <c r="AC14" t="s">
        <v>22</v>
      </c>
      <c r="AD14" t="s">
        <v>161</v>
      </c>
      <c r="AE14">
        <v>3.975894798040585E-2</v>
      </c>
      <c r="AG14" t="s">
        <v>97</v>
      </c>
      <c r="AH14" t="s">
        <v>161</v>
      </c>
      <c r="AI14">
        <v>0.23882743486888347</v>
      </c>
    </row>
    <row r="15" spans="1:39" x14ac:dyDescent="0.45">
      <c r="E15" t="s">
        <v>154</v>
      </c>
      <c r="G15" t="s">
        <v>146</v>
      </c>
      <c r="I15" t="s">
        <v>156</v>
      </c>
      <c r="J15" t="s">
        <v>162</v>
      </c>
      <c r="K15">
        <v>4.3356924892110869E-2</v>
      </c>
      <c r="L15" t="s">
        <v>158</v>
      </c>
      <c r="N15" t="s">
        <v>173</v>
      </c>
      <c r="O15" t="s">
        <v>162</v>
      </c>
      <c r="P15">
        <v>0.20205253084765179</v>
      </c>
      <c r="Q15" t="s">
        <v>158</v>
      </c>
      <c r="S15" t="s">
        <v>174</v>
      </c>
      <c r="T15" t="s">
        <v>162</v>
      </c>
      <c r="U15">
        <v>0.20184095582003639</v>
      </c>
      <c r="V15" t="s">
        <v>158</v>
      </c>
      <c r="X15">
        <v>0.20821917808219179</v>
      </c>
      <c r="Y15">
        <v>0.1834041883168005</v>
      </c>
      <c r="Z15" t="s">
        <v>162</v>
      </c>
      <c r="AA15" t="s">
        <v>25</v>
      </c>
      <c r="AC15" t="s">
        <v>22</v>
      </c>
      <c r="AD15" t="s">
        <v>162</v>
      </c>
      <c r="AE15">
        <v>0.20556736373921738</v>
      </c>
      <c r="AG15" t="s">
        <v>97</v>
      </c>
      <c r="AH15" t="s">
        <v>162</v>
      </c>
      <c r="AI15">
        <v>0.35035778828367747</v>
      </c>
    </row>
    <row r="16" spans="1:39" x14ac:dyDescent="0.45">
      <c r="I16" t="s">
        <v>156</v>
      </c>
      <c r="J16" t="s">
        <v>163</v>
      </c>
      <c r="K16">
        <v>1.0476133313176833E-4</v>
      </c>
      <c r="L16" t="s">
        <v>158</v>
      </c>
      <c r="N16" t="s">
        <v>173</v>
      </c>
      <c r="O16" t="s">
        <v>163</v>
      </c>
      <c r="P16">
        <v>3.0971590824189835E-2</v>
      </c>
      <c r="Q16" t="s">
        <v>158</v>
      </c>
      <c r="S16" t="s">
        <v>174</v>
      </c>
      <c r="T16" t="s">
        <v>163</v>
      </c>
      <c r="U16">
        <v>3.0583179309229491E-2</v>
      </c>
      <c r="V16" t="s">
        <v>158</v>
      </c>
      <c r="X16">
        <v>2.7397260273972601E-2</v>
      </c>
      <c r="Y16">
        <v>1.5185341719911493E-2</v>
      </c>
      <c r="Z16" t="s">
        <v>163</v>
      </c>
      <c r="AA16" t="s">
        <v>25</v>
      </c>
      <c r="AC16" t="s">
        <v>22</v>
      </c>
      <c r="AD16" t="s">
        <v>163</v>
      </c>
      <c r="AE16">
        <v>2.2919471767299051E-2</v>
      </c>
      <c r="AG16" t="s">
        <v>97</v>
      </c>
      <c r="AH16" t="s">
        <v>163</v>
      </c>
      <c r="AI16">
        <v>0.29355900960118486</v>
      </c>
    </row>
    <row r="17" spans="9:35" x14ac:dyDescent="0.45">
      <c r="I17" t="s">
        <v>156</v>
      </c>
      <c r="J17" t="s">
        <v>164</v>
      </c>
      <c r="K17">
        <v>1.2538470161843739E-3</v>
      </c>
      <c r="L17" t="s">
        <v>158</v>
      </c>
      <c r="N17" t="s">
        <v>173</v>
      </c>
      <c r="O17" t="s">
        <v>164</v>
      </c>
      <c r="P17">
        <v>3.8119593032673637E-3</v>
      </c>
      <c r="Q17" t="s">
        <v>158</v>
      </c>
      <c r="S17" t="s">
        <v>174</v>
      </c>
      <c r="T17" t="s">
        <v>164</v>
      </c>
      <c r="U17">
        <v>3.7651324667083864E-3</v>
      </c>
      <c r="V17" t="s">
        <v>158</v>
      </c>
      <c r="X17">
        <v>3.4246575342465752E-3</v>
      </c>
      <c r="Y17">
        <v>4.3756059965691279E-3</v>
      </c>
      <c r="Z17" t="s">
        <v>164</v>
      </c>
      <c r="AA17" t="s">
        <v>25</v>
      </c>
      <c r="AC17" t="s">
        <v>22</v>
      </c>
      <c r="AD17" t="s">
        <v>164</v>
      </c>
      <c r="AE17">
        <v>4.0647792252521209E-3</v>
      </c>
      <c r="AG17" t="s">
        <v>97</v>
      </c>
      <c r="AH17" t="s">
        <v>164</v>
      </c>
      <c r="AI17">
        <v>9.8207429969362936E-2</v>
      </c>
    </row>
    <row r="18" spans="9:35" x14ac:dyDescent="0.45">
      <c r="I18" t="s">
        <v>156</v>
      </c>
      <c r="J18" t="s">
        <v>165</v>
      </c>
      <c r="K18">
        <v>2.7269792310729568E-2</v>
      </c>
      <c r="L18" t="s">
        <v>158</v>
      </c>
      <c r="N18" t="s">
        <v>173</v>
      </c>
      <c r="O18" t="s">
        <v>165</v>
      </c>
      <c r="P18">
        <v>2.8562231805986021E-2</v>
      </c>
      <c r="Q18" t="s">
        <v>158</v>
      </c>
      <c r="S18" t="s">
        <v>174</v>
      </c>
      <c r="T18" t="s">
        <v>165</v>
      </c>
      <c r="U18">
        <v>2.9768827736807307E-2</v>
      </c>
      <c r="V18" t="s">
        <v>158</v>
      </c>
      <c r="X18">
        <v>2.7397260273972601E-2</v>
      </c>
      <c r="Y18">
        <v>3.7868880988489173E-2</v>
      </c>
      <c r="Z18" t="s">
        <v>165</v>
      </c>
      <c r="AA18" t="s">
        <v>25</v>
      </c>
      <c r="AC18" t="s">
        <v>22</v>
      </c>
      <c r="AD18" t="s">
        <v>165</v>
      </c>
      <c r="AE18">
        <v>3.2669085535851732E-2</v>
      </c>
      <c r="AG18" t="s">
        <v>97</v>
      </c>
      <c r="AH18" t="s">
        <v>165</v>
      </c>
      <c r="AI18">
        <v>0.10464558577295646</v>
      </c>
    </row>
    <row r="19" spans="9:35" x14ac:dyDescent="0.45">
      <c r="I19" t="s">
        <v>156</v>
      </c>
      <c r="J19" t="s">
        <v>166</v>
      </c>
      <c r="K19">
        <v>8.1893093857031315E-5</v>
      </c>
      <c r="L19" t="s">
        <v>158</v>
      </c>
      <c r="N19" t="s">
        <v>173</v>
      </c>
      <c r="O19" t="s">
        <v>166</v>
      </c>
      <c r="P19">
        <v>3.5743609788995074E-3</v>
      </c>
      <c r="Q19" t="s">
        <v>158</v>
      </c>
      <c r="S19" t="s">
        <v>174</v>
      </c>
      <c r="T19" t="s">
        <v>166</v>
      </c>
      <c r="U19">
        <v>3.6848351928343848E-3</v>
      </c>
      <c r="V19" t="s">
        <v>158</v>
      </c>
      <c r="X19">
        <v>3.4246575342465752E-3</v>
      </c>
      <c r="Y19">
        <v>6.662854585684809E-3</v>
      </c>
      <c r="Z19" t="s">
        <v>166</v>
      </c>
      <c r="AA19" t="s">
        <v>25</v>
      </c>
      <c r="AC19" t="s">
        <v>22</v>
      </c>
      <c r="AD19" t="s">
        <v>166</v>
      </c>
      <c r="AE19">
        <v>4.1914023878137424E-3</v>
      </c>
      <c r="AG19" t="s">
        <v>97</v>
      </c>
      <c r="AH19" t="s">
        <v>166</v>
      </c>
      <c r="AI19">
        <v>8.3920125831570491E-2</v>
      </c>
    </row>
    <row r="20" spans="9:35" x14ac:dyDescent="0.45">
      <c r="I20" t="s">
        <v>156</v>
      </c>
      <c r="J20" t="s">
        <v>167</v>
      </c>
      <c r="K20">
        <v>0</v>
      </c>
      <c r="L20" t="s">
        <v>158</v>
      </c>
      <c r="N20" t="s">
        <v>173</v>
      </c>
      <c r="O20" t="s">
        <v>167</v>
      </c>
      <c r="P20">
        <v>2.1859367861878292E-2</v>
      </c>
      <c r="Q20" t="s">
        <v>158</v>
      </c>
      <c r="S20" t="s">
        <v>174</v>
      </c>
      <c r="T20" t="s">
        <v>167</v>
      </c>
      <c r="U20">
        <v>2.2846534635290027E-2</v>
      </c>
      <c r="V20" t="s">
        <v>158</v>
      </c>
      <c r="X20">
        <v>2.0547945205479451E-2</v>
      </c>
      <c r="Y20">
        <v>1.8099097531263209E-2</v>
      </c>
      <c r="Z20" t="s">
        <v>167</v>
      </c>
      <c r="AA20" t="s">
        <v>25</v>
      </c>
      <c r="AC20" t="s">
        <v>22</v>
      </c>
      <c r="AD20" t="s">
        <v>167</v>
      </c>
      <c r="AE20">
        <v>2.1718542337258902E-2</v>
      </c>
      <c r="AG20" t="s">
        <v>97</v>
      </c>
      <c r="AH20" t="s">
        <v>167</v>
      </c>
      <c r="AI20">
        <v>0.18965932033405553</v>
      </c>
    </row>
    <row r="21" spans="9:35" x14ac:dyDescent="0.45">
      <c r="I21" t="s">
        <v>156</v>
      </c>
      <c r="J21" t="s">
        <v>168</v>
      </c>
      <c r="K21">
        <v>0</v>
      </c>
      <c r="L21" t="s">
        <v>158</v>
      </c>
      <c r="N21" t="s">
        <v>173</v>
      </c>
      <c r="O21" t="s">
        <v>168</v>
      </c>
      <c r="P21">
        <v>4.4111963877289356E-2</v>
      </c>
      <c r="Q21" t="s">
        <v>158</v>
      </c>
      <c r="S21" t="s">
        <v>174</v>
      </c>
      <c r="T21" t="s">
        <v>168</v>
      </c>
      <c r="U21">
        <v>4.1175686644493996E-2</v>
      </c>
      <c r="V21" t="s">
        <v>158</v>
      </c>
      <c r="X21">
        <v>2.8310502283105023E-2</v>
      </c>
      <c r="Y21">
        <v>1.5691519777241876E-2</v>
      </c>
      <c r="Z21" t="s">
        <v>168</v>
      </c>
      <c r="AA21" t="s">
        <v>25</v>
      </c>
      <c r="AC21" t="s">
        <v>22</v>
      </c>
      <c r="AD21" t="s">
        <v>168</v>
      </c>
      <c r="AE21">
        <v>2.4942998885035525E-2</v>
      </c>
      <c r="AG21" t="s">
        <v>97</v>
      </c>
      <c r="AH21" t="s">
        <v>168</v>
      </c>
      <c r="AI21">
        <v>0.26445797953675454</v>
      </c>
    </row>
    <row r="22" spans="9:35" x14ac:dyDescent="0.45">
      <c r="I22" t="s">
        <v>156</v>
      </c>
      <c r="J22" t="s">
        <v>169</v>
      </c>
      <c r="K22">
        <v>1.0272097371431923E-3</v>
      </c>
      <c r="L22" t="s">
        <v>158</v>
      </c>
      <c r="N22" t="s">
        <v>173</v>
      </c>
      <c r="O22" t="s">
        <v>169</v>
      </c>
      <c r="P22">
        <v>5.7849962600277742E-3</v>
      </c>
      <c r="Q22" t="s">
        <v>158</v>
      </c>
      <c r="S22" t="s">
        <v>174</v>
      </c>
      <c r="T22" t="s">
        <v>169</v>
      </c>
      <c r="U22">
        <v>5.2610554246647918E-3</v>
      </c>
      <c r="V22" t="s">
        <v>158</v>
      </c>
      <c r="X22">
        <v>3.5388127853881279E-3</v>
      </c>
      <c r="Y22">
        <v>4.521459529788099E-3</v>
      </c>
      <c r="Z22" t="s">
        <v>169</v>
      </c>
      <c r="AA22" t="s">
        <v>25</v>
      </c>
      <c r="AC22" t="s">
        <v>22</v>
      </c>
      <c r="AD22" t="s">
        <v>169</v>
      </c>
      <c r="AE22">
        <v>4.3968656823916716E-3</v>
      </c>
      <c r="AG22" t="s">
        <v>97</v>
      </c>
      <c r="AH22" t="s">
        <v>169</v>
      </c>
      <c r="AI22">
        <v>6.750385296878858E-2</v>
      </c>
    </row>
    <row r="23" spans="9:35" x14ac:dyDescent="0.45">
      <c r="I23" t="s">
        <v>156</v>
      </c>
      <c r="J23" t="s">
        <v>170</v>
      </c>
      <c r="K23">
        <v>3.2293066561926646E-2</v>
      </c>
      <c r="L23" t="s">
        <v>158</v>
      </c>
      <c r="N23" t="s">
        <v>173</v>
      </c>
      <c r="O23" t="s">
        <v>170</v>
      </c>
      <c r="P23">
        <v>4.3835527767878864E-2</v>
      </c>
      <c r="Q23" t="s">
        <v>158</v>
      </c>
      <c r="S23" t="s">
        <v>174</v>
      </c>
      <c r="T23" t="s">
        <v>170</v>
      </c>
      <c r="U23">
        <v>4.1038864927339276E-2</v>
      </c>
      <c r="V23" t="s">
        <v>158</v>
      </c>
      <c r="X23">
        <v>2.8310502283105023E-2</v>
      </c>
      <c r="Y23">
        <v>3.9131177021438819E-2</v>
      </c>
      <c r="Z23" t="s">
        <v>170</v>
      </c>
      <c r="AA23" t="s">
        <v>25</v>
      </c>
      <c r="AC23" t="s">
        <v>22</v>
      </c>
      <c r="AD23" t="s">
        <v>170</v>
      </c>
      <c r="AE23">
        <v>3.5142682799929367E-2</v>
      </c>
      <c r="AG23" t="s">
        <v>97</v>
      </c>
      <c r="AH23" t="s">
        <v>170</v>
      </c>
      <c r="AI23">
        <v>8.454102420387688E-2</v>
      </c>
    </row>
    <row r="24" spans="9:35" x14ac:dyDescent="0.45">
      <c r="I24" t="s">
        <v>156</v>
      </c>
      <c r="J24" t="s">
        <v>171</v>
      </c>
      <c r="K24">
        <v>0</v>
      </c>
      <c r="L24" t="s">
        <v>158</v>
      </c>
      <c r="N24" t="s">
        <v>173</v>
      </c>
      <c r="O24" t="s">
        <v>171</v>
      </c>
      <c r="P24">
        <v>5.5579987889586074E-3</v>
      </c>
      <c r="Q24" t="s">
        <v>158</v>
      </c>
      <c r="S24" t="s">
        <v>174</v>
      </c>
      <c r="T24" t="s">
        <v>171</v>
      </c>
      <c r="U24">
        <v>5.0881884999339905E-3</v>
      </c>
      <c r="V24" t="s">
        <v>158</v>
      </c>
      <c r="X24">
        <v>3.5388127853881279E-3</v>
      </c>
      <c r="Y24">
        <v>6.8849497385409693E-3</v>
      </c>
      <c r="Z24" t="s">
        <v>171</v>
      </c>
      <c r="AA24" t="s">
        <v>25</v>
      </c>
      <c r="AC24" t="s">
        <v>22</v>
      </c>
      <c r="AD24" t="s">
        <v>171</v>
      </c>
      <c r="AE24">
        <v>4.4859837159920953E-3</v>
      </c>
      <c r="AG24" t="s">
        <v>97</v>
      </c>
      <c r="AH24" t="s">
        <v>171</v>
      </c>
      <c r="AI24">
        <v>7.2204719550229779E-2</v>
      </c>
    </row>
    <row r="25" spans="9:35" x14ac:dyDescent="0.45">
      <c r="I25" t="s">
        <v>156</v>
      </c>
      <c r="J25" t="s">
        <v>172</v>
      </c>
      <c r="K25">
        <v>0</v>
      </c>
      <c r="L25" t="s">
        <v>158</v>
      </c>
      <c r="N25" t="s">
        <v>173</v>
      </c>
      <c r="O25" t="s">
        <v>172</v>
      </c>
      <c r="P25">
        <v>3.3173230194001944E-2</v>
      </c>
      <c r="Q25" t="s">
        <v>158</v>
      </c>
      <c r="S25" t="s">
        <v>174</v>
      </c>
      <c r="T25" t="s">
        <v>172</v>
      </c>
      <c r="U25">
        <v>3.0508743271377835E-2</v>
      </c>
      <c r="V25" t="s">
        <v>158</v>
      </c>
      <c r="X25">
        <v>2.1232876712328767E-2</v>
      </c>
      <c r="Y25">
        <v>1.8702400782305319E-2</v>
      </c>
      <c r="Z25" t="s">
        <v>172</v>
      </c>
      <c r="AA25" t="s">
        <v>25</v>
      </c>
      <c r="AC25" t="s">
        <v>22</v>
      </c>
      <c r="AD25" t="s">
        <v>172</v>
      </c>
      <c r="AE25">
        <v>2.313533083755422E-2</v>
      </c>
      <c r="AG25" t="s">
        <v>97</v>
      </c>
      <c r="AH25" t="s">
        <v>172</v>
      </c>
      <c r="AI25">
        <v>0.173387686403907</v>
      </c>
    </row>
    <row r="26" spans="9:35" x14ac:dyDescent="0.45">
      <c r="AC26" t="s">
        <v>19</v>
      </c>
      <c r="AD26" t="s">
        <v>157</v>
      </c>
      <c r="AE26">
        <v>0.27462231013662952</v>
      </c>
    </row>
    <row r="27" spans="9:35" x14ac:dyDescent="0.45">
      <c r="AC27" t="s">
        <v>19</v>
      </c>
      <c r="AD27" t="s">
        <v>159</v>
      </c>
      <c r="AE27">
        <v>3.5002271949934216E-2</v>
      </c>
    </row>
    <row r="28" spans="9:35" x14ac:dyDescent="0.45">
      <c r="AC28" t="s">
        <v>19</v>
      </c>
      <c r="AD28" t="s">
        <v>160</v>
      </c>
      <c r="AE28">
        <v>0.27998239564130795</v>
      </c>
    </row>
    <row r="29" spans="9:35" x14ac:dyDescent="0.45">
      <c r="AC29" t="s">
        <v>19</v>
      </c>
      <c r="AD29" t="s">
        <v>161</v>
      </c>
      <c r="AE29">
        <v>3.5008968336466391E-2</v>
      </c>
    </row>
    <row r="30" spans="9:35" x14ac:dyDescent="0.45">
      <c r="AC30" t="s">
        <v>19</v>
      </c>
      <c r="AD30" t="s">
        <v>162</v>
      </c>
      <c r="AE30">
        <v>0.20820413028637427</v>
      </c>
    </row>
    <row r="31" spans="9:35" x14ac:dyDescent="0.45">
      <c r="AC31" t="s">
        <v>19</v>
      </c>
      <c r="AD31" t="s">
        <v>163</v>
      </c>
      <c r="AE31">
        <v>2.7089190778074958E-2</v>
      </c>
    </row>
    <row r="32" spans="9:35" x14ac:dyDescent="0.45">
      <c r="AC32" t="s">
        <v>19</v>
      </c>
      <c r="AD32" t="s">
        <v>164</v>
      </c>
      <c r="AE32">
        <v>3.4534291370958998E-3</v>
      </c>
    </row>
    <row r="33" spans="29:31" x14ac:dyDescent="0.45">
      <c r="AC33" t="s">
        <v>19</v>
      </c>
      <c r="AD33" t="s">
        <v>165</v>
      </c>
      <c r="AE33">
        <v>2.763589197789211E-2</v>
      </c>
    </row>
    <row r="34" spans="29:31" x14ac:dyDescent="0.45">
      <c r="AC34" t="s">
        <v>19</v>
      </c>
      <c r="AD34" t="s">
        <v>166</v>
      </c>
      <c r="AE34">
        <v>3.4605294219420919E-3</v>
      </c>
    </row>
    <row r="35" spans="29:31" x14ac:dyDescent="0.45">
      <c r="AC35" t="s">
        <v>19</v>
      </c>
      <c r="AD35" t="s">
        <v>167</v>
      </c>
      <c r="AE35">
        <v>2.0570849412193257E-2</v>
      </c>
    </row>
    <row r="36" spans="29:31" x14ac:dyDescent="0.45">
      <c r="AC36" t="s">
        <v>19</v>
      </c>
      <c r="AD36" t="s">
        <v>168</v>
      </c>
      <c r="AE36">
        <v>2.8000453240712094E-2</v>
      </c>
    </row>
    <row r="37" spans="29:31" x14ac:dyDescent="0.45">
      <c r="AC37" t="s">
        <v>19</v>
      </c>
      <c r="AD37" t="s">
        <v>169</v>
      </c>
      <c r="AE37">
        <v>3.571774964491983E-3</v>
      </c>
    </row>
    <row r="38" spans="29:31" x14ac:dyDescent="0.45">
      <c r="AC38" t="s">
        <v>19</v>
      </c>
      <c r="AD38" t="s">
        <v>170</v>
      </c>
      <c r="AE38">
        <v>2.8572391736574776E-2</v>
      </c>
    </row>
    <row r="39" spans="29:31" x14ac:dyDescent="0.45">
      <c r="AC39" t="s">
        <v>19</v>
      </c>
      <c r="AD39" t="s">
        <v>171</v>
      </c>
      <c r="AE39">
        <v>3.5767721815152713E-3</v>
      </c>
    </row>
    <row r="40" spans="29:31" x14ac:dyDescent="0.45">
      <c r="AC40" t="s">
        <v>19</v>
      </c>
      <c r="AD40" t="s">
        <v>172</v>
      </c>
      <c r="AE40">
        <v>2.1248640798795224E-2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F8C5C-7B5E-4A54-A8C2-776FC1512751}">
  <dimension ref="A9:AM1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175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181</v>
      </c>
      <c r="AK10" t="s">
        <v>134</v>
      </c>
      <c r="AL10" t="s">
        <v>182</v>
      </c>
      <c r="AM10" t="s">
        <v>183</v>
      </c>
    </row>
    <row r="11" spans="1:39" x14ac:dyDescent="0.45">
      <c r="A11" t="str">
        <f>IFERROR(IF(Veda!D5=A10,"ok","x"),"")</f>
        <v>x</v>
      </c>
      <c r="C11" t="s">
        <v>185</v>
      </c>
      <c r="D11" t="s">
        <v>146</v>
      </c>
      <c r="E11" t="s">
        <v>186</v>
      </c>
      <c r="F11" t="s">
        <v>185</v>
      </c>
      <c r="G11" t="s">
        <v>146</v>
      </c>
      <c r="I11" t="s">
        <v>156</v>
      </c>
      <c r="J11" t="s">
        <v>187</v>
      </c>
      <c r="K11">
        <v>0.99999999999983202</v>
      </c>
      <c r="L11" t="s">
        <v>158</v>
      </c>
      <c r="N11" t="s">
        <v>173</v>
      </c>
      <c r="O11" t="s">
        <v>187</v>
      </c>
      <c r="P11">
        <v>0.99999999999978673</v>
      </c>
      <c r="Q11" t="s">
        <v>158</v>
      </c>
      <c r="S11" t="s">
        <v>174</v>
      </c>
      <c r="T11" t="s">
        <v>187</v>
      </c>
      <c r="U11">
        <v>0.99999999999976796</v>
      </c>
      <c r="V11" t="s">
        <v>158</v>
      </c>
      <c r="X11">
        <v>1</v>
      </c>
      <c r="Y11">
        <v>1.0000000000000002</v>
      </c>
      <c r="Z11" t="s">
        <v>187</v>
      </c>
      <c r="AA11" t="s">
        <v>25</v>
      </c>
      <c r="AC11" t="s">
        <v>22</v>
      </c>
      <c r="AD11" t="s">
        <v>187</v>
      </c>
      <c r="AE11">
        <v>1</v>
      </c>
      <c r="AG11" t="s">
        <v>97</v>
      </c>
      <c r="AH11" t="s">
        <v>187</v>
      </c>
      <c r="AI11">
        <v>0.34111765552101359</v>
      </c>
      <c r="AK11" t="s">
        <v>185</v>
      </c>
      <c r="AL11">
        <v>1.2</v>
      </c>
      <c r="AM11" t="s">
        <v>184</v>
      </c>
    </row>
    <row r="12" spans="1:39" x14ac:dyDescent="0.45">
      <c r="AC12" t="s">
        <v>19</v>
      </c>
      <c r="AD12" t="s">
        <v>187</v>
      </c>
      <c r="AE12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BE4C8-6FE2-488F-91CB-46C3E0C63928}">
  <dimension ref="A9:AM34"/>
  <sheetViews>
    <sheetView tabSelected="1"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175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181</v>
      </c>
      <c r="AK10" t="s">
        <v>134</v>
      </c>
      <c r="AL10" t="s">
        <v>182</v>
      </c>
      <c r="AM10" t="s">
        <v>183</v>
      </c>
    </row>
    <row r="11" spans="1:39" x14ac:dyDescent="0.45">
      <c r="A11" t="str">
        <f>IFERROR(IF(Veda!D5=A10,"ok","x"),"")</f>
        <v>x</v>
      </c>
      <c r="C11" t="s">
        <v>188</v>
      </c>
      <c r="D11" t="s">
        <v>146</v>
      </c>
      <c r="E11" t="s">
        <v>177</v>
      </c>
      <c r="F11" t="s">
        <v>189</v>
      </c>
      <c r="G11" t="s">
        <v>146</v>
      </c>
      <c r="I11" t="s">
        <v>156</v>
      </c>
      <c r="J11" t="s">
        <v>194</v>
      </c>
      <c r="K11">
        <v>0.16500571071832595</v>
      </c>
      <c r="L11" t="s">
        <v>158</v>
      </c>
      <c r="N11" t="s">
        <v>173</v>
      </c>
      <c r="O11" t="s">
        <v>194</v>
      </c>
      <c r="P11">
        <v>0.12302736357152495</v>
      </c>
      <c r="Q11" t="s">
        <v>158</v>
      </c>
      <c r="S11" t="s">
        <v>174</v>
      </c>
      <c r="T11" t="s">
        <v>194</v>
      </c>
      <c r="U11">
        <v>0.12323583329913258</v>
      </c>
      <c r="V11" t="s">
        <v>158</v>
      </c>
      <c r="X11">
        <v>0.11426940639269406</v>
      </c>
      <c r="Y11">
        <v>0.16087081189037786</v>
      </c>
      <c r="Z11" t="s">
        <v>194</v>
      </c>
      <c r="AA11" t="s">
        <v>25</v>
      </c>
      <c r="AC11" t="s">
        <v>22</v>
      </c>
      <c r="AD11" t="s">
        <v>194</v>
      </c>
      <c r="AE11">
        <v>0.12154185877629864</v>
      </c>
      <c r="AG11" t="s">
        <v>97</v>
      </c>
      <c r="AH11" t="s">
        <v>194</v>
      </c>
      <c r="AI11">
        <v>0.17884372713897179</v>
      </c>
      <c r="AK11" t="s">
        <v>191</v>
      </c>
      <c r="AL11">
        <v>0.34545358594121056</v>
      </c>
      <c r="AM11" t="s">
        <v>184</v>
      </c>
    </row>
    <row r="12" spans="1:39" x14ac:dyDescent="0.45">
      <c r="C12" t="s">
        <v>190</v>
      </c>
      <c r="E12" t="s">
        <v>179</v>
      </c>
      <c r="G12" t="s">
        <v>146</v>
      </c>
      <c r="I12" t="s">
        <v>156</v>
      </c>
      <c r="J12" t="s">
        <v>195</v>
      </c>
      <c r="K12">
        <v>2.2477563802083164E-4</v>
      </c>
      <c r="L12" t="s">
        <v>158</v>
      </c>
      <c r="N12" t="s">
        <v>173</v>
      </c>
      <c r="O12" t="s">
        <v>195</v>
      </c>
      <c r="P12">
        <v>0.12827553568303074</v>
      </c>
      <c r="Q12" t="s">
        <v>158</v>
      </c>
      <c r="S12" t="s">
        <v>174</v>
      </c>
      <c r="T12" t="s">
        <v>195</v>
      </c>
      <c r="U12">
        <v>0.12778638796991929</v>
      </c>
      <c r="V12" t="s">
        <v>158</v>
      </c>
      <c r="X12">
        <v>0.11426940639269406</v>
      </c>
      <c r="Y12">
        <v>5.2547713165767528E-2</v>
      </c>
      <c r="Z12" t="s">
        <v>195</v>
      </c>
      <c r="AA12" t="s">
        <v>25</v>
      </c>
      <c r="AC12" t="s">
        <v>22</v>
      </c>
      <c r="AD12" t="s">
        <v>195</v>
      </c>
      <c r="AE12">
        <v>8.8527190099622954E-2</v>
      </c>
      <c r="AG12" t="s">
        <v>97</v>
      </c>
      <c r="AH12" t="s">
        <v>195</v>
      </c>
      <c r="AI12">
        <v>0.36727282398527206</v>
      </c>
      <c r="AK12" t="s">
        <v>190</v>
      </c>
      <c r="AL12">
        <v>0.32525199218956147</v>
      </c>
      <c r="AM12" t="s">
        <v>184</v>
      </c>
    </row>
    <row r="13" spans="1:39" x14ac:dyDescent="0.45">
      <c r="C13" t="s">
        <v>191</v>
      </c>
      <c r="E13" t="s">
        <v>192</v>
      </c>
      <c r="G13" t="s">
        <v>146</v>
      </c>
      <c r="I13" t="s">
        <v>156</v>
      </c>
      <c r="J13" t="s">
        <v>196</v>
      </c>
      <c r="K13">
        <v>8.6502665801810735E-3</v>
      </c>
      <c r="L13" t="s">
        <v>158</v>
      </c>
      <c r="N13" t="s">
        <v>173</v>
      </c>
      <c r="O13" t="s">
        <v>196</v>
      </c>
      <c r="P13">
        <v>2.2741229790278754E-2</v>
      </c>
      <c r="Q13" t="s">
        <v>158</v>
      </c>
      <c r="S13" t="s">
        <v>174</v>
      </c>
      <c r="T13" t="s">
        <v>196</v>
      </c>
      <c r="U13">
        <v>2.274357165974885E-2</v>
      </c>
      <c r="V13" t="s">
        <v>158</v>
      </c>
      <c r="X13">
        <v>2.0776255707762557E-2</v>
      </c>
      <c r="Y13">
        <v>3.5896543437005365E-2</v>
      </c>
      <c r="Z13" t="s">
        <v>196</v>
      </c>
      <c r="AA13" t="s">
        <v>25</v>
      </c>
      <c r="AC13" t="s">
        <v>22</v>
      </c>
      <c r="AD13" t="s">
        <v>196</v>
      </c>
      <c r="AE13">
        <v>2.2637574024520383E-2</v>
      </c>
      <c r="AG13" t="s">
        <v>97</v>
      </c>
      <c r="AH13" t="s">
        <v>196</v>
      </c>
      <c r="AI13">
        <v>0.16609836701710967</v>
      </c>
      <c r="AK13" t="s">
        <v>193</v>
      </c>
      <c r="AL13">
        <v>0.26654704733759033</v>
      </c>
      <c r="AM13" t="s">
        <v>184</v>
      </c>
    </row>
    <row r="14" spans="1:39" x14ac:dyDescent="0.45">
      <c r="C14" t="s">
        <v>193</v>
      </c>
      <c r="I14" t="s">
        <v>156</v>
      </c>
      <c r="J14" t="s">
        <v>197</v>
      </c>
      <c r="K14">
        <v>0.27593004477523009</v>
      </c>
      <c r="L14" t="s">
        <v>158</v>
      </c>
      <c r="N14" t="s">
        <v>173</v>
      </c>
      <c r="O14" t="s">
        <v>197</v>
      </c>
      <c r="P14">
        <v>0.10649235142275328</v>
      </c>
      <c r="Q14" t="s">
        <v>158</v>
      </c>
      <c r="S14" t="s">
        <v>174</v>
      </c>
      <c r="T14" t="s">
        <v>197</v>
      </c>
      <c r="U14">
        <v>0.10638821130305877</v>
      </c>
      <c r="V14" t="s">
        <v>158</v>
      </c>
      <c r="X14">
        <v>0.11552511415525114</v>
      </c>
      <c r="Y14">
        <v>0.16263862301005233</v>
      </c>
      <c r="Z14" t="s">
        <v>197</v>
      </c>
      <c r="AA14" t="s">
        <v>25</v>
      </c>
      <c r="AC14" t="s">
        <v>22</v>
      </c>
      <c r="AD14" t="s">
        <v>197</v>
      </c>
      <c r="AE14">
        <v>0.13551107552473518</v>
      </c>
      <c r="AG14" t="s">
        <v>97</v>
      </c>
      <c r="AH14" t="s">
        <v>197</v>
      </c>
      <c r="AI14">
        <v>0.22024800426650004</v>
      </c>
      <c r="AK14" t="s">
        <v>188</v>
      </c>
      <c r="AL14">
        <v>0.26274737453163749</v>
      </c>
      <c r="AM14" t="s">
        <v>184</v>
      </c>
    </row>
    <row r="15" spans="1:39" x14ac:dyDescent="0.45">
      <c r="I15" t="s">
        <v>156</v>
      </c>
      <c r="J15" t="s">
        <v>198</v>
      </c>
      <c r="K15">
        <v>4.8536203197970815E-3</v>
      </c>
      <c r="L15" t="s">
        <v>158</v>
      </c>
      <c r="N15" t="s">
        <v>173</v>
      </c>
      <c r="O15" t="s">
        <v>198</v>
      </c>
      <c r="P15">
        <v>0.11496552442089168</v>
      </c>
      <c r="Q15" t="s">
        <v>158</v>
      </c>
      <c r="S15" t="s">
        <v>174</v>
      </c>
      <c r="T15" t="s">
        <v>198</v>
      </c>
      <c r="U15">
        <v>0.11440973108356926</v>
      </c>
      <c r="V15" t="s">
        <v>158</v>
      </c>
      <c r="X15">
        <v>0.11552511415525114</v>
      </c>
      <c r="Y15">
        <v>5.3125160563193538E-2</v>
      </c>
      <c r="Z15" t="s">
        <v>198</v>
      </c>
      <c r="AA15" t="s">
        <v>25</v>
      </c>
      <c r="AC15" t="s">
        <v>22</v>
      </c>
      <c r="AD15" t="s">
        <v>198</v>
      </c>
      <c r="AE15">
        <v>0.10048263795391252</v>
      </c>
      <c r="AG15" t="s">
        <v>97</v>
      </c>
      <c r="AH15" t="s">
        <v>198</v>
      </c>
      <c r="AI15">
        <v>0.41879867138276894</v>
      </c>
    </row>
    <row r="16" spans="1:39" x14ac:dyDescent="0.45">
      <c r="I16" t="s">
        <v>156</v>
      </c>
      <c r="J16" t="s">
        <v>199</v>
      </c>
      <c r="K16">
        <v>2.4738578932481298E-2</v>
      </c>
      <c r="L16" t="s">
        <v>158</v>
      </c>
      <c r="N16" t="s">
        <v>173</v>
      </c>
      <c r="O16" t="s">
        <v>199</v>
      </c>
      <c r="P16">
        <v>1.973501635693993E-2</v>
      </c>
      <c r="Q16" t="s">
        <v>158</v>
      </c>
      <c r="S16" t="s">
        <v>174</v>
      </c>
      <c r="T16" t="s">
        <v>199</v>
      </c>
      <c r="U16">
        <v>2.0497263048531261E-2</v>
      </c>
      <c r="V16" t="s">
        <v>158</v>
      </c>
      <c r="X16">
        <v>2.1004566210045664E-2</v>
      </c>
      <c r="Y16">
        <v>3.6291010947302131E-2</v>
      </c>
      <c r="Z16" t="s">
        <v>199</v>
      </c>
      <c r="AA16" t="s">
        <v>25</v>
      </c>
      <c r="AC16" t="s">
        <v>22</v>
      </c>
      <c r="AD16" t="s">
        <v>199</v>
      </c>
      <c r="AE16">
        <v>2.5034684908137404E-2</v>
      </c>
      <c r="AG16" t="s">
        <v>97</v>
      </c>
      <c r="AH16" t="s">
        <v>199</v>
      </c>
      <c r="AI16">
        <v>0.21176347115901417</v>
      </c>
    </row>
    <row r="17" spans="9:35" x14ac:dyDescent="0.45">
      <c r="I17" t="s">
        <v>156</v>
      </c>
      <c r="J17" t="s">
        <v>200</v>
      </c>
      <c r="K17">
        <v>0.35565985375654913</v>
      </c>
      <c r="L17" t="s">
        <v>158</v>
      </c>
      <c r="N17" t="s">
        <v>173</v>
      </c>
      <c r="O17" t="s">
        <v>200</v>
      </c>
      <c r="P17">
        <v>7.86665054129803E-2</v>
      </c>
      <c r="Q17" t="s">
        <v>158</v>
      </c>
      <c r="S17" t="s">
        <v>174</v>
      </c>
      <c r="T17" t="s">
        <v>200</v>
      </c>
      <c r="U17">
        <v>8.7540836584448015E-2</v>
      </c>
      <c r="V17" t="s">
        <v>158</v>
      </c>
      <c r="X17">
        <v>0.11552511415525114</v>
      </c>
      <c r="Y17">
        <v>0.16263862301005233</v>
      </c>
      <c r="Z17" t="s">
        <v>200</v>
      </c>
      <c r="AA17" t="s">
        <v>25</v>
      </c>
      <c r="AC17" t="s">
        <v>22</v>
      </c>
      <c r="AD17" t="s">
        <v>200</v>
      </c>
      <c r="AE17">
        <v>0.11376739849528658</v>
      </c>
      <c r="AG17" t="s">
        <v>97</v>
      </c>
      <c r="AH17" t="s">
        <v>200</v>
      </c>
      <c r="AI17">
        <v>0.11652662920397838</v>
      </c>
    </row>
    <row r="18" spans="9:35" x14ac:dyDescent="0.45">
      <c r="I18" t="s">
        <v>156</v>
      </c>
      <c r="J18" t="s">
        <v>201</v>
      </c>
      <c r="K18">
        <v>1.8191854302516255E-2</v>
      </c>
      <c r="L18" t="s">
        <v>158</v>
      </c>
      <c r="N18" t="s">
        <v>173</v>
      </c>
      <c r="O18" t="s">
        <v>201</v>
      </c>
      <c r="P18">
        <v>8.3545599227963188E-2</v>
      </c>
      <c r="Q18" t="s">
        <v>158</v>
      </c>
      <c r="S18" t="s">
        <v>174</v>
      </c>
      <c r="T18" t="s">
        <v>201</v>
      </c>
      <c r="U18">
        <v>8.7354510853897629E-2</v>
      </c>
      <c r="V18" t="s">
        <v>158</v>
      </c>
      <c r="X18">
        <v>0.11552511415525114</v>
      </c>
      <c r="Y18">
        <v>5.3125160563193538E-2</v>
      </c>
      <c r="Z18" t="s">
        <v>201</v>
      </c>
      <c r="AA18" t="s">
        <v>25</v>
      </c>
      <c r="AC18" t="s">
        <v>22</v>
      </c>
      <c r="AD18" t="s">
        <v>201</v>
      </c>
      <c r="AE18">
        <v>8.1319196279968115E-2</v>
      </c>
      <c r="AG18" t="s">
        <v>97</v>
      </c>
      <c r="AH18" t="s">
        <v>201</v>
      </c>
      <c r="AI18">
        <v>0.26664324648860149</v>
      </c>
    </row>
    <row r="19" spans="9:35" x14ac:dyDescent="0.45">
      <c r="I19" t="s">
        <v>156</v>
      </c>
      <c r="J19" t="s">
        <v>202</v>
      </c>
      <c r="K19">
        <v>4.1321901971877829E-2</v>
      </c>
      <c r="L19" t="s">
        <v>158</v>
      </c>
      <c r="N19" t="s">
        <v>173</v>
      </c>
      <c r="O19" t="s">
        <v>202</v>
      </c>
      <c r="P19">
        <v>1.4499645094670378E-2</v>
      </c>
      <c r="Q19" t="s">
        <v>158</v>
      </c>
      <c r="S19" t="s">
        <v>174</v>
      </c>
      <c r="T19" t="s">
        <v>202</v>
      </c>
      <c r="U19">
        <v>1.6310003138332557E-2</v>
      </c>
      <c r="V19" t="s">
        <v>158</v>
      </c>
      <c r="X19">
        <v>2.1004566210045664E-2</v>
      </c>
      <c r="Y19">
        <v>3.6291010947302131E-2</v>
      </c>
      <c r="Z19" t="s">
        <v>202</v>
      </c>
      <c r="AA19" t="s">
        <v>25</v>
      </c>
      <c r="AC19" t="s">
        <v>22</v>
      </c>
      <c r="AD19" t="s">
        <v>202</v>
      </c>
      <c r="AE19">
        <v>2.0819513785419224E-2</v>
      </c>
      <c r="AG19" t="s">
        <v>97</v>
      </c>
      <c r="AH19" t="s">
        <v>202</v>
      </c>
      <c r="AI19">
        <v>8.2939888326658107E-2</v>
      </c>
    </row>
    <row r="20" spans="9:35" x14ac:dyDescent="0.45">
      <c r="I20" t="s">
        <v>156</v>
      </c>
      <c r="J20" t="s">
        <v>203</v>
      </c>
      <c r="K20">
        <v>0.10349109933797937</v>
      </c>
      <c r="L20" t="s">
        <v>158</v>
      </c>
      <c r="N20" t="s">
        <v>173</v>
      </c>
      <c r="O20" t="s">
        <v>203</v>
      </c>
      <c r="P20">
        <v>0.14078983347474563</v>
      </c>
      <c r="Q20" t="s">
        <v>158</v>
      </c>
      <c r="S20" t="s">
        <v>174</v>
      </c>
      <c r="T20" t="s">
        <v>203</v>
      </c>
      <c r="U20">
        <v>0.134439428048198</v>
      </c>
      <c r="V20" t="s">
        <v>158</v>
      </c>
      <c r="X20">
        <v>0.11301369863013698</v>
      </c>
      <c r="Y20">
        <v>0.15910300077070333</v>
      </c>
      <c r="Z20" t="s">
        <v>203</v>
      </c>
      <c r="AA20" t="s">
        <v>25</v>
      </c>
      <c r="AC20" t="s">
        <v>22</v>
      </c>
      <c r="AD20" t="s">
        <v>203</v>
      </c>
      <c r="AE20">
        <v>0.15008049673136389</v>
      </c>
      <c r="AG20" t="s">
        <v>97</v>
      </c>
      <c r="AH20" t="s">
        <v>203</v>
      </c>
      <c r="AI20">
        <v>0.13042023902363176</v>
      </c>
    </row>
    <row r="21" spans="9:35" x14ac:dyDescent="0.45">
      <c r="I21" t="s">
        <v>156</v>
      </c>
      <c r="J21" t="s">
        <v>204</v>
      </c>
      <c r="K21">
        <v>0</v>
      </c>
      <c r="L21" t="s">
        <v>158</v>
      </c>
      <c r="N21" t="s">
        <v>173</v>
      </c>
      <c r="O21" t="s">
        <v>204</v>
      </c>
      <c r="P21">
        <v>0.14141007471312952</v>
      </c>
      <c r="Q21" t="s">
        <v>158</v>
      </c>
      <c r="S21" t="s">
        <v>174</v>
      </c>
      <c r="T21" t="s">
        <v>204</v>
      </c>
      <c r="U21">
        <v>0.13452126301231809</v>
      </c>
      <c r="V21" t="s">
        <v>158</v>
      </c>
      <c r="X21">
        <v>0.11301369863013698</v>
      </c>
      <c r="Y21">
        <v>5.197026576834151E-2</v>
      </c>
      <c r="Z21" t="s">
        <v>204</v>
      </c>
      <c r="AA21" t="s">
        <v>25</v>
      </c>
      <c r="AC21" t="s">
        <v>22</v>
      </c>
      <c r="AD21" t="s">
        <v>204</v>
      </c>
      <c r="AE21">
        <v>0.11194412076470171</v>
      </c>
      <c r="AG21" t="s">
        <v>97</v>
      </c>
      <c r="AH21" t="s">
        <v>204</v>
      </c>
      <c r="AI21">
        <v>0.32342907502345386</v>
      </c>
    </row>
    <row r="22" spans="9:35" x14ac:dyDescent="0.45">
      <c r="I22" t="s">
        <v>156</v>
      </c>
      <c r="J22" t="s">
        <v>205</v>
      </c>
      <c r="K22">
        <v>1.9322936668730696E-3</v>
      </c>
      <c r="L22" t="s">
        <v>158</v>
      </c>
      <c r="N22" t="s">
        <v>173</v>
      </c>
      <c r="O22" t="s">
        <v>205</v>
      </c>
      <c r="P22">
        <v>2.5851320830878426E-2</v>
      </c>
      <c r="Q22" t="s">
        <v>158</v>
      </c>
      <c r="S22" t="s">
        <v>174</v>
      </c>
      <c r="T22" t="s">
        <v>205</v>
      </c>
      <c r="U22">
        <v>2.477295999861364E-2</v>
      </c>
      <c r="V22" t="s">
        <v>158</v>
      </c>
      <c r="X22">
        <v>2.0547945205479451E-2</v>
      </c>
      <c r="Y22">
        <v>3.5502075926708607E-2</v>
      </c>
      <c r="Z22" t="s">
        <v>205</v>
      </c>
      <c r="AA22" t="s">
        <v>25</v>
      </c>
      <c r="AC22" t="s">
        <v>22</v>
      </c>
      <c r="AD22" t="s">
        <v>205</v>
      </c>
      <c r="AE22">
        <v>2.8334252656033367E-2</v>
      </c>
      <c r="AG22" t="s">
        <v>97</v>
      </c>
      <c r="AH22" t="s">
        <v>205</v>
      </c>
      <c r="AI22">
        <v>0.10802714049505879</v>
      </c>
    </row>
    <row r="23" spans="9:35" x14ac:dyDescent="0.45">
      <c r="AC23" t="s">
        <v>19</v>
      </c>
      <c r="AD23" t="s">
        <v>194</v>
      </c>
      <c r="AE23">
        <v>0.11506316199164349</v>
      </c>
    </row>
    <row r="24" spans="9:35" x14ac:dyDescent="0.45">
      <c r="AC24" t="s">
        <v>19</v>
      </c>
      <c r="AD24" t="s">
        <v>195</v>
      </c>
      <c r="AE24">
        <v>0.11321189286390412</v>
      </c>
    </row>
    <row r="25" spans="9:35" x14ac:dyDescent="0.45">
      <c r="AC25" t="s">
        <v>19</v>
      </c>
      <c r="AD25" t="s">
        <v>196</v>
      </c>
      <c r="AE25">
        <v>2.0950801910466603E-2</v>
      </c>
    </row>
    <row r="26" spans="9:35" x14ac:dyDescent="0.45">
      <c r="AC26" t="s">
        <v>19</v>
      </c>
      <c r="AD26" t="s">
        <v>197</v>
      </c>
      <c r="AE26">
        <v>0.11643727462754408</v>
      </c>
    </row>
    <row r="27" spans="9:35" x14ac:dyDescent="0.45">
      <c r="AC27" t="s">
        <v>19</v>
      </c>
      <c r="AD27" t="s">
        <v>198</v>
      </c>
      <c r="AE27">
        <v>0.11447308514247369</v>
      </c>
    </row>
    <row r="28" spans="9:35" x14ac:dyDescent="0.45">
      <c r="AC28" t="s">
        <v>19</v>
      </c>
      <c r="AD28" t="s">
        <v>199</v>
      </c>
      <c r="AE28">
        <v>2.119263617281722E-2</v>
      </c>
    </row>
    <row r="29" spans="9:35" x14ac:dyDescent="0.45">
      <c r="AC29" t="s">
        <v>19</v>
      </c>
      <c r="AD29" t="s">
        <v>200</v>
      </c>
      <c r="AE29">
        <v>0.11626660111669057</v>
      </c>
    </row>
    <row r="30" spans="9:35" x14ac:dyDescent="0.45">
      <c r="AC30" t="s">
        <v>19</v>
      </c>
      <c r="AD30" t="s">
        <v>201</v>
      </c>
      <c r="AE30">
        <v>0.11444709610816986</v>
      </c>
    </row>
    <row r="31" spans="9:35" x14ac:dyDescent="0.45">
      <c r="AC31" t="s">
        <v>19</v>
      </c>
      <c r="AD31" t="s">
        <v>202</v>
      </c>
      <c r="AE31">
        <v>2.1146925800818128E-2</v>
      </c>
    </row>
    <row r="32" spans="9:35" x14ac:dyDescent="0.45">
      <c r="AC32" t="s">
        <v>19</v>
      </c>
      <c r="AD32" t="s">
        <v>203</v>
      </c>
      <c r="AE32">
        <v>0.11407471408982019</v>
      </c>
    </row>
    <row r="33" spans="29:31" x14ac:dyDescent="0.45">
      <c r="AC33" t="s">
        <v>19</v>
      </c>
      <c r="AD33" t="s">
        <v>204</v>
      </c>
      <c r="AE33">
        <v>0.11193624963444851</v>
      </c>
    </row>
    <row r="34" spans="29:31" x14ac:dyDescent="0.45">
      <c r="AC34" t="s">
        <v>19</v>
      </c>
      <c r="AD34" t="s">
        <v>205</v>
      </c>
      <c r="AE34">
        <v>2.0799560541203545E-2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Veda</vt:lpstr>
      <vt:lpstr>fuel_prices</vt:lpstr>
      <vt:lpstr>iea_data</vt:lpstr>
      <vt:lpstr>ar6_r10</vt:lpstr>
      <vt:lpstr>ev_charging_uc</vt:lpstr>
      <vt:lpstr>ts12_clu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2025-09-06T18:37:06Z</dcterms:modified>
</cp:coreProperties>
</file>