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syn_5\"/>
    </mc:Choice>
  </mc:AlternateContent>
  <xr:revisionPtr revIDLastSave="0" documentId="8_{FDE3177D-5E05-473E-8690-37FE0150A6C0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ScenMap_OLD" sheetId="70" r:id="rId1"/>
    <sheet name="ScenMap" sheetId="56" r:id="rId2"/>
    <sheet name="geolocation" sheetId="72" r:id="rId3"/>
    <sheet name="process_map_geo" sheetId="71" r:id="rId4"/>
    <sheet name="TS_Defs" sheetId="27" r:id="rId5"/>
    <sheet name="TS_ratios" sheetId="68" r:id="rId6"/>
    <sheet name="Sankey" sheetId="69" r:id="rId7"/>
    <sheet name="PSet_MAP" sheetId="57" r:id="rId8"/>
    <sheet name="CSET_MAP" sheetId="66" r:id="rId9"/>
    <sheet name="CName_MAP" sheetId="58" r:id="rId10"/>
    <sheet name="timeslice map" sheetId="64" r:id="rId11"/>
    <sheet name="process map" sheetId="65" r:id="rId12"/>
    <sheet name="commodity map" sheetId="67" r:id="rId13"/>
    <sheet name="ATS" sheetId="63" r:id="rId14"/>
    <sheet name="UnitConv" sheetId="59" r:id="rId15"/>
  </sheets>
  <definedNames>
    <definedName name="_xlnm._FilterDatabase" localSheetId="4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5" i="56" l="1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O23" i="70"/>
  <c r="O28" i="70" s="1"/>
  <c r="O33" i="70" s="1"/>
  <c r="O38" i="70" s="1"/>
  <c r="O43" i="70" s="1"/>
  <c r="O48" i="70" s="1"/>
  <c r="O53" i="70" s="1"/>
  <c r="O58" i="70" s="1"/>
  <c r="I23" i="70"/>
  <c r="I28" i="70" s="1"/>
  <c r="A21" i="70"/>
  <c r="Q21" i="70" s="1"/>
  <c r="J21" i="70" s="1"/>
  <c r="Q20" i="70"/>
  <c r="O20" i="70"/>
  <c r="O25" i="70" s="1"/>
  <c r="O30" i="70" s="1"/>
  <c r="O35" i="70" s="1"/>
  <c r="O40" i="70" s="1"/>
  <c r="O45" i="70" s="1"/>
  <c r="O50" i="70" s="1"/>
  <c r="O55" i="70" s="1"/>
  <c r="O60" i="70" s="1"/>
  <c r="J20" i="70"/>
  <c r="B20" i="70"/>
  <c r="A20" i="70"/>
  <c r="A25" i="70" s="1"/>
  <c r="O19" i="70"/>
  <c r="O24" i="70" s="1"/>
  <c r="O29" i="70" s="1"/>
  <c r="O34" i="70" s="1"/>
  <c r="O39" i="70" s="1"/>
  <c r="O44" i="70" s="1"/>
  <c r="O49" i="70" s="1"/>
  <c r="O54" i="70" s="1"/>
  <c r="O59" i="70" s="1"/>
  <c r="O18" i="70"/>
  <c r="I18" i="70"/>
  <c r="B18" i="70"/>
  <c r="A18" i="70"/>
  <c r="Q18" i="70" s="1"/>
  <c r="J18" i="70" s="1"/>
  <c r="H18" i="70" s="1"/>
  <c r="C18" i="70" s="1"/>
  <c r="Q17" i="70"/>
  <c r="J17" i="70"/>
  <c r="A17" i="70"/>
  <c r="A22" i="70" s="1"/>
  <c r="A16" i="70"/>
  <c r="Q16" i="70" s="1"/>
  <c r="J16" i="70" s="1"/>
  <c r="Q15" i="70"/>
  <c r="J15" i="70" s="1"/>
  <c r="H15" i="70" s="1"/>
  <c r="C15" i="70" s="1"/>
  <c r="O15" i="70"/>
  <c r="I15" i="70"/>
  <c r="I20" i="70" s="1"/>
  <c r="B15" i="70"/>
  <c r="A15" i="70"/>
  <c r="Q14" i="70"/>
  <c r="O14" i="70"/>
  <c r="B14" i="70" s="1"/>
  <c r="J14" i="70"/>
  <c r="I14" i="70"/>
  <c r="I19" i="70" s="1"/>
  <c r="H14" i="70"/>
  <c r="C14" i="70" s="1"/>
  <c r="A14" i="70"/>
  <c r="A19" i="70" s="1"/>
  <c r="O13" i="70"/>
  <c r="I13" i="70"/>
  <c r="B13" i="70"/>
  <c r="A13" i="70"/>
  <c r="Q13" i="70" s="1"/>
  <c r="J13" i="70" s="1"/>
  <c r="H13" i="70" s="1"/>
  <c r="C13" i="70" s="1"/>
  <c r="Q12" i="70"/>
  <c r="O12" i="70"/>
  <c r="O17" i="70" s="1"/>
  <c r="J12" i="70"/>
  <c r="I12" i="70"/>
  <c r="I17" i="70" s="1"/>
  <c r="H12" i="70"/>
  <c r="C12" i="70" s="1"/>
  <c r="B12" i="70"/>
  <c r="A12" i="70"/>
  <c r="Q11" i="70"/>
  <c r="O11" i="70"/>
  <c r="B11" i="70" s="1"/>
  <c r="J11" i="70"/>
  <c r="I11" i="70"/>
  <c r="H11" i="70" s="1"/>
  <c r="C11" i="70" s="1"/>
  <c r="A11" i="70"/>
  <c r="Q10" i="70"/>
  <c r="J10" i="70" s="1"/>
  <c r="H10" i="70" s="1"/>
  <c r="C10" i="70" s="1"/>
  <c r="B10" i="70"/>
  <c r="Q9" i="70"/>
  <c r="J9" i="70"/>
  <c r="H9" i="70"/>
  <c r="C9" i="70" s="1"/>
  <c r="B9" i="70"/>
  <c r="Q8" i="70"/>
  <c r="J8" i="70" s="1"/>
  <c r="H8" i="70" s="1"/>
  <c r="C8" i="70" s="1"/>
  <c r="B8" i="70"/>
  <c r="Q7" i="70"/>
  <c r="J7" i="70"/>
  <c r="H7" i="70"/>
  <c r="C7" i="70" s="1"/>
  <c r="B7" i="70"/>
  <c r="Q6" i="70"/>
  <c r="J6" i="70" s="1"/>
  <c r="H6" i="70" s="1"/>
  <c r="C6" i="70" s="1"/>
  <c r="B6" i="70"/>
  <c r="J5" i="70"/>
  <c r="I5" i="70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A27" i="70"/>
  <c r="Q22" i="70"/>
  <c r="J22" i="70" s="1"/>
  <c r="H20" i="70"/>
  <c r="C20" i="70" s="1"/>
  <c r="I25" i="70"/>
  <c r="H17" i="70"/>
  <c r="C17" i="70" s="1"/>
  <c r="I22" i="70"/>
  <c r="I24" i="70"/>
  <c r="I33" i="70"/>
  <c r="B17" i="70"/>
  <c r="O22" i="70"/>
  <c r="O27" i="70" s="1"/>
  <c r="O32" i="70" s="1"/>
  <c r="O37" i="70" s="1"/>
  <c r="O42" i="70" s="1"/>
  <c r="O47" i="70" s="1"/>
  <c r="O52" i="70" s="1"/>
  <c r="O57" i="70" s="1"/>
  <c r="B25" i="70"/>
  <c r="Q25" i="70"/>
  <c r="J25" i="70" s="1"/>
  <c r="A30" i="70"/>
  <c r="B19" i="70"/>
  <c r="A24" i="70"/>
  <c r="Q19" i="70"/>
  <c r="J19" i="70" s="1"/>
  <c r="H19" i="70" s="1"/>
  <c r="C19" i="70" s="1"/>
  <c r="A23" i="70"/>
  <c r="A26" i="70"/>
  <c r="I16" i="70"/>
  <c r="O16" i="70"/>
  <c r="B4" i="58"/>
  <c r="B5" i="58"/>
  <c r="B6" i="58"/>
  <c r="B7" i="58"/>
  <c r="B8" i="58"/>
  <c r="B9" i="58"/>
  <c r="B10" i="58"/>
  <c r="B11" i="58"/>
  <c r="B3" i="58"/>
  <c r="Q24" i="70" l="1"/>
  <c r="J24" i="70" s="1"/>
  <c r="B24" i="70"/>
  <c r="A29" i="70"/>
  <c r="B30" i="70"/>
  <c r="A35" i="70"/>
  <c r="Q30" i="70"/>
  <c r="J30" i="70" s="1"/>
  <c r="H24" i="70"/>
  <c r="C24" i="70" s="1"/>
  <c r="I29" i="70"/>
  <c r="H16" i="70"/>
  <c r="C16" i="70" s="1"/>
  <c r="I21" i="70"/>
  <c r="Q26" i="70"/>
  <c r="J26" i="70" s="1"/>
  <c r="A31" i="70"/>
  <c r="B23" i="70"/>
  <c r="Q23" i="70"/>
  <c r="J23" i="70" s="1"/>
  <c r="H23" i="70" s="1"/>
  <c r="C23" i="70" s="1"/>
  <c r="A28" i="70"/>
  <c r="I38" i="70"/>
  <c r="H22" i="70"/>
  <c r="C22" i="70" s="1"/>
  <c r="I27" i="70"/>
  <c r="Q27" i="70"/>
  <c r="J27" i="70" s="1"/>
  <c r="B27" i="70"/>
  <c r="A32" i="70"/>
  <c r="I30" i="70"/>
  <c r="H25" i="70"/>
  <c r="C25" i="70" s="1"/>
  <c r="B16" i="70"/>
  <c r="O21" i="70"/>
  <c r="B22" i="70"/>
  <c r="C60" i="56"/>
  <c r="C58" i="56"/>
  <c r="A33" i="70" l="1"/>
  <c r="Q28" i="70"/>
  <c r="J28" i="70" s="1"/>
  <c r="H28" i="70" s="1"/>
  <c r="C28" i="70" s="1"/>
  <c r="B28" i="70"/>
  <c r="I34" i="70"/>
  <c r="H27" i="70"/>
  <c r="C27" i="70" s="1"/>
  <c r="I32" i="70"/>
  <c r="O26" i="70"/>
  <c r="B21" i="70"/>
  <c r="Q35" i="70"/>
  <c r="J35" i="70" s="1"/>
  <c r="B35" i="70"/>
  <c r="A40" i="70"/>
  <c r="I43" i="70"/>
  <c r="Q29" i="70"/>
  <c r="J29" i="70" s="1"/>
  <c r="H29" i="70" s="1"/>
  <c r="C29" i="70" s="1"/>
  <c r="B29" i="70"/>
  <c r="A34" i="70"/>
  <c r="A36" i="70"/>
  <c r="Q31" i="70"/>
  <c r="J31" i="70" s="1"/>
  <c r="H21" i="70"/>
  <c r="C21" i="70" s="1"/>
  <c r="I26" i="70"/>
  <c r="H30" i="70"/>
  <c r="C30" i="70" s="1"/>
  <c r="I35" i="70"/>
  <c r="Q32" i="70"/>
  <c r="J32" i="70" s="1"/>
  <c r="B32" i="70"/>
  <c r="A37" i="70"/>
  <c r="C59" i="56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H26" i="70"/>
  <c r="C26" i="70" s="1"/>
  <c r="I31" i="70"/>
  <c r="O31" i="70"/>
  <c r="B26" i="70"/>
  <c r="H32" i="70"/>
  <c r="C32" i="70" s="1"/>
  <c r="I37" i="70"/>
  <c r="Q37" i="70"/>
  <c r="J37" i="70" s="1"/>
  <c r="B37" i="70"/>
  <c r="A42" i="70"/>
  <c r="I39" i="70"/>
  <c r="Q36" i="70"/>
  <c r="J36" i="70" s="1"/>
  <c r="A41" i="70"/>
  <c r="Q40" i="70"/>
  <c r="J40" i="70" s="1"/>
  <c r="B40" i="70"/>
  <c r="A45" i="70"/>
  <c r="B34" i="70"/>
  <c r="Q34" i="70"/>
  <c r="J34" i="70" s="1"/>
  <c r="H34" i="70" s="1"/>
  <c r="C34" i="70" s="1"/>
  <c r="A39" i="70"/>
  <c r="I48" i="70"/>
  <c r="H35" i="70"/>
  <c r="C35" i="70" s="1"/>
  <c r="I40" i="70"/>
  <c r="B33" i="70"/>
  <c r="A38" i="70"/>
  <c r="Q33" i="70"/>
  <c r="J33" i="70" s="1"/>
  <c r="H33" i="70" s="1"/>
  <c r="C33" i="70" s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Q45" i="70" l="1"/>
  <c r="J45" i="70" s="1"/>
  <c r="B45" i="70"/>
  <c r="A50" i="70"/>
  <c r="A46" i="70"/>
  <c r="Q41" i="70"/>
  <c r="J41" i="70" s="1"/>
  <c r="A47" i="70"/>
  <c r="Q42" i="70"/>
  <c r="J42" i="70" s="1"/>
  <c r="B42" i="70"/>
  <c r="H37" i="70"/>
  <c r="C37" i="70" s="1"/>
  <c r="I42" i="70"/>
  <c r="Q38" i="70"/>
  <c r="J38" i="70" s="1"/>
  <c r="H38" i="70" s="1"/>
  <c r="C38" i="70" s="1"/>
  <c r="B38" i="70"/>
  <c r="A43" i="70"/>
  <c r="I53" i="70"/>
  <c r="A44" i="70"/>
  <c r="Q39" i="70"/>
  <c r="J39" i="70" s="1"/>
  <c r="H39" i="70" s="1"/>
  <c r="C39" i="70" s="1"/>
  <c r="B39" i="70"/>
  <c r="I44" i="70"/>
  <c r="O36" i="70"/>
  <c r="B31" i="70"/>
  <c r="H40" i="70"/>
  <c r="C40" i="70" s="1"/>
  <c r="I45" i="70"/>
  <c r="H31" i="70"/>
  <c r="C31" i="70" s="1"/>
  <c r="I36" i="70"/>
  <c r="B21" i="57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I49" i="70" l="1"/>
  <c r="B44" i="70"/>
  <c r="A49" i="70"/>
  <c r="Q44" i="70"/>
  <c r="J44" i="70" s="1"/>
  <c r="H44" i="70" s="1"/>
  <c r="C44" i="70" s="1"/>
  <c r="Q43" i="70"/>
  <c r="J43" i="70" s="1"/>
  <c r="H43" i="70" s="1"/>
  <c r="C43" i="70" s="1"/>
  <c r="B43" i="70"/>
  <c r="A48" i="70"/>
  <c r="B47" i="70"/>
  <c r="A52" i="70"/>
  <c r="Q47" i="70"/>
  <c r="J47" i="70" s="1"/>
  <c r="I41" i="70"/>
  <c r="H36" i="70"/>
  <c r="C36" i="70" s="1"/>
  <c r="Q46" i="70"/>
  <c r="J46" i="70" s="1"/>
  <c r="A51" i="70"/>
  <c r="O41" i="70"/>
  <c r="B36" i="70"/>
  <c r="I58" i="70"/>
  <c r="H42" i="70"/>
  <c r="C42" i="70" s="1"/>
  <c r="I47" i="70"/>
  <c r="H45" i="70"/>
  <c r="C45" i="70" s="1"/>
  <c r="I50" i="70"/>
  <c r="A55" i="70"/>
  <c r="Q50" i="70"/>
  <c r="J50" i="70" s="1"/>
  <c r="B50" i="70"/>
  <c r="C6" i="64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Q51" i="70" l="1"/>
  <c r="J51" i="70" s="1"/>
  <c r="A56" i="70"/>
  <c r="Q48" i="70"/>
  <c r="J48" i="70" s="1"/>
  <c r="H48" i="70" s="1"/>
  <c r="C48" i="70" s="1"/>
  <c r="B48" i="70"/>
  <c r="A53" i="70"/>
  <c r="I52" i="70"/>
  <c r="H47" i="70"/>
  <c r="C47" i="70" s="1"/>
  <c r="H41" i="70"/>
  <c r="C41" i="70" s="1"/>
  <c r="I46" i="70"/>
  <c r="B52" i="70"/>
  <c r="A57" i="70"/>
  <c r="Q52" i="70"/>
  <c r="J52" i="70" s="1"/>
  <c r="H50" i="70"/>
  <c r="C50" i="70" s="1"/>
  <c r="I55" i="70"/>
  <c r="I54" i="70"/>
  <c r="O46" i="70"/>
  <c r="B41" i="70"/>
  <c r="Q49" i="70"/>
  <c r="J49" i="70" s="1"/>
  <c r="H49" i="70" s="1"/>
  <c r="C49" i="70" s="1"/>
  <c r="B49" i="70"/>
  <c r="A54" i="70"/>
  <c r="B55" i="70"/>
  <c r="A60" i="70"/>
  <c r="Q55" i="70"/>
  <c r="J55" i="70" s="1"/>
  <c r="C18" i="56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H55" i="70" l="1"/>
  <c r="C55" i="70" s="1"/>
  <c r="I60" i="70"/>
  <c r="I59" i="70"/>
  <c r="H46" i="70"/>
  <c r="C46" i="70" s="1"/>
  <c r="I51" i="70"/>
  <c r="O51" i="70"/>
  <c r="B46" i="70"/>
  <c r="Q57" i="70"/>
  <c r="J57" i="70" s="1"/>
  <c r="B57" i="70"/>
  <c r="H52" i="70"/>
  <c r="C52" i="70" s="1"/>
  <c r="I57" i="70"/>
  <c r="H57" i="70" s="1"/>
  <c r="C57" i="70" s="1"/>
  <c r="A58" i="70"/>
  <c r="Q53" i="70"/>
  <c r="J53" i="70" s="1"/>
  <c r="H53" i="70" s="1"/>
  <c r="C53" i="70" s="1"/>
  <c r="B53" i="70"/>
  <c r="Q56" i="70"/>
  <c r="J56" i="70" s="1"/>
  <c r="Q60" i="70"/>
  <c r="J60" i="70" s="1"/>
  <c r="B60" i="70"/>
  <c r="Q54" i="70"/>
  <c r="J54" i="70" s="1"/>
  <c r="H54" i="70" s="1"/>
  <c r="C54" i="70" s="1"/>
  <c r="B54" i="70"/>
  <c r="A59" i="70"/>
  <c r="C38" i="56"/>
  <c r="C31" i="56"/>
  <c r="C34" i="56"/>
  <c r="C27" i="56"/>
  <c r="C30" i="56"/>
  <c r="C37" i="56"/>
  <c r="C40" i="56"/>
  <c r="C33" i="56"/>
  <c r="C35" i="56"/>
  <c r="C28" i="56"/>
  <c r="C39" i="56"/>
  <c r="C32" i="56"/>
  <c r="H51" i="70" l="1"/>
  <c r="C51" i="70" s="1"/>
  <c r="I56" i="70"/>
  <c r="H56" i="70" s="1"/>
  <c r="C56" i="70" s="1"/>
  <c r="Q59" i="70"/>
  <c r="J59" i="70" s="1"/>
  <c r="B59" i="70"/>
  <c r="B58" i="70"/>
  <c r="Q58" i="70"/>
  <c r="J58" i="70" s="1"/>
  <c r="H58" i="70" s="1"/>
  <c r="C58" i="70" s="1"/>
  <c r="H59" i="70"/>
  <c r="C59" i="70" s="1"/>
  <c r="H60" i="70"/>
  <c r="C60" i="70" s="1"/>
  <c r="O56" i="70"/>
  <c r="B56" i="70" s="1"/>
  <c r="B51" i="7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<sst xmlns="http://schemas.openxmlformats.org/spreadsheetml/2006/main" count="4707" uniqueCount="1502">
  <si>
    <t>Unit</t>
  </si>
  <si>
    <t>Desc</t>
  </si>
  <si>
    <t>Name</t>
  </si>
  <si>
    <t>Solar</t>
  </si>
  <si>
    <t>Varbl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</si>
  <si>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</si>
  <si>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</si>
  <si>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</si>
  <si>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</si>
  <si>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</si>
  <si>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</si>
  <si>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</si>
  <si>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</si>
  <si>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</si>
  <si>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</si>
  <si>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</si>
  <si>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</si>
  <si>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</si>
  <si>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</si>
  <si>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</si>
  <si>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</si>
  <si>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</si>
  <si>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</si>
  <si>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</si>
  <si>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</si>
  <si>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</si>
  <si>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</si>
  <si>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</si>
  <si>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</si>
  <si>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</si>
  <si>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Cost_INV</t>
  </si>
  <si>
    <t>~UnitConv</t>
  </si>
  <si>
    <t>Model</t>
  </si>
  <si>
    <t>Unit1</t>
  </si>
  <si>
    <t>Unit2</t>
  </si>
  <si>
    <t>MultFact</t>
  </si>
  <si>
    <t>VAR_NCAP</t>
  </si>
  <si>
    <t>C</t>
  </si>
  <si>
    <t>~ATS</t>
  </si>
  <si>
    <t>Region</t>
  </si>
  <si>
    <t>Year</t>
  </si>
  <si>
    <t>Val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</si>
  <si>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</si>
  <si>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</si>
  <si>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</si>
  <si>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</si>
  <si>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</si>
  <si>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</si>
  <si>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</si>
  <si>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</si>
  <si>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</si>
  <si>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</si>
  <si>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</si>
  <si>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</si>
  <si>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</si>
  <si>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</si>
  <si>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</si>
  <si>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</si>
  <si>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</si>
  <si>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</si>
  <si>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</si>
  <si>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</si>
  <si>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</si>
  <si>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</si>
  <si>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</si>
  <si>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</si>
  <si>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</si>
  <si>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</si>
  <si>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</si>
  <si>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</si>
  <si>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</si>
  <si>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</si>
  <si>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</si>
  <si>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</si>
  <si>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</si>
  <si>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</si>
  <si>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</si>
  <si>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</si>
  <si>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</si>
  <si>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</si>
  <si>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Twh</t>
  </si>
  <si>
    <t>Elec Production</t>
  </si>
  <si>
    <t>Cost_Investment</t>
  </si>
  <si>
    <t>$/Mwh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</si>
  <si>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</si>
  <si>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</si>
  <si>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</si>
  <si>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</si>
  <si>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</si>
  <si>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</si>
  <si>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</si>
  <si>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</si>
  <si>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</si>
  <si>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</si>
  <si>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</si>
  <si>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</si>
  <si>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</si>
  <si>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</si>
  <si>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</si>
  <si>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</si>
  <si>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</si>
  <si>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</si>
  <si>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</si>
  <si>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</si>
  <si>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</si>
  <si>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</si>
  <si>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</si>
  <si>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</si>
  <si>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</si>
  <si>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</si>
  <si>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</si>
  <si>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</si>
  <si>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</si>
  <si>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</si>
  <si>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</si>
  <si>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</si>
  <si>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</si>
  <si>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</si>
  <si>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</si>
  <si>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</si>
  <si>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</si>
  <si>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</si>
  <si>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</si>
  <si>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</si>
  <si>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</si>
  <si>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</si>
  <si>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</si>
  <si>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</si>
  <si>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</si>
  <si>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</si>
  <si>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</si>
  <si>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mt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</si>
  <si>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</si>
  <si>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</si>
  <si>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</si>
  <si>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</si>
  <si>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</si>
  <si>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</si>
  <si>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</si>
  <si>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</si>
  <si>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</si>
  <si>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</si>
  <si>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</si>
  <si>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</si>
  <si>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</si>
  <si>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</si>
  <si>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</si>
  <si>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</si>
  <si>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</si>
  <si>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</si>
  <si>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</si>
  <si>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</si>
  <si>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</si>
  <si>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</si>
  <si>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</si>
  <si>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</si>
  <si>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</si>
  <si>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</si>
  <si>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</si>
  <si>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</si>
  <si>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</si>
  <si>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</si>
  <si>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</si>
  <si>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</si>
  <si>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</si>
  <si>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</si>
  <si>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</si>
  <si>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</si>
  <si>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</si>
  <si>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</si>
  <si>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</si>
  <si>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</si>
  <si>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</si>
  <si>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</si>
  <si>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</si>
  <si>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</si>
  <si>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</si>
  <si>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</si>
  <si>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</si>
  <si>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</si>
  <si>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</si>
  <si>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</si>
  <si>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</si>
  <si>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</si>
  <si>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</si>
  <si>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</si>
  <si>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</si>
  <si>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</si>
  <si>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</si>
  <si>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</si>
  <si>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</si>
  <si>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</si>
  <si>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</si>
  <si>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</si>
  <si>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</si>
  <si>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</si>
  <si>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</si>
  <si>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</si>
  <si>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</si>
  <si>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</si>
  <si>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</si>
  <si>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</si>
  <si>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</si>
  <si>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</si>
  <si>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</si>
  <si>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</si>
  <si>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</si>
  <si>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</si>
  <si>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</si>
  <si>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</si>
  <si>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</si>
  <si>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</si>
  <si>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</si>
  <si>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</si>
  <si>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</si>
  <si>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</si>
  <si>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</si>
  <si>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</si>
  <si>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</si>
  <si>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</si>
  <si>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</si>
  <si>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</si>
  <si>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</si>
  <si>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</si>
  <si>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</si>
  <si>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</si>
  <si>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</si>
  <si>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</si>
  <si>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</si>
  <si>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</si>
  <si>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</si>
  <si>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</si>
  <si>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</si>
  <si>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</si>
  <si>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</si>
  <si>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</si>
  <si>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</si>
  <si>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</si>
  <si>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ts_annual</t>
  </si>
  <si>
    <t>ts_12</t>
  </si>
  <si>
    <t>a2w2d</t>
  </si>
  <si>
    <t>d9d</t>
  </si>
  <si>
    <t>b2w</t>
  </si>
  <si>
    <t>c15d</t>
  </si>
  <si>
    <t>e3d</t>
  </si>
  <si>
    <t>fTS48c</t>
  </si>
  <si>
    <t>gTS24c</t>
  </si>
  <si>
    <t>hTS12c</t>
  </si>
  <si>
    <t>iTS12</t>
  </si>
  <si>
    <t>jAnn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</si>
  <si>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</si>
  <si>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</si>
  <si>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</si>
  <si>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</si>
  <si>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</si>
  <si>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</si>
  <si>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</si>
  <si>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</si>
  <si>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</si>
  <si>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</si>
  <si>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</si>
  <si>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</si>
  <si>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s1_d</t>
  </si>
  <si>
    <t>f3d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</si>
  <si>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</si>
  <si>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</si>
  <si>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</si>
  <si>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</si>
  <si>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</si>
  <si>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</si>
  <si>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</si>
  <si>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</si>
  <si>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</si>
  <si>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</si>
  <si>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</si>
  <si>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</si>
  <si>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</si>
  <si>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</si>
  <si>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</si>
  <si>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</si>
  <si>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</si>
  <si>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</si>
  <si>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</si>
  <si>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</si>
  <si>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</si>
  <si>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</si>
  <si>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</si>
  <si>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</si>
  <si>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</si>
  <si>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</si>
  <si>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</si>
  <si>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</si>
  <si>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</si>
  <si>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</si>
  <si>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</si>
  <si>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</si>
  <si>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</si>
  <si>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</si>
  <si>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</si>
  <si>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</si>
  <si>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</si>
  <si>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</si>
  <si>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</si>
  <si>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</si>
  <si>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</si>
  <si>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</si>
  <si>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</si>
  <si>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</si>
  <si>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</si>
  <si>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</si>
  <si>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</si>
  <si>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</si>
  <si>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</si>
  <si>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</si>
  <si>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</si>
  <si>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</si>
  <si>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</si>
  <si>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</si>
  <si>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</si>
  <si>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</si>
  <si>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</si>
  <si>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</si>
  <si>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</si>
  <si>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</si>
  <si>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</si>
  <si>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</si>
  <si>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</si>
  <si>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</si>
  <si>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</si>
  <si>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</si>
  <si>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</si>
  <si>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</si>
  <si>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</si>
  <si>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</si>
  <si>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</si>
  <si>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</si>
  <si>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</si>
  <si>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</si>
  <si>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</si>
  <si>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</si>
  <si>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</si>
  <si>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</si>
  <si>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</si>
  <si>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</si>
  <si>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</si>
  <si>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</si>
  <si>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</si>
  <si>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</si>
  <si>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</si>
  <si>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</si>
  <si>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</si>
  <si>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</si>
  <si>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</si>
  <si>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</si>
  <si>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</si>
  <si>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</si>
  <si>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</si>
  <si>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</si>
  <si>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</si>
  <si>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</si>
  <si>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</si>
  <si>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</si>
  <si>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</si>
  <si>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</si>
  <si>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</si>
  <si>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</si>
  <si>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</si>
  <si>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</si>
  <si>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</si>
  <si>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</si>
  <si>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</si>
  <si>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</si>
  <si>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</si>
  <si>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</si>
  <si>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</si>
  <si>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</si>
  <si>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</si>
  <si>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</si>
  <si>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</si>
  <si>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</si>
  <si>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</si>
  <si>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</si>
  <si>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</si>
  <si>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</si>
  <si>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</si>
  <si>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</si>
  <si>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</si>
  <si>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</si>
  <si>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</si>
  <si>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</si>
  <si>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</si>
  <si>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</si>
  <si>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</si>
  <si>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</si>
  <si>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</si>
  <si>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</si>
  <si>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</si>
  <si>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</si>
  <si>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</si>
  <si>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</si>
  <si>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</si>
  <si>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</si>
  <si>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</si>
  <si>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</si>
  <si>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</si>
  <si>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</si>
  <si>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</si>
  <si>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</si>
  <si>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</si>
  <si>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</si>
  <si>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</si>
  <si>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</si>
  <si>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</si>
  <si>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</si>
  <si>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</si>
  <si>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</si>
  <si>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</si>
  <si>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</si>
  <si>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</si>
  <si>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</si>
  <si>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</si>
  <si>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</si>
  <si>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</si>
  <si>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grid_node</t>
  </si>
  <si>
    <t>p_dem0</t>
  </si>
  <si>
    <t>p_dem3</t>
  </si>
  <si>
    <t>p_dem2</t>
  </si>
  <si>
    <t>p_dem1</t>
  </si>
  <si>
    <t>p_dem4</t>
  </si>
  <si>
    <t>p_gen0</t>
  </si>
  <si>
    <t>p_gen1</t>
  </si>
  <si>
    <t>p_gen2</t>
  </si>
  <si>
    <t>p_gen3</t>
  </si>
  <si>
    <t>p_gen4</t>
  </si>
  <si>
    <t>p_sol1</t>
  </si>
  <si>
    <t>p_sol2</t>
  </si>
  <si>
    <t>p_sol3</t>
  </si>
  <si>
    <t>p_sol4</t>
  </si>
  <si>
    <t>p_sol5</t>
  </si>
  <si>
    <t>p_sol6</t>
  </si>
  <si>
    <t>p_sol7</t>
  </si>
  <si>
    <t>p_sol8</t>
  </si>
  <si>
    <t>p_sol9</t>
  </si>
  <si>
    <t>p_sol10</t>
  </si>
  <si>
    <t>p_sol11</t>
  </si>
  <si>
    <t>p_sol12</t>
  </si>
  <si>
    <t>p_sol13</t>
  </si>
  <si>
    <t>p_sol14</t>
  </si>
  <si>
    <t>p_sol15</t>
  </si>
  <si>
    <t>p_sol16</t>
  </si>
  <si>
    <t>p_sol17</t>
  </si>
  <si>
    <t>p_sol18</t>
  </si>
  <si>
    <t>p_sol19</t>
  </si>
  <si>
    <t>p_sol20</t>
  </si>
  <si>
    <t>p_sol21</t>
  </si>
  <si>
    <t>p_sol22</t>
  </si>
  <si>
    <t>p_sol23</t>
  </si>
  <si>
    <t>p_sol24</t>
  </si>
  <si>
    <t>p_sol25</t>
  </si>
  <si>
    <t>p_sol26</t>
  </si>
  <si>
    <t>p_sol27</t>
  </si>
  <si>
    <t>p_sol28</t>
  </si>
  <si>
    <t>p_sol29</t>
  </si>
  <si>
    <t>p_sol30</t>
  </si>
  <si>
    <t>p_sol31</t>
  </si>
  <si>
    <t>p_sol32</t>
  </si>
  <si>
    <t>p_sol33</t>
  </si>
  <si>
    <t>p_sol34</t>
  </si>
  <si>
    <t>p_sol35</t>
  </si>
  <si>
    <t>p_sol36</t>
  </si>
  <si>
    <t>p_sol37</t>
  </si>
  <si>
    <t>p_sol38</t>
  </si>
  <si>
    <t>p_sol39</t>
  </si>
  <si>
    <t>p_sol40</t>
  </si>
  <si>
    <t>p_sol41</t>
  </si>
  <si>
    <t>p_sol42</t>
  </si>
  <si>
    <t>p_sol43</t>
  </si>
  <si>
    <t>p_sol44</t>
  </si>
  <si>
    <t>p_sol45</t>
  </si>
  <si>
    <t>p_sol46</t>
  </si>
  <si>
    <t>p_sol47</t>
  </si>
  <si>
    <t>p_sol48</t>
  </si>
  <si>
    <t>p_sol49</t>
  </si>
  <si>
    <t>p_sol50</t>
  </si>
  <si>
    <t>p_sol51</t>
  </si>
  <si>
    <t>p_sol52</t>
  </si>
  <si>
    <t>p_sol53</t>
  </si>
  <si>
    <t>p_sol54</t>
  </si>
  <si>
    <t>p_sol55</t>
  </si>
  <si>
    <t>p_sol56</t>
  </si>
  <si>
    <t>p_sol57</t>
  </si>
  <si>
    <t>p_sol58</t>
  </si>
  <si>
    <t>p_sol59</t>
  </si>
  <si>
    <t>p_sol60</t>
  </si>
  <si>
    <t>p_sol61</t>
  </si>
  <si>
    <t>p_sol62</t>
  </si>
  <si>
    <t>p_sol63</t>
  </si>
  <si>
    <t>p_sol64</t>
  </si>
  <si>
    <t>p_sol65</t>
  </si>
  <si>
    <t>p_sol66</t>
  </si>
  <si>
    <t>p_sol67</t>
  </si>
  <si>
    <t>p_sol68</t>
  </si>
  <si>
    <t>p_sol69</t>
  </si>
  <si>
    <t>p_sol70</t>
  </si>
  <si>
    <t>p_sol71</t>
  </si>
  <si>
    <t>p_sol72</t>
  </si>
  <si>
    <t>p_sol73</t>
  </si>
  <si>
    <t>p_sol74</t>
  </si>
  <si>
    <t>p_sol75</t>
  </si>
  <si>
    <t>p_sol76</t>
  </si>
  <si>
    <t>p_sol77</t>
  </si>
  <si>
    <t>p_sol78</t>
  </si>
  <si>
    <t>p_won79</t>
  </si>
  <si>
    <t>p_won80</t>
  </si>
  <si>
    <t>p_won81</t>
  </si>
  <si>
    <t>p_won82</t>
  </si>
  <si>
    <t>p_won83</t>
  </si>
  <si>
    <t>p_won84</t>
  </si>
  <si>
    <t>p_won85</t>
  </si>
  <si>
    <t>p_won86</t>
  </si>
  <si>
    <t>p_won87</t>
  </si>
  <si>
    <t>p_won88</t>
  </si>
  <si>
    <t>p_won89</t>
  </si>
  <si>
    <t>p_won90</t>
  </si>
  <si>
    <t>p_won91</t>
  </si>
  <si>
    <t>p_won92</t>
  </si>
  <si>
    <t>p_won93</t>
  </si>
  <si>
    <t>p_won94</t>
  </si>
  <si>
    <t>p_won95</t>
  </si>
  <si>
    <t>p_won96</t>
  </si>
  <si>
    <t>p_won97</t>
  </si>
  <si>
    <t>p_won98</t>
  </si>
  <si>
    <t>p_won99</t>
  </si>
  <si>
    <t>p_won100</t>
  </si>
  <si>
    <t>p_won101</t>
  </si>
  <si>
    <t>p_won102</t>
  </si>
  <si>
    <t>p_won103</t>
  </si>
  <si>
    <t>p_won104</t>
  </si>
  <si>
    <t>p_won105</t>
  </si>
  <si>
    <t>p_won106</t>
  </si>
  <si>
    <t>p_won107</t>
  </si>
  <si>
    <t>p_won108</t>
  </si>
  <si>
    <t>p_won109</t>
  </si>
  <si>
    <t>p_won110</t>
  </si>
  <si>
    <t>p_won111</t>
  </si>
  <si>
    <t>p_won112</t>
  </si>
  <si>
    <t>p_won113</t>
  </si>
  <si>
    <t>p_won114</t>
  </si>
  <si>
    <t>p_won115</t>
  </si>
  <si>
    <t>p_won116</t>
  </si>
  <si>
    <t>p_won117</t>
  </si>
  <si>
    <t>p_won118</t>
  </si>
  <si>
    <t>p_won119</t>
  </si>
  <si>
    <t>p_won120</t>
  </si>
  <si>
    <t>p_won121</t>
  </si>
  <si>
    <t>p_won122</t>
  </si>
  <si>
    <t>p_won123</t>
  </si>
  <si>
    <t>p_won124</t>
  </si>
  <si>
    <t>p_won125</t>
  </si>
  <si>
    <t>p_won126</t>
  </si>
  <si>
    <t>p_won127</t>
  </si>
  <si>
    <t>p_won128</t>
  </si>
  <si>
    <t>p_won129</t>
  </si>
  <si>
    <t>p_won130</t>
  </si>
  <si>
    <t>p_won131</t>
  </si>
  <si>
    <t>p_won132</t>
  </si>
  <si>
    <t>p_won133</t>
  </si>
  <si>
    <t>p_won134</t>
  </si>
  <si>
    <t>p_won135</t>
  </si>
  <si>
    <t>p_won136</t>
  </si>
  <si>
    <t>p_won137</t>
  </si>
  <si>
    <t>p_won138</t>
  </si>
  <si>
    <t>p_won139</t>
  </si>
  <si>
    <t>p_won140</t>
  </si>
  <si>
    <t>p_won141</t>
  </si>
  <si>
    <t>p_won142</t>
  </si>
  <si>
    <t>p_won143</t>
  </si>
  <si>
    <t>p_won144</t>
  </si>
  <si>
    <t>p_won145</t>
  </si>
  <si>
    <t>p_wof146</t>
  </si>
  <si>
    <t>p_wof147</t>
  </si>
  <si>
    <t>p_wof148</t>
  </si>
  <si>
    <t>p_wof149</t>
  </si>
  <si>
    <t>p_wof150</t>
  </si>
  <si>
    <t>p_wof151</t>
  </si>
  <si>
    <t>p_wof152</t>
  </si>
  <si>
    <t>p_wof153</t>
  </si>
  <si>
    <t>p_wof154</t>
  </si>
  <si>
    <t>p_wof155</t>
  </si>
  <si>
    <t>p_wof156</t>
  </si>
  <si>
    <t>p_wof157</t>
  </si>
  <si>
    <t>p_wof158</t>
  </si>
  <si>
    <t>p_wof159</t>
  </si>
  <si>
    <t>p_wof160</t>
  </si>
  <si>
    <t>p_wof161</t>
  </si>
  <si>
    <t>p_wof162</t>
  </si>
  <si>
    <t>p_wof163</t>
  </si>
  <si>
    <t>p_wof164</t>
  </si>
  <si>
    <t>p_wof165</t>
  </si>
  <si>
    <t>p_wof166</t>
  </si>
  <si>
    <t>p_wof167</t>
  </si>
  <si>
    <t>p_wof168</t>
  </si>
  <si>
    <t>p_wof169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</si>
  <si>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</si>
  <si>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</si>
  <si>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</si>
  <si>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</si>
  <si>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</si>
  <si>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</si>
  <si>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</si>
  <si>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</si>
  <si>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</si>
  <si>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</si>
  <si>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</si>
  <si>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</si>
  <si>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</si>
  <si>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</si>
  <si>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</si>
  <si>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</si>
  <si>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rez_spv_017</t>
  </si>
  <si>
    <t>rez_spv_018</t>
  </si>
  <si>
    <t>rez_spv_019</t>
  </si>
  <si>
    <t>rez_spv_020</t>
  </si>
  <si>
    <t>rez_spv_021</t>
  </si>
  <si>
    <t>rez_spv_022</t>
  </si>
  <si>
    <t>rez_spv_023</t>
  </si>
  <si>
    <t>rez_spv_024</t>
  </si>
  <si>
    <t>rez_spv_025</t>
  </si>
  <si>
    <t>rez_spv_026</t>
  </si>
  <si>
    <t>rez_spv_027</t>
  </si>
  <si>
    <t>rez_spv_028</t>
  </si>
  <si>
    <t>rez_spv_029</t>
  </si>
  <si>
    <t>rez_spv_030</t>
  </si>
  <si>
    <t>rez_spv_031</t>
  </si>
  <si>
    <t>rez_spv_032</t>
  </si>
  <si>
    <t>rez_spv_033</t>
  </si>
  <si>
    <t>rez_spv_034</t>
  </si>
  <si>
    <t>rez_spv_035</t>
  </si>
  <si>
    <t>rez_spv_036</t>
  </si>
  <si>
    <t>rez_spv_037</t>
  </si>
  <si>
    <t>rez_spv_038</t>
  </si>
  <si>
    <t>rez_spv_039</t>
  </si>
  <si>
    <t>rez_spv_040</t>
  </si>
  <si>
    <t>rez_spv_041</t>
  </si>
  <si>
    <t>rez_spv_042</t>
  </si>
  <si>
    <t>rez_spv_043</t>
  </si>
  <si>
    <t>rez_spv_044</t>
  </si>
  <si>
    <t>rez_spv_045</t>
  </si>
  <si>
    <t>rez_spv_046</t>
  </si>
  <si>
    <t>rez_spv_047</t>
  </si>
  <si>
    <t>rez_spv_048</t>
  </si>
  <si>
    <t>rez_spv_049</t>
  </si>
  <si>
    <t>rez_spv_050</t>
  </si>
  <si>
    <t>rez_spv_051</t>
  </si>
  <si>
    <t>rez_spv_052</t>
  </si>
  <si>
    <t>rez_spv_053</t>
  </si>
  <si>
    <t>rez_spv_054</t>
  </si>
  <si>
    <t>rez_spv_055</t>
  </si>
  <si>
    <t>rez_spv_056</t>
  </si>
  <si>
    <t>rez_spv_057</t>
  </si>
  <si>
    <t>rez_spv_058</t>
  </si>
  <si>
    <t>rez_spv_059</t>
  </si>
  <si>
    <t>rez_spv_060</t>
  </si>
  <si>
    <t>rez_spv_061</t>
  </si>
  <si>
    <t>rez_spv_062</t>
  </si>
  <si>
    <t>rez_spv_063</t>
  </si>
  <si>
    <t>rez_spv_064</t>
  </si>
  <si>
    <t>rez_spv_065</t>
  </si>
  <si>
    <t>rez_spv_066</t>
  </si>
  <si>
    <t>rez_spv_067</t>
  </si>
  <si>
    <t>rez_spv_068</t>
  </si>
  <si>
    <t>rez_spv_069</t>
  </si>
  <si>
    <t>rez_spv_070</t>
  </si>
  <si>
    <t>rez_spv_071</t>
  </si>
  <si>
    <t>rez_spv_072</t>
  </si>
  <si>
    <t>rez_spv_073</t>
  </si>
  <si>
    <t>rez_spv_074</t>
  </si>
  <si>
    <t>rez_spv_075</t>
  </si>
  <si>
    <t>rez_spv_076</t>
  </si>
  <si>
    <t>rez_spv_077</t>
  </si>
  <si>
    <t>rez_spv_078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</si>
  <si>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</si>
  <si>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</si>
  <si>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</si>
  <si>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</si>
  <si>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</si>
  <si>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</si>
  <si>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</si>
  <si>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</si>
  <si>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</si>
  <si>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</si>
  <si>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</si>
  <si>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</si>
  <si>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</si>
  <si>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</si>
  <si>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</si>
  <si>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</si>
  <si>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</si>
  <si>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rez_won_018</t>
  </si>
  <si>
    <t>rez_won_019</t>
  </si>
  <si>
    <t>rez_won_020</t>
  </si>
  <si>
    <t>rez_won_021</t>
  </si>
  <si>
    <t>rez_won_022</t>
  </si>
  <si>
    <t>rez_won_023</t>
  </si>
  <si>
    <t>rez_won_024</t>
  </si>
  <si>
    <t>rez_won_025</t>
  </si>
  <si>
    <t>rez_won_026</t>
  </si>
  <si>
    <t>rez_won_027</t>
  </si>
  <si>
    <t>rez_won_028</t>
  </si>
  <si>
    <t>rez_won_029</t>
  </si>
  <si>
    <t>rez_won_030</t>
  </si>
  <si>
    <t>rez_won_031</t>
  </si>
  <si>
    <t>rez_won_032</t>
  </si>
  <si>
    <t>rez_won_033</t>
  </si>
  <si>
    <t>rez_won_034</t>
  </si>
  <si>
    <t>rez_won_035</t>
  </si>
  <si>
    <t>rez_won_036</t>
  </si>
  <si>
    <t>rez_won_037</t>
  </si>
  <si>
    <t>rez_won_038</t>
  </si>
  <si>
    <t>rez_won_039</t>
  </si>
  <si>
    <t>rez_won_040</t>
  </si>
  <si>
    <t>rez_won_041</t>
  </si>
  <si>
    <t>rez_won_042</t>
  </si>
  <si>
    <t>rez_won_043</t>
  </si>
  <si>
    <t>rez_won_044</t>
  </si>
  <si>
    <t>rez_won_045</t>
  </si>
  <si>
    <t>rez_won_046</t>
  </si>
  <si>
    <t>rez_won_047</t>
  </si>
  <si>
    <t>rez_won_048</t>
  </si>
  <si>
    <t>rez_won_049</t>
  </si>
  <si>
    <t>rez_won_050</t>
  </si>
  <si>
    <t>rez_won_051</t>
  </si>
  <si>
    <t>rez_won_052</t>
  </si>
  <si>
    <t>rez_won_053</t>
  </si>
  <si>
    <t>rez_won_054</t>
  </si>
  <si>
    <t>rez_won_055</t>
  </si>
  <si>
    <t>rez_won_056</t>
  </si>
  <si>
    <t>rez_won_057</t>
  </si>
  <si>
    <t>rez_won_058</t>
  </si>
  <si>
    <t>rez_won_059</t>
  </si>
  <si>
    <t>rez_won_060</t>
  </si>
  <si>
    <t>rez_won_061</t>
  </si>
  <si>
    <t>rez_won_062</t>
  </si>
  <si>
    <t>rez_won_063</t>
  </si>
  <si>
    <t>rez_won_064</t>
  </si>
  <si>
    <t>rez_won_065</t>
  </si>
  <si>
    <t>rez_won_066</t>
  </si>
  <si>
    <t>rez_won_067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</si>
  <si>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</si>
  <si>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</si>
  <si>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</si>
  <si>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</si>
  <si>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</si>
  <si>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</si>
  <si>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</si>
  <si>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</si>
  <si>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</si>
  <si>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</si>
  <si>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rez_wof_011</t>
  </si>
  <si>
    <t>rez_wof_012</t>
  </si>
  <si>
    <t>rez_wof_013</t>
  </si>
  <si>
    <t>rez_wof_014</t>
  </si>
  <si>
    <t>rez_wof_015</t>
  </si>
  <si>
    <t>rez_wof_016</t>
  </si>
  <si>
    <t>rez_wof_017</t>
  </si>
  <si>
    <t>rez_wof_018</t>
  </si>
  <si>
    <t>rez_wof_019</t>
  </si>
  <si>
    <t>rez_wof_020</t>
  </si>
  <si>
    <t>rez_wof_021</t>
  </si>
  <si>
    <t>rez_wof_022</t>
  </si>
  <si>
    <t>rez_wof_023</t>
  </si>
  <si>
    <t>rez_wof_024</t>
  </si>
  <si>
    <t>admin_1</t>
  </si>
  <si>
    <t>Haryana</t>
  </si>
  <si>
    <t>Madhya Pradesh</t>
  </si>
  <si>
    <t>Bihar</t>
  </si>
  <si>
    <t>Tamil Nadu</t>
  </si>
  <si>
    <t>Telangana</t>
  </si>
  <si>
    <t>Arunachal Pradesh</t>
  </si>
  <si>
    <t>Gujarat</t>
  </si>
  <si>
    <t>Andhra Pradesh</t>
  </si>
  <si>
    <t>Chhattisgarh</t>
  </si>
  <si>
    <t>Rajasthan</t>
  </si>
  <si>
    <t>Maharashtra</t>
  </si>
  <si>
    <t>Punjab</t>
  </si>
  <si>
    <t>Jammu and Kashmir</t>
  </si>
  <si>
    <t>Uttar Pradesh</t>
  </si>
  <si>
    <t>Uttarakhand</t>
  </si>
  <si>
    <t>West Bengal</t>
  </si>
  <si>
    <t>Jharkhand</t>
  </si>
  <si>
    <t>Manipur</t>
  </si>
  <si>
    <t>Nagaland</t>
  </si>
  <si>
    <t>Meghalaya</t>
  </si>
  <si>
    <t>Mizoram</t>
  </si>
  <si>
    <t>Tripura</t>
  </si>
  <si>
    <t>Assam</t>
  </si>
  <si>
    <t>Odisha</t>
  </si>
  <si>
    <t>Karnataka</t>
  </si>
  <si>
    <t>Kerala</t>
  </si>
  <si>
    <t>Delhi</t>
  </si>
  <si>
    <t>Unknown</t>
  </si>
  <si>
    <t>region_com</t>
  </si>
  <si>
    <t>e_dem0</t>
  </si>
  <si>
    <t>e_dem3</t>
  </si>
  <si>
    <t>e_dem2</t>
  </si>
  <si>
    <t>e_dem1</t>
  </si>
  <si>
    <t>e_dem4</t>
  </si>
  <si>
    <t>e_gen0</t>
  </si>
  <si>
    <t>e_gen1</t>
  </si>
  <si>
    <t>e_gen2</t>
  </si>
  <si>
    <t>e_gen3</t>
  </si>
  <si>
    <t>e_gen4</t>
  </si>
  <si>
    <t>e_sol1</t>
  </si>
  <si>
    <t>e_sol2</t>
  </si>
  <si>
    <t>e_sol3</t>
  </si>
  <si>
    <t>e_sol4</t>
  </si>
  <si>
    <t>e_sol5</t>
  </si>
  <si>
    <t>e_sol6</t>
  </si>
  <si>
    <t>e_sol7</t>
  </si>
  <si>
    <t>e_sol8</t>
  </si>
  <si>
    <t>e_sol9</t>
  </si>
  <si>
    <t>e_sol10</t>
  </si>
  <si>
    <t>e_sol11</t>
  </si>
  <si>
    <t>e_sol12</t>
  </si>
  <si>
    <t>e_sol13</t>
  </si>
  <si>
    <t>e_sol14</t>
  </si>
  <si>
    <t>e_sol15</t>
  </si>
  <si>
    <t>e_sol16</t>
  </si>
  <si>
    <t>e_sol17</t>
  </si>
  <si>
    <t>e_sol18</t>
  </si>
  <si>
    <t>e_sol19</t>
  </si>
  <si>
    <t>e_sol20</t>
  </si>
  <si>
    <t>e_sol21</t>
  </si>
  <si>
    <t>e_sol22</t>
  </si>
  <si>
    <t>e_sol23</t>
  </si>
  <si>
    <t>e_sol24</t>
  </si>
  <si>
    <t>e_sol25</t>
  </si>
  <si>
    <t>e_sol26</t>
  </si>
  <si>
    <t>e_sol27</t>
  </si>
  <si>
    <t>e_sol28</t>
  </si>
  <si>
    <t>e_sol29</t>
  </si>
  <si>
    <t>e_sol30</t>
  </si>
  <si>
    <t>e_sol31</t>
  </si>
  <si>
    <t>e_sol32</t>
  </si>
  <si>
    <t>e_sol33</t>
  </si>
  <si>
    <t>e_sol34</t>
  </si>
  <si>
    <t>e_sol35</t>
  </si>
  <si>
    <t>e_sol36</t>
  </si>
  <si>
    <t>e_sol37</t>
  </si>
  <si>
    <t>e_sol38</t>
  </si>
  <si>
    <t>e_sol39</t>
  </si>
  <si>
    <t>e_sol40</t>
  </si>
  <si>
    <t>e_sol41</t>
  </si>
  <si>
    <t>e_sol42</t>
  </si>
  <si>
    <t>e_sol43</t>
  </si>
  <si>
    <t>e_sol44</t>
  </si>
  <si>
    <t>e_sol45</t>
  </si>
  <si>
    <t>e_sol46</t>
  </si>
  <si>
    <t>e_sol47</t>
  </si>
  <si>
    <t>e_sol48</t>
  </si>
  <si>
    <t>e_sol49</t>
  </si>
  <si>
    <t>e_sol50</t>
  </si>
  <si>
    <t>e_sol51</t>
  </si>
  <si>
    <t>e_sol52</t>
  </si>
  <si>
    <t>e_sol53</t>
  </si>
  <si>
    <t>e_sol54</t>
  </si>
  <si>
    <t>e_sol55</t>
  </si>
  <si>
    <t>e_sol56</t>
  </si>
  <si>
    <t>e_sol57</t>
  </si>
  <si>
    <t>e_sol58</t>
  </si>
  <si>
    <t>e_sol59</t>
  </si>
  <si>
    <t>e_sol60</t>
  </si>
  <si>
    <t>e_sol61</t>
  </si>
  <si>
    <t>e_sol62</t>
  </si>
  <si>
    <t>e_sol63</t>
  </si>
  <si>
    <t>e_sol64</t>
  </si>
  <si>
    <t>e_sol65</t>
  </si>
  <si>
    <t>e_sol66</t>
  </si>
  <si>
    <t>e_sol67</t>
  </si>
  <si>
    <t>e_sol68</t>
  </si>
  <si>
    <t>e_sol69</t>
  </si>
  <si>
    <t>e_sol70</t>
  </si>
  <si>
    <t>e_sol71</t>
  </si>
  <si>
    <t>e_sol72</t>
  </si>
  <si>
    <t>e_sol73</t>
  </si>
  <si>
    <t>e_sol74</t>
  </si>
  <si>
    <t>e_sol75</t>
  </si>
  <si>
    <t>e_sol76</t>
  </si>
  <si>
    <t>e_sol77</t>
  </si>
  <si>
    <t>e_sol78</t>
  </si>
  <si>
    <t>e_won79</t>
  </si>
  <si>
    <t>e_won80</t>
  </si>
  <si>
    <t>e_won81</t>
  </si>
  <si>
    <t>e_won82</t>
  </si>
  <si>
    <t>e_won83</t>
  </si>
  <si>
    <t>e_won84</t>
  </si>
  <si>
    <t>e_won85</t>
  </si>
  <si>
    <t>e_won86</t>
  </si>
  <si>
    <t>e_won87</t>
  </si>
  <si>
    <t>e_won88</t>
  </si>
  <si>
    <t>e_won89</t>
  </si>
  <si>
    <t>e_won90</t>
  </si>
  <si>
    <t>e_won91</t>
  </si>
  <si>
    <t>e_won92</t>
  </si>
  <si>
    <t>e_won93</t>
  </si>
  <si>
    <t>e_won94</t>
  </si>
  <si>
    <t>e_won95</t>
  </si>
  <si>
    <t>e_won96</t>
  </si>
  <si>
    <t>e_won97</t>
  </si>
  <si>
    <t>e_won98</t>
  </si>
  <si>
    <t>e_won99</t>
  </si>
  <si>
    <t>e_won100</t>
  </si>
  <si>
    <t>e_won101</t>
  </si>
  <si>
    <t>e_won102</t>
  </si>
  <si>
    <t>e_won103</t>
  </si>
  <si>
    <t>e_won104</t>
  </si>
  <si>
    <t>e_won105</t>
  </si>
  <si>
    <t>e_won106</t>
  </si>
  <si>
    <t>e_won107</t>
  </si>
  <si>
    <t>e_won108</t>
  </si>
  <si>
    <t>e_won109</t>
  </si>
  <si>
    <t>e_won110</t>
  </si>
  <si>
    <t>e_won111</t>
  </si>
  <si>
    <t>e_won112</t>
  </si>
  <si>
    <t>e_won113</t>
  </si>
  <si>
    <t>e_won114</t>
  </si>
  <si>
    <t>e_won115</t>
  </si>
  <si>
    <t>e_won116</t>
  </si>
  <si>
    <t>e_won117</t>
  </si>
  <si>
    <t>e_won118</t>
  </si>
  <si>
    <t>e_won119</t>
  </si>
  <si>
    <t>e_won120</t>
  </si>
  <si>
    <t>e_won121</t>
  </si>
  <si>
    <t>e_won122</t>
  </si>
  <si>
    <t>e_won123</t>
  </si>
  <si>
    <t>e_won124</t>
  </si>
  <si>
    <t>e_won125</t>
  </si>
  <si>
    <t>e_won126</t>
  </si>
  <si>
    <t>e_won127</t>
  </si>
  <si>
    <t>e_won128</t>
  </si>
  <si>
    <t>e_won129</t>
  </si>
  <si>
    <t>e_won130</t>
  </si>
  <si>
    <t>e_won131</t>
  </si>
  <si>
    <t>e_won132</t>
  </si>
  <si>
    <t>e_won133</t>
  </si>
  <si>
    <t>e_won134</t>
  </si>
  <si>
    <t>e_won135</t>
  </si>
  <si>
    <t>e_won136</t>
  </si>
  <si>
    <t>e_won137</t>
  </si>
  <si>
    <t>e_won138</t>
  </si>
  <si>
    <t>e_won139</t>
  </si>
  <si>
    <t>e_won140</t>
  </si>
  <si>
    <t>e_won141</t>
  </si>
  <si>
    <t>e_won142</t>
  </si>
  <si>
    <t>e_won143</t>
  </si>
  <si>
    <t>e_won144</t>
  </si>
  <si>
    <t>e_won145</t>
  </si>
  <si>
    <t>e_wof146</t>
  </si>
  <si>
    <t>e_wof147</t>
  </si>
  <si>
    <t>e_wof148</t>
  </si>
  <si>
    <t>e_wof149</t>
  </si>
  <si>
    <t>e_wof150</t>
  </si>
  <si>
    <t>e_wof151</t>
  </si>
  <si>
    <t>e_wof152</t>
  </si>
  <si>
    <t>e_wof153</t>
  </si>
  <si>
    <t>e_wof154</t>
  </si>
  <si>
    <t>e_wof155</t>
  </si>
  <si>
    <t>e_wof156</t>
  </si>
  <si>
    <t>e_wof157</t>
  </si>
  <si>
    <t>e_wof158</t>
  </si>
  <si>
    <t>e_wof159</t>
  </si>
  <si>
    <t>e_wof160</t>
  </si>
  <si>
    <t>e_wof161</t>
  </si>
  <si>
    <t>e_wof162</t>
  </si>
  <si>
    <t>e_wof163</t>
  </si>
  <si>
    <t>e_wof164</t>
  </si>
  <si>
    <t>e_wof165</t>
  </si>
  <si>
    <t>e_wof166</t>
  </si>
  <si>
    <t>e_wof167</t>
  </si>
  <si>
    <t>e_wof168</t>
  </si>
  <si>
    <t>e_wof169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</si>
  <si>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</si>
  <si>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</si>
  <si>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</si>
  <si>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</si>
  <si>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</si>
  <si>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</si>
  <si>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</si>
  <si>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</si>
  <si>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</si>
  <si>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</si>
  <si>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</si>
  <si>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</si>
  <si>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</si>
  <si>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</si>
  <si>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</si>
  <si>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</si>
  <si>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</si>
  <si>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</si>
  <si>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</si>
  <si>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</si>
  <si>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</si>
  <si>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</si>
  <si>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</si>
  <si>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</si>
  <si>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</si>
  <si>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</si>
  <si>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</si>
  <si>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</si>
  <si>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</si>
  <si>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</si>
  <si>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</si>
  <si>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</si>
  <si>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</si>
  <si>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</si>
  <si>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</si>
  <si>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</si>
  <si>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</si>
  <si>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</si>
  <si>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</si>
  <si>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</si>
  <si>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</si>
  <si>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</si>
  <si>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</si>
  <si>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</si>
  <si>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</si>
  <si>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</si>
  <si>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</si>
  <si>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</si>
  <si>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</si>
  <si>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</si>
  <si>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</si>
  <si>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</si>
  <si>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</si>
  <si>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</si>
  <si>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</si>
  <si>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</si>
  <si>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</si>
  <si>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</si>
  <si>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</si>
  <si>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</si>
  <si>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</si>
  <si>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</si>
  <si>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</si>
  <si>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</si>
  <si>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</si>
  <si>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</si>
  <si>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</si>
  <si>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</si>
  <si>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</si>
  <si>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</si>
  <si>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</si>
  <si>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</si>
  <si>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</si>
  <si>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</si>
  <si>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</si>
  <si>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</si>
  <si>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</si>
  <si>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</si>
  <si>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</si>
  <si>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</si>
  <si>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</si>
  <si>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</si>
  <si>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</si>
  <si>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</si>
  <si>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</si>
  <si>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</si>
  <si>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</si>
  <si>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</si>
  <si>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</si>
  <si>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</si>
  <si>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</si>
  <si>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</si>
  <si>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</si>
  <si>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</si>
  <si>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</si>
  <si>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</si>
  <si>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</si>
  <si>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</si>
  <si>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</si>
  <si>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</si>
  <si>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</si>
  <si>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</si>
  <si>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</si>
  <si>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</si>
  <si>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</si>
  <si>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</si>
  <si>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elc_won_029</t>
  </si>
  <si>
    <t>elc_won_030</t>
  </si>
  <si>
    <t>elc_won_031</t>
  </si>
  <si>
    <t>elc_won_032</t>
  </si>
  <si>
    <t>elc_won_033</t>
  </si>
  <si>
    <t>elc_won_034</t>
  </si>
  <si>
    <t>elc_won_035</t>
  </si>
  <si>
    <t>elc_won_036</t>
  </si>
  <si>
    <t>elc_won_037</t>
  </si>
  <si>
    <t>elc_won_038</t>
  </si>
  <si>
    <t>elc_won_039</t>
  </si>
  <si>
    <t>elc_won_040</t>
  </si>
  <si>
    <t>elc_won_041</t>
  </si>
  <si>
    <t>elc_won_042</t>
  </si>
  <si>
    <t>elc_won_043</t>
  </si>
  <si>
    <t>elc_won_044</t>
  </si>
  <si>
    <t>elc_won_045</t>
  </si>
  <si>
    <t>elc_won_046</t>
  </si>
  <si>
    <t>elc_won_047</t>
  </si>
  <si>
    <t>elc_won_048</t>
  </si>
  <si>
    <t>elc_won_049</t>
  </si>
  <si>
    <t>elc_won_050</t>
  </si>
  <si>
    <t>elc_won_051</t>
  </si>
  <si>
    <t>elc_won_052</t>
  </si>
  <si>
    <t>elc_won_053</t>
  </si>
  <si>
    <t>elc_won_054</t>
  </si>
  <si>
    <t>elc_won_055</t>
  </si>
  <si>
    <t>elc_won_056</t>
  </si>
  <si>
    <t>elc_won_057</t>
  </si>
  <si>
    <t>elc_won_058</t>
  </si>
  <si>
    <t>elc_won_059</t>
  </si>
  <si>
    <t>elc_won_060</t>
  </si>
  <si>
    <t>elc_won_061</t>
  </si>
  <si>
    <t>elc_won_062</t>
  </si>
  <si>
    <t>elc_won_063</t>
  </si>
  <si>
    <t>elc_won_064</t>
  </si>
  <si>
    <t>elc_won_065</t>
  </si>
  <si>
    <t>elc_won_066</t>
  </si>
  <si>
    <t>elc_won_067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</si>
  <si>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</si>
  <si>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</si>
  <si>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</si>
  <si>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</si>
  <si>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</si>
  <si>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</si>
  <si>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</si>
  <si>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</si>
  <si>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</si>
  <si>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</si>
  <si>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</si>
  <si>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</si>
  <si>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</si>
  <si>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</si>
  <si>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</si>
  <si>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</si>
  <si>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</si>
  <si>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</si>
  <si>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</si>
  <si>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</si>
  <si>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</si>
  <si>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</si>
  <si>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</si>
  <si>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</si>
  <si>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~geolocation</t>
  </si>
  <si>
    <t>region</t>
  </si>
  <si>
    <t>lat</t>
  </si>
  <si>
    <t>lng</t>
  </si>
  <si>
    <t>IND-e_dem0</t>
  </si>
  <si>
    <t>IND-e_dem3</t>
  </si>
  <si>
    <t>IND-e_dem2</t>
  </si>
  <si>
    <t>IND-e_dem1</t>
  </si>
  <si>
    <t>IND-e_dem4</t>
  </si>
  <si>
    <t>IND-e_gen0</t>
  </si>
  <si>
    <t>IND-e_gen1</t>
  </si>
  <si>
    <t>IND-e_gen2</t>
  </si>
  <si>
    <t>IND-e_gen3</t>
  </si>
  <si>
    <t>IND-e_gen4</t>
  </si>
  <si>
    <t>IND-e_sol1</t>
  </si>
  <si>
    <t>IND-e_sol2</t>
  </si>
  <si>
    <t>IND-e_sol3</t>
  </si>
  <si>
    <t>IND-e_sol4</t>
  </si>
  <si>
    <t>IND-e_sol5</t>
  </si>
  <si>
    <t>IND-e_sol6</t>
  </si>
  <si>
    <t>IND-e_sol7</t>
  </si>
  <si>
    <t>IND-e_sol8</t>
  </si>
  <si>
    <t>IND-e_sol9</t>
  </si>
  <si>
    <t>IND-e_sol10</t>
  </si>
  <si>
    <t>IND-e_sol11</t>
  </si>
  <si>
    <t>IND-e_sol12</t>
  </si>
  <si>
    <t>IND-e_sol13</t>
  </si>
  <si>
    <t>IND-e_sol14</t>
  </si>
  <si>
    <t>IND-e_sol15</t>
  </si>
  <si>
    <t>IND-e_sol16</t>
  </si>
  <si>
    <t>IND-e_sol17</t>
  </si>
  <si>
    <t>IND-e_sol18</t>
  </si>
  <si>
    <t>IND-e_sol19</t>
  </si>
  <si>
    <t>IND-e_sol20</t>
  </si>
  <si>
    <t>IND-e_sol21</t>
  </si>
  <si>
    <t>IND-e_sol22</t>
  </si>
  <si>
    <t>IND-e_sol23</t>
  </si>
  <si>
    <t>IND-e_sol24</t>
  </si>
  <si>
    <t>IND-e_sol25</t>
  </si>
  <si>
    <t>IND-e_sol26</t>
  </si>
  <si>
    <t>IND-e_sol27</t>
  </si>
  <si>
    <t>IND-e_sol28</t>
  </si>
  <si>
    <t>IND-e_sol29</t>
  </si>
  <si>
    <t>IND-e_sol30</t>
  </si>
  <si>
    <t>IND-e_sol31</t>
  </si>
  <si>
    <t>IND-e_sol32</t>
  </si>
  <si>
    <t>IND-e_sol33</t>
  </si>
  <si>
    <t>IND-e_sol34</t>
  </si>
  <si>
    <t>IND-e_sol35</t>
  </si>
  <si>
    <t>IND-e_sol36</t>
  </si>
  <si>
    <t>IND-e_sol37</t>
  </si>
  <si>
    <t>IND-e_sol38</t>
  </si>
  <si>
    <t>IND-e_sol39</t>
  </si>
  <si>
    <t>IND-e_sol40</t>
  </si>
  <si>
    <t>IND-e_sol41</t>
  </si>
  <si>
    <t>IND-e_sol42</t>
  </si>
  <si>
    <t>IND-e_sol43</t>
  </si>
  <si>
    <t>IND-e_sol44</t>
  </si>
  <si>
    <t>IND-e_sol45</t>
  </si>
  <si>
    <t>IND-e_sol46</t>
  </si>
  <si>
    <t>IND-e_sol47</t>
  </si>
  <si>
    <t>IND-e_sol48</t>
  </si>
  <si>
    <t>IND-e_sol49</t>
  </si>
  <si>
    <t>IND-e_sol50</t>
  </si>
  <si>
    <t>IND-e_sol51</t>
  </si>
  <si>
    <t>IND-e_sol52</t>
  </si>
  <si>
    <t>IND-e_sol53</t>
  </si>
  <si>
    <t>IND-e_sol54</t>
  </si>
  <si>
    <t>IND-e_sol55</t>
  </si>
  <si>
    <t>IND-e_sol56</t>
  </si>
  <si>
    <t>IND-e_sol57</t>
  </si>
  <si>
    <t>IND-e_sol58</t>
  </si>
  <si>
    <t>IND-e_sol59</t>
  </si>
  <si>
    <t>IND-e_sol60</t>
  </si>
  <si>
    <t>IND-e_sol61</t>
  </si>
  <si>
    <t>IND-e_sol62</t>
  </si>
  <si>
    <t>IND-e_sol63</t>
  </si>
  <si>
    <t>IND-e_sol64</t>
  </si>
  <si>
    <t>IND-e_sol65</t>
  </si>
  <si>
    <t>IND-e_sol66</t>
  </si>
  <si>
    <t>IND-e_sol67</t>
  </si>
  <si>
    <t>IND-e_sol68</t>
  </si>
  <si>
    <t>IND-e_sol69</t>
  </si>
  <si>
    <t>IND-e_sol70</t>
  </si>
  <si>
    <t>IND-e_sol71</t>
  </si>
  <si>
    <t>IND-e_sol72</t>
  </si>
  <si>
    <t>IND-e_sol73</t>
  </si>
  <si>
    <t>IND-e_sol74</t>
  </si>
  <si>
    <t>IND-e_sol75</t>
  </si>
  <si>
    <t>IND-e_sol76</t>
  </si>
  <si>
    <t>IND-e_sol77</t>
  </si>
  <si>
    <t>IND-e_sol78</t>
  </si>
  <si>
    <t>IND-e_won79</t>
  </si>
  <si>
    <t>IND-e_won80</t>
  </si>
  <si>
    <t>IND-e_won81</t>
  </si>
  <si>
    <t>IND-e_won82</t>
  </si>
  <si>
    <t>IND-e_won83</t>
  </si>
  <si>
    <t>IND-e_won84</t>
  </si>
  <si>
    <t>IND-e_won85</t>
  </si>
  <si>
    <t>IND-e_won86</t>
  </si>
  <si>
    <t>IND-e_won87</t>
  </si>
  <si>
    <t>IND-e_won88</t>
  </si>
  <si>
    <t>IND-e_won89</t>
  </si>
  <si>
    <t>IND-e_won90</t>
  </si>
  <si>
    <t>IND-e_won91</t>
  </si>
  <si>
    <t>IND-e_won92</t>
  </si>
  <si>
    <t>IND-e_won93</t>
  </si>
  <si>
    <t>IND-e_won94</t>
  </si>
  <si>
    <t>IND-e_won95</t>
  </si>
  <si>
    <t>IND-e_won96</t>
  </si>
  <si>
    <t>IND-e_won97</t>
  </si>
  <si>
    <t>IND-e_won98</t>
  </si>
  <si>
    <t>IND-e_won99</t>
  </si>
  <si>
    <t>IND-e_won100</t>
  </si>
  <si>
    <t>IND-e_won101</t>
  </si>
  <si>
    <t>IND-e_won102</t>
  </si>
  <si>
    <t>IND-e_won103</t>
  </si>
  <si>
    <t>IND-e_won104</t>
  </si>
  <si>
    <t>IND-e_won105</t>
  </si>
  <si>
    <t>IND-e_won106</t>
  </si>
  <si>
    <t>IND-e_won107</t>
  </si>
  <si>
    <t>IND-e_won108</t>
  </si>
  <si>
    <t>IND-e_won109</t>
  </si>
  <si>
    <t>IND-e_won110</t>
  </si>
  <si>
    <t>IND-e_won111</t>
  </si>
  <si>
    <t>IND-e_won112</t>
  </si>
  <si>
    <t>IND-e_won113</t>
  </si>
  <si>
    <t>IND-e_won114</t>
  </si>
  <si>
    <t>IND-e_won115</t>
  </si>
  <si>
    <t>IND-e_won116</t>
  </si>
  <si>
    <t>IND-e_won117</t>
  </si>
  <si>
    <t>IND-e_won118</t>
  </si>
  <si>
    <t>IND-e_won119</t>
  </si>
  <si>
    <t>IND-e_won120</t>
  </si>
  <si>
    <t>IND-e_won121</t>
  </si>
  <si>
    <t>IND-e_won122</t>
  </si>
  <si>
    <t>IND-e_won123</t>
  </si>
  <si>
    <t>IND-e_won124</t>
  </si>
  <si>
    <t>IND-e_won125</t>
  </si>
  <si>
    <t>IND-e_won126</t>
  </si>
  <si>
    <t>IND-e_won127</t>
  </si>
  <si>
    <t>IND-e_won128</t>
  </si>
  <si>
    <t>IND-e_won129</t>
  </si>
  <si>
    <t>IND-e_won130</t>
  </si>
  <si>
    <t>IND-e_won131</t>
  </si>
  <si>
    <t>IND-e_won132</t>
  </si>
  <si>
    <t>IND-e_won133</t>
  </si>
  <si>
    <t>IND-e_won134</t>
  </si>
  <si>
    <t>IND-e_won135</t>
  </si>
  <si>
    <t>IND-e_won136</t>
  </si>
  <si>
    <t>IND-e_won137</t>
  </si>
  <si>
    <t>IND-e_won138</t>
  </si>
  <si>
    <t>IND-e_won139</t>
  </si>
  <si>
    <t>IND-e_won140</t>
  </si>
  <si>
    <t>IND-e_won141</t>
  </si>
  <si>
    <t>IND-e_won142</t>
  </si>
  <si>
    <t>IND-e_won143</t>
  </si>
  <si>
    <t>IND-e_won144</t>
  </si>
  <si>
    <t>IND-e_won145</t>
  </si>
  <si>
    <t>IND-e_wof146</t>
  </si>
  <si>
    <t>IND-e_wof147</t>
  </si>
  <si>
    <t>IND-e_wof148</t>
  </si>
  <si>
    <t>IND-e_wof149</t>
  </si>
  <si>
    <t>IND-e_wof150</t>
  </si>
  <si>
    <t>IND-e_wof151</t>
  </si>
  <si>
    <t>IND-e_wof152</t>
  </si>
  <si>
    <t>IND-e_wof153</t>
  </si>
  <si>
    <t>IND-e_wof154</t>
  </si>
  <si>
    <t>IND-e_wof155</t>
  </si>
  <si>
    <t>IND-e_wof156</t>
  </si>
  <si>
    <t>IND-e_wof157</t>
  </si>
  <si>
    <t>IND-e_wof158</t>
  </si>
  <si>
    <t>IND-e_wof159</t>
  </si>
  <si>
    <t>IND-e_wof160</t>
  </si>
  <si>
    <t>IND-e_wof161</t>
  </si>
  <si>
    <t>IND-e_wof162</t>
  </si>
  <si>
    <t>IND-e_wof163</t>
  </si>
  <si>
    <t>IND-e_wof164</t>
  </si>
  <si>
    <t>IND-e_wof165</t>
  </si>
  <si>
    <t>IND-e_wof166</t>
  </si>
  <si>
    <t>IND-e_wof167</t>
  </si>
  <si>
    <t>IND-e_wof168</t>
  </si>
  <si>
    <t>IND-e_wof169</t>
  </si>
  <si>
    <t>IND-elc_spv_001</t>
  </si>
  <si>
    <t>IND-elc_spv_002</t>
  </si>
  <si>
    <t>IND-elc_spv_003</t>
  </si>
  <si>
    <t>IND-elc_spv_004</t>
  </si>
  <si>
    <t>IND-elc_spv_005</t>
  </si>
  <si>
    <t>IND-elc_spv_006</t>
  </si>
  <si>
    <t>IND-elc_spv_007</t>
  </si>
  <si>
    <t>IND-elc_spv_008</t>
  </si>
  <si>
    <t>IND-elc_spv_009</t>
  </si>
  <si>
    <t>IND-elc_spv_010</t>
  </si>
  <si>
    <t>IND-elc_spv_011</t>
  </si>
  <si>
    <t>IND-elc_spv_012</t>
  </si>
  <si>
    <t>IND-elc_spv_013</t>
  </si>
  <si>
    <t>IND-elc_spv_014</t>
  </si>
  <si>
    <t>IND-elc_spv_015</t>
  </si>
  <si>
    <t>IND-elc_spv_016</t>
  </si>
  <si>
    <t>IND-elc_spv_017</t>
  </si>
  <si>
    <t>IND-elc_spv_018</t>
  </si>
  <si>
    <t>IND-elc_spv_019</t>
  </si>
  <si>
    <t>IND-elc_spv_020</t>
  </si>
  <si>
    <t>IND-elc_spv_021</t>
  </si>
  <si>
    <t>IND-elc_spv_022</t>
  </si>
  <si>
    <t>IND-elc_spv_023</t>
  </si>
  <si>
    <t>IND-elc_spv_024</t>
  </si>
  <si>
    <t>IND-elc_spv_025</t>
  </si>
  <si>
    <t>IND-elc_spv_026</t>
  </si>
  <si>
    <t>IND-elc_spv_027</t>
  </si>
  <si>
    <t>IND-elc_spv_028</t>
  </si>
  <si>
    <t>IND-elc_spv_029</t>
  </si>
  <si>
    <t>IND-elc_spv_030</t>
  </si>
  <si>
    <t>IND-elc_spv_031</t>
  </si>
  <si>
    <t>IND-elc_spv_032</t>
  </si>
  <si>
    <t>IND-elc_spv_033</t>
  </si>
  <si>
    <t>IND-elc_spv_034</t>
  </si>
  <si>
    <t>IND-elc_spv_035</t>
  </si>
  <si>
    <t>IND-elc_spv_036</t>
  </si>
  <si>
    <t>IND-elc_spv_037</t>
  </si>
  <si>
    <t>IND-elc_spv_038</t>
  </si>
  <si>
    <t>IND-elc_spv_039</t>
  </si>
  <si>
    <t>IND-elc_spv_040</t>
  </si>
  <si>
    <t>IND-elc_spv_041</t>
  </si>
  <si>
    <t>IND-elc_spv_042</t>
  </si>
  <si>
    <t>IND-elc_spv_043</t>
  </si>
  <si>
    <t>IND-elc_spv_044</t>
  </si>
  <si>
    <t>IND-elc_spv_045</t>
  </si>
  <si>
    <t>IND-elc_spv_046</t>
  </si>
  <si>
    <t>IND-elc_spv_047</t>
  </si>
  <si>
    <t>IND-elc_spv_048</t>
  </si>
  <si>
    <t>IND-elc_spv_049</t>
  </si>
  <si>
    <t>IND-elc_spv_050</t>
  </si>
  <si>
    <t>IND-elc_spv_051</t>
  </si>
  <si>
    <t>IND-elc_spv_052</t>
  </si>
  <si>
    <t>IND-elc_spv_053</t>
  </si>
  <si>
    <t>IND-elc_spv_054</t>
  </si>
  <si>
    <t>IND-elc_spv_055</t>
  </si>
  <si>
    <t>IND-elc_spv_056</t>
  </si>
  <si>
    <t>IND-elc_spv_057</t>
  </si>
  <si>
    <t>IND-elc_spv_058</t>
  </si>
  <si>
    <t>IND-elc_spv_059</t>
  </si>
  <si>
    <t>IND-elc_spv_060</t>
  </si>
  <si>
    <t>IND-elc_spv_061</t>
  </si>
  <si>
    <t>IND-elc_spv_062</t>
  </si>
  <si>
    <t>IND-elc_spv_063</t>
  </si>
  <si>
    <t>IND-elc_spv_064</t>
  </si>
  <si>
    <t>IND-elc_spv_065</t>
  </si>
  <si>
    <t>IND-elc_spv_066</t>
  </si>
  <si>
    <t>IND-elc_spv_067</t>
  </si>
  <si>
    <t>IND-elc_spv_068</t>
  </si>
  <si>
    <t>IND-elc_spv_069</t>
  </si>
  <si>
    <t>IND-elc_spv_070</t>
  </si>
  <si>
    <t>IND-elc_spv_071</t>
  </si>
  <si>
    <t>IND-elc_spv_072</t>
  </si>
  <si>
    <t>IND-elc_spv_073</t>
  </si>
  <si>
    <t>IND-elc_spv_074</t>
  </si>
  <si>
    <t>IND-elc_spv_075</t>
  </si>
  <si>
    <t>IND-elc_spv_076</t>
  </si>
  <si>
    <t>IND-elc_spv_077</t>
  </si>
  <si>
    <t>IND-elc_spv_078</t>
  </si>
  <si>
    <t>IND-elc_won_001</t>
  </si>
  <si>
    <t>IND-elc_won_002</t>
  </si>
  <si>
    <t>IND-elc_won_003</t>
  </si>
  <si>
    <t>IND-elc_won_004</t>
  </si>
  <si>
    <t>IND-elc_won_005</t>
  </si>
  <si>
    <t>IND-elc_won_006</t>
  </si>
  <si>
    <t>IND-elc_won_007</t>
  </si>
  <si>
    <t>IND-elc_won_008</t>
  </si>
  <si>
    <t>IND-elc_won_009</t>
  </si>
  <si>
    <t>IND-elc_won_010</t>
  </si>
  <si>
    <t>IND-elc_won_011</t>
  </si>
  <si>
    <t>IND-elc_won_012</t>
  </si>
  <si>
    <t>IND-elc_won_013</t>
  </si>
  <si>
    <t>IND-elc_won_014</t>
  </si>
  <si>
    <t>IND-elc_won_015</t>
  </si>
  <si>
    <t>IND-elc_won_016</t>
  </si>
  <si>
    <t>IND-elc_won_017</t>
  </si>
  <si>
    <t>IND-elc_won_018</t>
  </si>
  <si>
    <t>IND-elc_won_019</t>
  </si>
  <si>
    <t>IND-elc_won_020</t>
  </si>
  <si>
    <t>IND-elc_won_021</t>
  </si>
  <si>
    <t>IND-elc_won_022</t>
  </si>
  <si>
    <t>IND-elc_won_023</t>
  </si>
  <si>
    <t>IND-elc_won_024</t>
  </si>
  <si>
    <t>IND-elc_won_025</t>
  </si>
  <si>
    <t>IND-elc_won_026</t>
  </si>
  <si>
    <t>IND-elc_won_027</t>
  </si>
  <si>
    <t>IND-elc_won_028</t>
  </si>
  <si>
    <t>IND-elc_won_029</t>
  </si>
  <si>
    <t>IND-elc_won_030</t>
  </si>
  <si>
    <t>IND-elc_won_031</t>
  </si>
  <si>
    <t>IND-elc_won_032</t>
  </si>
  <si>
    <t>IND-elc_won_033</t>
  </si>
  <si>
    <t>IND-elc_won_034</t>
  </si>
  <si>
    <t>IND-elc_won_035</t>
  </si>
  <si>
    <t>IND-elc_won_036</t>
  </si>
  <si>
    <t>IND-elc_won_037</t>
  </si>
  <si>
    <t>IND-elc_won_038</t>
  </si>
  <si>
    <t>IND-elc_won_039</t>
  </si>
  <si>
    <t>IND-elc_won_040</t>
  </si>
  <si>
    <t>IND-elc_won_041</t>
  </si>
  <si>
    <t>IND-elc_won_042</t>
  </si>
  <si>
    <t>IND-elc_won_043</t>
  </si>
  <si>
    <t>IND-elc_won_044</t>
  </si>
  <si>
    <t>IND-elc_won_045</t>
  </si>
  <si>
    <t>IND-elc_won_046</t>
  </si>
  <si>
    <t>IND-elc_won_047</t>
  </si>
  <si>
    <t>IND-elc_won_048</t>
  </si>
  <si>
    <t>IND-elc_won_049</t>
  </si>
  <si>
    <t>IND-elc_won_050</t>
  </si>
  <si>
    <t>IND-elc_won_051</t>
  </si>
  <si>
    <t>IND-elc_won_052</t>
  </si>
  <si>
    <t>IND-elc_won_053</t>
  </si>
  <si>
    <t>IND-elc_won_054</t>
  </si>
  <si>
    <t>IND-elc_won_055</t>
  </si>
  <si>
    <t>IND-elc_won_056</t>
  </si>
  <si>
    <t>IND-elc_won_057</t>
  </si>
  <si>
    <t>IND-elc_won_058</t>
  </si>
  <si>
    <t>IND-elc_won_059</t>
  </si>
  <si>
    <t>IND-elc_won_060</t>
  </si>
  <si>
    <t>IND-elc_won_061</t>
  </si>
  <si>
    <t>IND-elc_won_062</t>
  </si>
  <si>
    <t>IND-elc_won_063</t>
  </si>
  <si>
    <t>IND-elc_won_064</t>
  </si>
  <si>
    <t>IND-elc_won_065</t>
  </si>
  <si>
    <t>IND-elc_won_066</t>
  </si>
  <si>
    <t>IND-elc_won_067</t>
  </si>
  <si>
    <t>IND-elc_wof_001</t>
  </si>
  <si>
    <t>IND-elc_wof_002</t>
  </si>
  <si>
    <t>IND-elc_wof_003</t>
  </si>
  <si>
    <t>IND-elc_wof_004</t>
  </si>
  <si>
    <t>IND-elc_wof_005</t>
  </si>
  <si>
    <t>IND-elc_wof_006</t>
  </si>
  <si>
    <t>IND-elc_wof_007</t>
  </si>
  <si>
    <t>IND-elc_wof_008</t>
  </si>
  <si>
    <t>IND-elc_wof_009</t>
  </si>
  <si>
    <t>IND-elc_wof_010</t>
  </si>
  <si>
    <t>IND-elc_wof_011</t>
  </si>
  <si>
    <t>IND-elc_wof_012</t>
  </si>
  <si>
    <t>IND-elc_wof_013</t>
  </si>
  <si>
    <t>IND-elc_wof_014</t>
  </si>
  <si>
    <t>IND-elc_wof_015</t>
  </si>
  <si>
    <t>IND-elc_wof_016</t>
  </si>
  <si>
    <t>IND-elc_wof_017</t>
  </si>
  <si>
    <t>IND-elc_wof_018</t>
  </si>
  <si>
    <t>IND-elc_wof_019</t>
  </si>
  <si>
    <t>IND-elc_wof_020</t>
  </si>
  <si>
    <t>IND-elc_wof_021</t>
  </si>
  <si>
    <t>IND-elc_wof_022</t>
  </si>
  <si>
    <t>IND-elc_wof_023</t>
  </si>
  <si>
    <t>IND-elc_wof_024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</si>
</sst>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1595-4651-4682-AE2C-4C2356B80CEF}">
  <dimension ref="A1:U60"/>
  <sheetViews>
    <sheetView zoomScaleNormal="100" workbookViewId="0">
      <selection activeCell="B5" sqref="B5"/>
    </sheetView>
  </sheetViews>
  <sheetFormatPr defaultColWidth="14.73046875" defaultRowHeight="14.25"/>
  <cols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5" max="15" width="1.73046875" bestFit="1" customWidth="1"/>
    <col min="17" max="17" width="4.6640625" bestFit="1" customWidth="1"/>
  </cols>
  <sheetData>
    <row r="1" spans="1:21">
      <c r="I1" t="s">
        <v>37</v>
      </c>
    </row>
    <row r="2" spans="1:21">
      <c r="I2" t="s">
        <v>260</v>
      </c>
      <c r="J2" t="s">
        <v>124</v>
      </c>
    </row>
    <row r="5" spans="1:21">
      <c r="A5" t="s">
        <v>120</v>
      </c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</row>
    <row r="6" spans="1:21">
      <c r="A6">
        <v>1</v>
      </c>
      <c r="B6" t="str">
        <f t="shared" ref="B6:B60" si="0">"vstacks_"&amp;VLOOKUP(A6,$S$6:$T$18,2,FALSE)&amp;"~"&amp;TEXT(O6,"0000")</f>
        <v>vstacks_s1p1v1_d~0001</v>
      </c>
      <c r="C6" t="str">
        <f>H6</f>
        <v>e 1.5 deg no OS.e3d</v>
      </c>
      <c r="H6" t="str">
        <f>_xlfn.TEXTJOIN(".",TRUE,I6:J6)</f>
        <v>e 1.5 deg no OS.e3d</v>
      </c>
      <c r="I6" t="s">
        <v>258</v>
      </c>
      <c r="J6" t="str">
        <f>Q6</f>
        <v>e3d</v>
      </c>
      <c r="L6" t="s">
        <v>250</v>
      </c>
      <c r="O6">
        <v>1</v>
      </c>
      <c r="Q6" t="str">
        <f>VLOOKUP(A6,$S$6:$U$17,3,FALSE)</f>
        <v>e3d</v>
      </c>
      <c r="S6">
        <v>1</v>
      </c>
      <c r="T6" t="s">
        <v>230</v>
      </c>
      <c r="U6" t="s">
        <v>244</v>
      </c>
    </row>
    <row r="7" spans="1:21">
      <c r="A7">
        <v>1</v>
      </c>
      <c r="B7" t="str">
        <f t="shared" si="0"/>
        <v>vstacks_s1p1v1_d~0002</v>
      </c>
      <c r="C7" t="str">
        <f t="shared" ref="C7:C60" si="1">H7</f>
        <v>d 1.5 deg OS.e3d</v>
      </c>
      <c r="H7" t="str">
        <f t="shared" ref="H7:H60" si="2">_xlfn.TEXTJOIN(".",TRUE,I7:J7)</f>
        <v>d 1.5 deg OS.e3d</v>
      </c>
      <c r="I7" t="s">
        <v>257</v>
      </c>
      <c r="J7" t="str">
        <f t="shared" ref="J7:J60" si="3">Q7</f>
        <v>e3d</v>
      </c>
      <c r="L7" t="s">
        <v>251</v>
      </c>
      <c r="O7">
        <v>2</v>
      </c>
      <c r="Q7" t="str">
        <f t="shared" ref="Q7:Q60" si="4">VLOOKUP(A7,$S$6:$U$17,3,FALSE)</f>
        <v>e3d</v>
      </c>
      <c r="S7">
        <v>2</v>
      </c>
      <c r="T7" t="s">
        <v>231</v>
      </c>
      <c r="U7" t="s">
        <v>241</v>
      </c>
    </row>
    <row r="8" spans="1:21">
      <c r="A8">
        <v>1</v>
      </c>
      <c r="B8" t="str">
        <f t="shared" si="0"/>
        <v>vstacks_s1p1v1_d~0003</v>
      </c>
      <c r="C8" t="str">
        <f t="shared" si="1"/>
        <v>c 2 deg (67%).e3d</v>
      </c>
      <c r="H8" t="str">
        <f t="shared" si="2"/>
        <v>c 2 deg (67%).e3d</v>
      </c>
      <c r="I8" t="s">
        <v>256</v>
      </c>
      <c r="J8" t="str">
        <f t="shared" si="3"/>
        <v>e3d</v>
      </c>
      <c r="L8" t="s">
        <v>252</v>
      </c>
      <c r="O8">
        <v>3</v>
      </c>
      <c r="Q8" t="str">
        <f t="shared" si="4"/>
        <v>e3d</v>
      </c>
      <c r="S8">
        <v>3</v>
      </c>
      <c r="T8" t="s">
        <v>232</v>
      </c>
      <c r="U8" t="s">
        <v>242</v>
      </c>
    </row>
    <row r="9" spans="1:21">
      <c r="A9">
        <v>1</v>
      </c>
      <c r="B9" t="str">
        <f t="shared" si="0"/>
        <v>vstacks_s1p1v1_d~0004</v>
      </c>
      <c r="C9" t="str">
        <f t="shared" si="1"/>
        <v>b 2 deg (50%).e3d</v>
      </c>
      <c r="H9" t="str">
        <f t="shared" si="2"/>
        <v>b 2 deg (50%).e3d</v>
      </c>
      <c r="I9" t="s">
        <v>255</v>
      </c>
      <c r="J9" t="str">
        <f t="shared" si="3"/>
        <v>e3d</v>
      </c>
      <c r="L9" t="s">
        <v>253</v>
      </c>
      <c r="O9">
        <v>4</v>
      </c>
      <c r="Q9" t="str">
        <f t="shared" si="4"/>
        <v>e3d</v>
      </c>
      <c r="S9">
        <v>4</v>
      </c>
      <c r="T9" t="s">
        <v>233</v>
      </c>
      <c r="U9" t="s">
        <v>240</v>
      </c>
    </row>
    <row r="10" spans="1:21">
      <c r="A10">
        <v>1</v>
      </c>
      <c r="B10" t="str">
        <f t="shared" si="0"/>
        <v>vstacks_s1p1v1_d~0005</v>
      </c>
      <c r="C10" t="str">
        <f t="shared" si="1"/>
        <v>a 3 deg.e3d</v>
      </c>
      <c r="H10" t="str">
        <f t="shared" si="2"/>
        <v>a 3 deg.e3d</v>
      </c>
      <c r="I10" t="s">
        <v>259</v>
      </c>
      <c r="J10" t="str">
        <f t="shared" si="3"/>
        <v>e3d</v>
      </c>
      <c r="L10" t="s">
        <v>254</v>
      </c>
      <c r="O10">
        <v>5</v>
      </c>
      <c r="Q10" t="str">
        <f t="shared" si="4"/>
        <v>e3d</v>
      </c>
      <c r="S10">
        <v>5</v>
      </c>
      <c r="T10" t="s">
        <v>234</v>
      </c>
      <c r="U10" t="s">
        <v>247</v>
      </c>
    </row>
    <row r="11" spans="1:21">
      <c r="A11">
        <f>A6+1</f>
        <v>2</v>
      </c>
      <c r="B11" t="str">
        <f t="shared" si="0"/>
        <v>vstacks_s3p3v3_d~0001</v>
      </c>
      <c r="C11" t="str">
        <f t="shared" si="1"/>
        <v>e 1.5 deg no OS.d9d</v>
      </c>
      <c r="H11" t="str">
        <f t="shared" si="2"/>
        <v>e 1.5 deg no OS.d9d</v>
      </c>
      <c r="I11" t="str">
        <f>I6</f>
        <v>e 1.5 deg no OS</v>
      </c>
      <c r="J11" t="str">
        <f t="shared" si="3"/>
        <v>d9d</v>
      </c>
      <c r="O11">
        <f>O6</f>
        <v>1</v>
      </c>
      <c r="Q11" t="str">
        <f t="shared" si="4"/>
        <v>d9d</v>
      </c>
      <c r="S11">
        <v>6</v>
      </c>
      <c r="T11" t="s">
        <v>235</v>
      </c>
      <c r="U11" t="s">
        <v>246</v>
      </c>
    </row>
    <row r="12" spans="1:21">
      <c r="A12">
        <f t="shared" ref="A12:A60" si="5">A7+1</f>
        <v>2</v>
      </c>
      <c r="B12" t="str">
        <f t="shared" si="0"/>
        <v>vstacks_s3p3v3_d~0002</v>
      </c>
      <c r="C12" t="str">
        <f t="shared" si="1"/>
        <v>d 1.5 deg OS.d9d</v>
      </c>
      <c r="H12" t="str">
        <f t="shared" si="2"/>
        <v>d 1.5 deg OS.d9d</v>
      </c>
      <c r="I12" t="str">
        <f t="shared" ref="I12:I60" si="6">I7</f>
        <v>d 1.5 deg OS</v>
      </c>
      <c r="J12" t="str">
        <f t="shared" si="3"/>
        <v>d9d</v>
      </c>
      <c r="O12">
        <f t="shared" ref="O12:O60" si="7">O7</f>
        <v>2</v>
      </c>
      <c r="Q12" t="str">
        <f t="shared" si="4"/>
        <v>d9d</v>
      </c>
      <c r="S12">
        <v>7</v>
      </c>
      <c r="T12" t="s">
        <v>236</v>
      </c>
      <c r="U12" t="s">
        <v>245</v>
      </c>
    </row>
    <row r="13" spans="1:21">
      <c r="A13">
        <f t="shared" si="5"/>
        <v>2</v>
      </c>
      <c r="B13" t="str">
        <f t="shared" si="0"/>
        <v>vstacks_s3p3v3_d~0003</v>
      </c>
      <c r="C13" t="str">
        <f t="shared" si="1"/>
        <v>c 2 deg (67%).d9d</v>
      </c>
      <c r="H13" t="str">
        <f t="shared" si="2"/>
        <v>c 2 deg (67%).d9d</v>
      </c>
      <c r="I13" t="str">
        <f t="shared" si="6"/>
        <v>c 2 deg (67%)</v>
      </c>
      <c r="J13" t="str">
        <f t="shared" si="3"/>
        <v>d9d</v>
      </c>
      <c r="O13">
        <f t="shared" si="7"/>
        <v>3</v>
      </c>
      <c r="Q13" t="str">
        <f t="shared" si="4"/>
        <v>d9d</v>
      </c>
      <c r="S13">
        <v>8</v>
      </c>
      <c r="T13" t="s">
        <v>237</v>
      </c>
      <c r="U13" t="s">
        <v>243</v>
      </c>
    </row>
    <row r="14" spans="1:21">
      <c r="A14">
        <f t="shared" si="5"/>
        <v>2</v>
      </c>
      <c r="B14" t="str">
        <f t="shared" si="0"/>
        <v>vstacks_s3p3v3_d~0004</v>
      </c>
      <c r="C14" t="str">
        <f t="shared" si="1"/>
        <v>b 2 deg (50%).d9d</v>
      </c>
      <c r="H14" t="str">
        <f t="shared" si="2"/>
        <v>b 2 deg (50%).d9d</v>
      </c>
      <c r="I14" t="str">
        <f t="shared" si="6"/>
        <v>b 2 deg (50%)</v>
      </c>
      <c r="J14" t="str">
        <f t="shared" si="3"/>
        <v>d9d</v>
      </c>
      <c r="O14">
        <f t="shared" si="7"/>
        <v>4</v>
      </c>
      <c r="Q14" t="str">
        <f t="shared" si="4"/>
        <v>d9d</v>
      </c>
      <c r="S14">
        <v>9</v>
      </c>
      <c r="T14" t="s">
        <v>239</v>
      </c>
      <c r="U14" t="s">
        <v>248</v>
      </c>
    </row>
    <row r="15" spans="1:21">
      <c r="A15">
        <f t="shared" si="5"/>
        <v>2</v>
      </c>
      <c r="B15" t="str">
        <f t="shared" si="0"/>
        <v>vstacks_s3p3v3_d~0005</v>
      </c>
      <c r="C15" t="str">
        <f t="shared" si="1"/>
        <v>a 3 deg.d9d</v>
      </c>
      <c r="H15" t="str">
        <f t="shared" si="2"/>
        <v>a 3 deg.d9d</v>
      </c>
      <c r="I15" t="str">
        <f t="shared" si="6"/>
        <v>a 3 deg</v>
      </c>
      <c r="J15" t="str">
        <f t="shared" si="3"/>
        <v>d9d</v>
      </c>
      <c r="O15">
        <f t="shared" si="7"/>
        <v>5</v>
      </c>
      <c r="Q15" t="str">
        <f t="shared" si="4"/>
        <v>d9d</v>
      </c>
      <c r="S15">
        <v>10</v>
      </c>
      <c r="T15" t="s">
        <v>238</v>
      </c>
      <c r="U15" t="s">
        <v>249</v>
      </c>
    </row>
    <row r="16" spans="1:21">
      <c r="A16">
        <f t="shared" si="5"/>
        <v>3</v>
      </c>
      <c r="B16" t="str">
        <f t="shared" si="0"/>
        <v>vstacks_s2_w~0001</v>
      </c>
      <c r="C16" t="str">
        <f t="shared" si="1"/>
        <v>e 1.5 deg no OS.b2w</v>
      </c>
      <c r="H16" t="str">
        <f t="shared" si="2"/>
        <v>e 1.5 deg no OS.b2w</v>
      </c>
      <c r="I16" t="str">
        <f t="shared" si="6"/>
        <v>e 1.5 deg no OS</v>
      </c>
      <c r="J16" t="str">
        <f t="shared" si="3"/>
        <v>b2w</v>
      </c>
      <c r="O16">
        <f t="shared" si="7"/>
        <v>1</v>
      </c>
      <c r="Q16" t="str">
        <f t="shared" si="4"/>
        <v>b2w</v>
      </c>
      <c r="S16">
        <v>11</v>
      </c>
      <c r="T16" t="s">
        <v>262</v>
      </c>
      <c r="U16" t="s">
        <v>263</v>
      </c>
    </row>
    <row r="17" spans="1:17">
      <c r="A17">
        <f t="shared" si="5"/>
        <v>3</v>
      </c>
      <c r="B17" t="str">
        <f t="shared" si="0"/>
        <v>vstacks_s2_w~0002</v>
      </c>
      <c r="C17" t="str">
        <f t="shared" si="1"/>
        <v>d 1.5 deg OS.b2w</v>
      </c>
      <c r="H17" t="str">
        <f t="shared" si="2"/>
        <v>d 1.5 deg OS.b2w</v>
      </c>
      <c r="I17" t="str">
        <f t="shared" si="6"/>
        <v>d 1.5 deg OS</v>
      </c>
      <c r="J17" t="str">
        <f t="shared" si="3"/>
        <v>b2w</v>
      </c>
      <c r="O17">
        <f t="shared" si="7"/>
        <v>2</v>
      </c>
      <c r="Q17" t="str">
        <f t="shared" si="4"/>
        <v>b2w</v>
      </c>
    </row>
    <row r="18" spans="1:17">
      <c r="A18">
        <f t="shared" si="5"/>
        <v>3</v>
      </c>
      <c r="B18" t="str">
        <f t="shared" si="0"/>
        <v>vstacks_s2_w~0003</v>
      </c>
      <c r="C18" t="str">
        <f t="shared" si="1"/>
        <v>c 2 deg (67%).b2w</v>
      </c>
      <c r="H18" t="str">
        <f t="shared" si="2"/>
        <v>c 2 deg (67%).b2w</v>
      </c>
      <c r="I18" t="str">
        <f t="shared" si="6"/>
        <v>c 2 deg (67%)</v>
      </c>
      <c r="J18" t="str">
        <f t="shared" si="3"/>
        <v>b2w</v>
      </c>
      <c r="O18">
        <f t="shared" si="7"/>
        <v>3</v>
      </c>
      <c r="Q18" t="str">
        <f t="shared" si="4"/>
        <v>b2w</v>
      </c>
    </row>
    <row r="19" spans="1:17">
      <c r="A19">
        <f t="shared" si="5"/>
        <v>3</v>
      </c>
      <c r="B19" t="str">
        <f t="shared" si="0"/>
        <v>vstacks_s2_w~0004</v>
      </c>
      <c r="C19" t="str">
        <f t="shared" si="1"/>
        <v>b 2 deg (50%).b2w</v>
      </c>
      <c r="H19" t="str">
        <f t="shared" si="2"/>
        <v>b 2 deg (50%).b2w</v>
      </c>
      <c r="I19" t="str">
        <f t="shared" si="6"/>
        <v>b 2 deg (50%)</v>
      </c>
      <c r="J19" t="str">
        <f t="shared" si="3"/>
        <v>b2w</v>
      </c>
      <c r="O19">
        <f t="shared" si="7"/>
        <v>4</v>
      </c>
      <c r="Q19" t="str">
        <f t="shared" si="4"/>
        <v>b2w</v>
      </c>
    </row>
    <row r="20" spans="1:17">
      <c r="A20">
        <f t="shared" si="5"/>
        <v>3</v>
      </c>
      <c r="B20" t="str">
        <f t="shared" si="0"/>
        <v>vstacks_s2_w~0005</v>
      </c>
      <c r="C20" t="str">
        <f t="shared" si="1"/>
        <v>a 3 deg.b2w</v>
      </c>
      <c r="H20" t="str">
        <f t="shared" si="2"/>
        <v>a 3 deg.b2w</v>
      </c>
      <c r="I20" t="str">
        <f t="shared" si="6"/>
        <v>a 3 deg</v>
      </c>
      <c r="J20" t="str">
        <f t="shared" si="3"/>
        <v>b2w</v>
      </c>
      <c r="O20">
        <f t="shared" si="7"/>
        <v>5</v>
      </c>
      <c r="Q20" t="str">
        <f t="shared" si="4"/>
        <v>b2w</v>
      </c>
    </row>
    <row r="21" spans="1:17">
      <c r="A21">
        <f t="shared" si="5"/>
        <v>4</v>
      </c>
      <c r="B21" t="str">
        <f t="shared" si="0"/>
        <v>vstacks_s2_w_p2_d~0001</v>
      </c>
      <c r="C21" t="str">
        <f t="shared" si="1"/>
        <v>e 1.5 deg no OS.a2w2d</v>
      </c>
      <c r="H21" t="str">
        <f t="shared" si="2"/>
        <v>e 1.5 deg no OS.a2w2d</v>
      </c>
      <c r="I21" t="str">
        <f t="shared" si="6"/>
        <v>e 1.5 deg no OS</v>
      </c>
      <c r="J21" t="str">
        <f t="shared" si="3"/>
        <v>a2w2d</v>
      </c>
      <c r="O21">
        <f t="shared" si="7"/>
        <v>1</v>
      </c>
      <c r="Q21" t="str">
        <f t="shared" si="4"/>
        <v>a2w2d</v>
      </c>
    </row>
    <row r="22" spans="1:17">
      <c r="A22">
        <f t="shared" si="5"/>
        <v>4</v>
      </c>
      <c r="B22" t="str">
        <f t="shared" si="0"/>
        <v>vstacks_s2_w_p2_d~0002</v>
      </c>
      <c r="C22" t="str">
        <f t="shared" si="1"/>
        <v>d 1.5 deg OS.a2w2d</v>
      </c>
      <c r="H22" t="str">
        <f t="shared" si="2"/>
        <v>d 1.5 deg OS.a2w2d</v>
      </c>
      <c r="I22" t="str">
        <f t="shared" si="6"/>
        <v>d 1.5 deg OS</v>
      </c>
      <c r="J22" t="str">
        <f t="shared" si="3"/>
        <v>a2w2d</v>
      </c>
      <c r="O22">
        <f t="shared" si="7"/>
        <v>2</v>
      </c>
      <c r="Q22" t="str">
        <f t="shared" si="4"/>
        <v>a2w2d</v>
      </c>
    </row>
    <row r="23" spans="1:17">
      <c r="A23">
        <f t="shared" si="5"/>
        <v>4</v>
      </c>
      <c r="B23" t="str">
        <f t="shared" si="0"/>
        <v>vstacks_s2_w_p2_d~0003</v>
      </c>
      <c r="C23" t="str">
        <f t="shared" si="1"/>
        <v>c 2 deg (67%).a2w2d</v>
      </c>
      <c r="H23" t="str">
        <f t="shared" si="2"/>
        <v>c 2 deg (67%).a2w2d</v>
      </c>
      <c r="I23" t="str">
        <f t="shared" si="6"/>
        <v>c 2 deg (67%)</v>
      </c>
      <c r="J23" t="str">
        <f t="shared" si="3"/>
        <v>a2w2d</v>
      </c>
      <c r="O23">
        <f t="shared" si="7"/>
        <v>3</v>
      </c>
      <c r="Q23" t="str">
        <f t="shared" si="4"/>
        <v>a2w2d</v>
      </c>
    </row>
    <row r="24" spans="1:17">
      <c r="A24">
        <f t="shared" si="5"/>
        <v>4</v>
      </c>
      <c r="B24" t="str">
        <f t="shared" si="0"/>
        <v>vstacks_s2_w_p2_d~0004</v>
      </c>
      <c r="C24" t="str">
        <f t="shared" si="1"/>
        <v>b 2 deg (50%).a2w2d</v>
      </c>
      <c r="H24" t="str">
        <f t="shared" si="2"/>
        <v>b 2 deg (50%).a2w2d</v>
      </c>
      <c r="I24" t="str">
        <f t="shared" si="6"/>
        <v>b 2 deg (50%)</v>
      </c>
      <c r="J24" t="str">
        <f t="shared" si="3"/>
        <v>a2w2d</v>
      </c>
      <c r="O24">
        <f t="shared" si="7"/>
        <v>4</v>
      </c>
      <c r="Q24" t="str">
        <f t="shared" si="4"/>
        <v>a2w2d</v>
      </c>
    </row>
    <row r="25" spans="1:17">
      <c r="A25">
        <f t="shared" si="5"/>
        <v>4</v>
      </c>
      <c r="B25" t="str">
        <f t="shared" si="0"/>
        <v>vstacks_s2_w_p2_d~0005</v>
      </c>
      <c r="C25" t="str">
        <f t="shared" si="1"/>
        <v>a 3 deg.a2w2d</v>
      </c>
      <c r="H25" t="str">
        <f t="shared" si="2"/>
        <v>a 3 deg.a2w2d</v>
      </c>
      <c r="I25" t="str">
        <f t="shared" si="6"/>
        <v>a 3 deg</v>
      </c>
      <c r="J25" t="str">
        <f t="shared" si="3"/>
        <v>a2w2d</v>
      </c>
      <c r="O25">
        <f t="shared" si="7"/>
        <v>5</v>
      </c>
      <c r="Q25" t="str">
        <f t="shared" si="4"/>
        <v>a2w2d</v>
      </c>
    </row>
    <row r="26" spans="1:17">
      <c r="A26">
        <f t="shared" si="5"/>
        <v>5</v>
      </c>
      <c r="B26" t="str">
        <f t="shared" si="0"/>
        <v>vstacks_ts12_clu~0001</v>
      </c>
      <c r="C26" t="str">
        <f t="shared" si="1"/>
        <v>e 1.5 deg no OS.hTS12c</v>
      </c>
      <c r="H26" t="str">
        <f t="shared" si="2"/>
        <v>e 1.5 deg no OS.hTS12c</v>
      </c>
      <c r="I26" t="str">
        <f t="shared" si="6"/>
        <v>e 1.5 deg no OS</v>
      </c>
      <c r="J26" t="str">
        <f t="shared" si="3"/>
        <v>hTS12c</v>
      </c>
      <c r="O26">
        <f t="shared" si="7"/>
        <v>1</v>
      </c>
      <c r="Q26" t="str">
        <f t="shared" si="4"/>
        <v>hTS12c</v>
      </c>
    </row>
    <row r="27" spans="1:17">
      <c r="A27">
        <f t="shared" si="5"/>
        <v>5</v>
      </c>
      <c r="B27" t="str">
        <f t="shared" si="0"/>
        <v>vstacks_ts12_clu~0002</v>
      </c>
      <c r="C27" t="str">
        <f t="shared" si="1"/>
        <v>d 1.5 deg OS.hTS12c</v>
      </c>
      <c r="H27" t="str">
        <f t="shared" si="2"/>
        <v>d 1.5 deg OS.hTS12c</v>
      </c>
      <c r="I27" t="str">
        <f t="shared" si="6"/>
        <v>d 1.5 deg OS</v>
      </c>
      <c r="J27" t="str">
        <f t="shared" si="3"/>
        <v>hTS12c</v>
      </c>
      <c r="O27">
        <f t="shared" si="7"/>
        <v>2</v>
      </c>
      <c r="Q27" t="str">
        <f t="shared" si="4"/>
        <v>hTS12c</v>
      </c>
    </row>
    <row r="28" spans="1:17">
      <c r="A28">
        <f t="shared" si="5"/>
        <v>5</v>
      </c>
      <c r="B28" t="str">
        <f t="shared" si="0"/>
        <v>vstacks_ts12_clu~0003</v>
      </c>
      <c r="C28" t="str">
        <f t="shared" si="1"/>
        <v>c 2 deg (67%).hTS12c</v>
      </c>
      <c r="H28" t="str">
        <f t="shared" si="2"/>
        <v>c 2 deg (67%).hTS12c</v>
      </c>
      <c r="I28" t="str">
        <f t="shared" si="6"/>
        <v>c 2 deg (67%)</v>
      </c>
      <c r="J28" t="str">
        <f t="shared" si="3"/>
        <v>hTS12c</v>
      </c>
      <c r="O28">
        <f t="shared" si="7"/>
        <v>3</v>
      </c>
      <c r="Q28" t="str">
        <f t="shared" si="4"/>
        <v>hTS12c</v>
      </c>
    </row>
    <row r="29" spans="1:17">
      <c r="A29">
        <f t="shared" si="5"/>
        <v>5</v>
      </c>
      <c r="B29" t="str">
        <f t="shared" si="0"/>
        <v>vstacks_ts12_clu~0004</v>
      </c>
      <c r="C29" t="str">
        <f t="shared" si="1"/>
        <v>b 2 deg (50%).hTS12c</v>
      </c>
      <c r="H29" t="str">
        <f t="shared" si="2"/>
        <v>b 2 deg (50%).hTS12c</v>
      </c>
      <c r="I29" t="str">
        <f t="shared" si="6"/>
        <v>b 2 deg (50%)</v>
      </c>
      <c r="J29" t="str">
        <f t="shared" si="3"/>
        <v>hTS12c</v>
      </c>
      <c r="O29">
        <f t="shared" si="7"/>
        <v>4</v>
      </c>
      <c r="Q29" t="str">
        <f t="shared" si="4"/>
        <v>hTS12c</v>
      </c>
    </row>
    <row r="30" spans="1:17">
      <c r="A30">
        <f t="shared" si="5"/>
        <v>5</v>
      </c>
      <c r="B30" t="str">
        <f t="shared" si="0"/>
        <v>vstacks_ts12_clu~0005</v>
      </c>
      <c r="C30" t="str">
        <f t="shared" si="1"/>
        <v>a 3 deg.hTS12c</v>
      </c>
      <c r="H30" t="str">
        <f t="shared" si="2"/>
        <v>a 3 deg.hTS12c</v>
      </c>
      <c r="I30" t="str">
        <f t="shared" si="6"/>
        <v>a 3 deg</v>
      </c>
      <c r="J30" t="str">
        <f t="shared" si="3"/>
        <v>hTS12c</v>
      </c>
      <c r="O30">
        <f t="shared" si="7"/>
        <v>5</v>
      </c>
      <c r="Q30" t="str">
        <f t="shared" si="4"/>
        <v>hTS12c</v>
      </c>
    </row>
    <row r="31" spans="1:17">
      <c r="A31">
        <f t="shared" si="5"/>
        <v>6</v>
      </c>
      <c r="B31" t="str">
        <f t="shared" si="0"/>
        <v>vstacks_ts24_clu~0001</v>
      </c>
      <c r="C31" t="str">
        <f t="shared" si="1"/>
        <v>e 1.5 deg no OS.gTS24c</v>
      </c>
      <c r="H31" t="str">
        <f t="shared" si="2"/>
        <v>e 1.5 deg no OS.gTS24c</v>
      </c>
      <c r="I31" t="str">
        <f t="shared" si="6"/>
        <v>e 1.5 deg no OS</v>
      </c>
      <c r="J31" t="str">
        <f t="shared" si="3"/>
        <v>gTS24c</v>
      </c>
      <c r="O31">
        <f t="shared" si="7"/>
        <v>1</v>
      </c>
      <c r="Q31" t="str">
        <f t="shared" si="4"/>
        <v>gTS24c</v>
      </c>
    </row>
    <row r="32" spans="1:17">
      <c r="A32">
        <f t="shared" si="5"/>
        <v>6</v>
      </c>
      <c r="B32" t="str">
        <f t="shared" si="0"/>
        <v>vstacks_ts24_clu~0002</v>
      </c>
      <c r="C32" t="str">
        <f t="shared" si="1"/>
        <v>d 1.5 deg OS.gTS24c</v>
      </c>
      <c r="H32" t="str">
        <f t="shared" si="2"/>
        <v>d 1.5 deg OS.gTS24c</v>
      </c>
      <c r="I32" t="str">
        <f t="shared" si="6"/>
        <v>d 1.5 deg OS</v>
      </c>
      <c r="J32" t="str">
        <f t="shared" si="3"/>
        <v>gTS24c</v>
      </c>
      <c r="O32">
        <f t="shared" si="7"/>
        <v>2</v>
      </c>
      <c r="Q32" t="str">
        <f t="shared" si="4"/>
        <v>gTS24c</v>
      </c>
    </row>
    <row r="33" spans="1:17">
      <c r="A33">
        <f t="shared" si="5"/>
        <v>6</v>
      </c>
      <c r="B33" t="str">
        <f t="shared" si="0"/>
        <v>vstacks_ts24_clu~0003</v>
      </c>
      <c r="C33" t="str">
        <f t="shared" si="1"/>
        <v>c 2 deg (67%).gTS24c</v>
      </c>
      <c r="H33" t="str">
        <f t="shared" si="2"/>
        <v>c 2 deg (67%).gTS24c</v>
      </c>
      <c r="I33" t="str">
        <f t="shared" si="6"/>
        <v>c 2 deg (67%)</v>
      </c>
      <c r="J33" t="str">
        <f t="shared" si="3"/>
        <v>gTS24c</v>
      </c>
      <c r="O33">
        <f t="shared" si="7"/>
        <v>3</v>
      </c>
      <c r="Q33" t="str">
        <f t="shared" si="4"/>
        <v>gTS24c</v>
      </c>
    </row>
    <row r="34" spans="1:17">
      <c r="A34">
        <f t="shared" si="5"/>
        <v>6</v>
      </c>
      <c r="B34" t="str">
        <f t="shared" si="0"/>
        <v>vstacks_ts24_clu~0004</v>
      </c>
      <c r="C34" t="str">
        <f t="shared" si="1"/>
        <v>b 2 deg (50%).gTS24c</v>
      </c>
      <c r="H34" t="str">
        <f t="shared" si="2"/>
        <v>b 2 deg (50%).gTS24c</v>
      </c>
      <c r="I34" t="str">
        <f t="shared" si="6"/>
        <v>b 2 deg (50%)</v>
      </c>
      <c r="J34" t="str">
        <f t="shared" si="3"/>
        <v>gTS24c</v>
      </c>
      <c r="O34">
        <f t="shared" si="7"/>
        <v>4</v>
      </c>
      <c r="Q34" t="str">
        <f t="shared" si="4"/>
        <v>gTS24c</v>
      </c>
    </row>
    <row r="35" spans="1:17">
      <c r="A35">
        <f t="shared" si="5"/>
        <v>6</v>
      </c>
      <c r="B35" t="str">
        <f t="shared" si="0"/>
        <v>vstacks_ts24_clu~0005</v>
      </c>
      <c r="C35" t="str">
        <f t="shared" si="1"/>
        <v>a 3 deg.gTS24c</v>
      </c>
      <c r="H35" t="str">
        <f t="shared" si="2"/>
        <v>a 3 deg.gTS24c</v>
      </c>
      <c r="I35" t="str">
        <f t="shared" si="6"/>
        <v>a 3 deg</v>
      </c>
      <c r="J35" t="str">
        <f t="shared" si="3"/>
        <v>gTS24c</v>
      </c>
      <c r="O35">
        <f t="shared" si="7"/>
        <v>5</v>
      </c>
      <c r="Q35" t="str">
        <f t="shared" si="4"/>
        <v>gTS24c</v>
      </c>
    </row>
    <row r="36" spans="1:17">
      <c r="A36">
        <f t="shared" si="5"/>
        <v>7</v>
      </c>
      <c r="B36" t="str">
        <f t="shared" si="0"/>
        <v>vstacks_ts48_clu~0001</v>
      </c>
      <c r="C36" t="str">
        <f t="shared" si="1"/>
        <v>e 1.5 deg no OS.fTS48c</v>
      </c>
      <c r="H36" t="str">
        <f t="shared" si="2"/>
        <v>e 1.5 deg no OS.fTS48c</v>
      </c>
      <c r="I36" t="str">
        <f t="shared" si="6"/>
        <v>e 1.5 deg no OS</v>
      </c>
      <c r="J36" t="str">
        <f t="shared" si="3"/>
        <v>fTS48c</v>
      </c>
      <c r="O36">
        <f t="shared" si="7"/>
        <v>1</v>
      </c>
      <c r="Q36" t="str">
        <f t="shared" si="4"/>
        <v>fTS48c</v>
      </c>
    </row>
    <row r="37" spans="1:17">
      <c r="A37">
        <f t="shared" si="5"/>
        <v>7</v>
      </c>
      <c r="B37" t="str">
        <f t="shared" si="0"/>
        <v>vstacks_ts48_clu~0002</v>
      </c>
      <c r="C37" t="str">
        <f t="shared" si="1"/>
        <v>d 1.5 deg OS.fTS48c</v>
      </c>
      <c r="H37" t="str">
        <f t="shared" si="2"/>
        <v>d 1.5 deg OS.fTS48c</v>
      </c>
      <c r="I37" t="str">
        <f t="shared" si="6"/>
        <v>d 1.5 deg OS</v>
      </c>
      <c r="J37" t="str">
        <f t="shared" si="3"/>
        <v>fTS48c</v>
      </c>
      <c r="O37">
        <f t="shared" si="7"/>
        <v>2</v>
      </c>
      <c r="Q37" t="str">
        <f t="shared" si="4"/>
        <v>fTS48c</v>
      </c>
    </row>
    <row r="38" spans="1:17">
      <c r="A38">
        <f t="shared" si="5"/>
        <v>7</v>
      </c>
      <c r="B38" t="str">
        <f t="shared" si="0"/>
        <v>vstacks_ts48_clu~0003</v>
      </c>
      <c r="C38" t="str">
        <f t="shared" si="1"/>
        <v>c 2 deg (67%).fTS48c</v>
      </c>
      <c r="H38" t="str">
        <f t="shared" si="2"/>
        <v>c 2 deg (67%).fTS48c</v>
      </c>
      <c r="I38" t="str">
        <f t="shared" si="6"/>
        <v>c 2 deg (67%)</v>
      </c>
      <c r="J38" t="str">
        <f t="shared" si="3"/>
        <v>fTS48c</v>
      </c>
      <c r="O38">
        <f t="shared" si="7"/>
        <v>3</v>
      </c>
      <c r="Q38" t="str">
        <f t="shared" si="4"/>
        <v>fTS48c</v>
      </c>
    </row>
    <row r="39" spans="1:17">
      <c r="A39">
        <f t="shared" si="5"/>
        <v>7</v>
      </c>
      <c r="B39" t="str">
        <f t="shared" si="0"/>
        <v>vstacks_ts48_clu~0004</v>
      </c>
      <c r="C39" t="str">
        <f t="shared" si="1"/>
        <v>b 2 deg (50%).fTS48c</v>
      </c>
      <c r="H39" t="str">
        <f t="shared" si="2"/>
        <v>b 2 deg (50%).fTS48c</v>
      </c>
      <c r="I39" t="str">
        <f t="shared" si="6"/>
        <v>b 2 deg (50%)</v>
      </c>
      <c r="J39" t="str">
        <f t="shared" si="3"/>
        <v>fTS48c</v>
      </c>
      <c r="O39">
        <f t="shared" si="7"/>
        <v>4</v>
      </c>
      <c r="Q39" t="str">
        <f t="shared" si="4"/>
        <v>fTS48c</v>
      </c>
    </row>
    <row r="40" spans="1:17">
      <c r="A40">
        <f t="shared" si="5"/>
        <v>7</v>
      </c>
      <c r="B40" t="str">
        <f t="shared" si="0"/>
        <v>vstacks_ts48_clu~0005</v>
      </c>
      <c r="C40" t="str">
        <f t="shared" si="1"/>
        <v>a 3 deg.fTS48c</v>
      </c>
      <c r="H40" t="str">
        <f t="shared" si="2"/>
        <v>a 3 deg.fTS48c</v>
      </c>
      <c r="I40" t="str">
        <f t="shared" si="6"/>
        <v>a 3 deg</v>
      </c>
      <c r="J40" t="str">
        <f t="shared" si="3"/>
        <v>fTS48c</v>
      </c>
      <c r="O40">
        <f t="shared" si="7"/>
        <v>5</v>
      </c>
      <c r="Q40" t="str">
        <f t="shared" si="4"/>
        <v>fTS48c</v>
      </c>
    </row>
    <row r="41" spans="1:17">
      <c r="A41">
        <f t="shared" si="5"/>
        <v>8</v>
      </c>
      <c r="B41" t="str">
        <f t="shared" si="0"/>
        <v>vstacks_s5p5v5_d~0001</v>
      </c>
      <c r="C41" t="str">
        <f t="shared" si="1"/>
        <v>e 1.5 deg no OS.c15d</v>
      </c>
      <c r="H41" t="str">
        <f t="shared" si="2"/>
        <v>e 1.5 deg no OS.c15d</v>
      </c>
      <c r="I41" t="str">
        <f t="shared" si="6"/>
        <v>e 1.5 deg no OS</v>
      </c>
      <c r="J41" t="str">
        <f t="shared" si="3"/>
        <v>c15d</v>
      </c>
      <c r="O41">
        <f t="shared" si="7"/>
        <v>1</v>
      </c>
      <c r="Q41" t="str">
        <f t="shared" si="4"/>
        <v>c15d</v>
      </c>
    </row>
    <row r="42" spans="1:17">
      <c r="A42">
        <f t="shared" si="5"/>
        <v>8</v>
      </c>
      <c r="B42" t="str">
        <f t="shared" si="0"/>
        <v>vstacks_s5p5v5_d~0002</v>
      </c>
      <c r="C42" t="str">
        <f t="shared" si="1"/>
        <v>d 1.5 deg OS.c15d</v>
      </c>
      <c r="H42" t="str">
        <f t="shared" si="2"/>
        <v>d 1.5 deg OS.c15d</v>
      </c>
      <c r="I42" t="str">
        <f t="shared" si="6"/>
        <v>d 1.5 deg OS</v>
      </c>
      <c r="J42" t="str">
        <f t="shared" si="3"/>
        <v>c15d</v>
      </c>
      <c r="O42">
        <f t="shared" si="7"/>
        <v>2</v>
      </c>
      <c r="Q42" t="str">
        <f t="shared" si="4"/>
        <v>c15d</v>
      </c>
    </row>
    <row r="43" spans="1:17">
      <c r="A43">
        <f t="shared" si="5"/>
        <v>8</v>
      </c>
      <c r="B43" t="str">
        <f t="shared" si="0"/>
        <v>vstacks_s5p5v5_d~0003</v>
      </c>
      <c r="C43" t="str">
        <f t="shared" si="1"/>
        <v>c 2 deg (67%).c15d</v>
      </c>
      <c r="H43" t="str">
        <f t="shared" si="2"/>
        <v>c 2 deg (67%).c15d</v>
      </c>
      <c r="I43" t="str">
        <f t="shared" si="6"/>
        <v>c 2 deg (67%)</v>
      </c>
      <c r="J43" t="str">
        <f t="shared" si="3"/>
        <v>c15d</v>
      </c>
      <c r="O43">
        <f t="shared" si="7"/>
        <v>3</v>
      </c>
      <c r="Q43" t="str">
        <f t="shared" si="4"/>
        <v>c15d</v>
      </c>
    </row>
    <row r="44" spans="1:17">
      <c r="A44">
        <f t="shared" si="5"/>
        <v>8</v>
      </c>
      <c r="B44" t="str">
        <f t="shared" si="0"/>
        <v>vstacks_s5p5v5_d~0004</v>
      </c>
      <c r="C44" t="str">
        <f t="shared" si="1"/>
        <v>b 2 deg (50%).c15d</v>
      </c>
      <c r="H44" t="str">
        <f t="shared" si="2"/>
        <v>b 2 deg (50%).c15d</v>
      </c>
      <c r="I44" t="str">
        <f t="shared" si="6"/>
        <v>b 2 deg (50%)</v>
      </c>
      <c r="J44" t="str">
        <f t="shared" si="3"/>
        <v>c15d</v>
      </c>
      <c r="O44">
        <f t="shared" si="7"/>
        <v>4</v>
      </c>
      <c r="Q44" t="str">
        <f t="shared" si="4"/>
        <v>c15d</v>
      </c>
    </row>
    <row r="45" spans="1:17">
      <c r="A45">
        <f t="shared" si="5"/>
        <v>8</v>
      </c>
      <c r="B45" t="str">
        <f t="shared" si="0"/>
        <v>vstacks_s5p5v5_d~0005</v>
      </c>
      <c r="C45" t="str">
        <f t="shared" si="1"/>
        <v>a 3 deg.c15d</v>
      </c>
      <c r="H45" t="str">
        <f t="shared" si="2"/>
        <v>a 3 deg.c15d</v>
      </c>
      <c r="I45" t="str">
        <f t="shared" si="6"/>
        <v>a 3 deg</v>
      </c>
      <c r="J45" t="str">
        <f t="shared" si="3"/>
        <v>c15d</v>
      </c>
      <c r="O45">
        <f t="shared" si="7"/>
        <v>5</v>
      </c>
      <c r="Q45" t="str">
        <f t="shared" si="4"/>
        <v>c15d</v>
      </c>
    </row>
    <row r="46" spans="1:17">
      <c r="A46">
        <f t="shared" si="5"/>
        <v>9</v>
      </c>
      <c r="B46" t="str">
        <f t="shared" si="0"/>
        <v>vstacks_ts_12~0001</v>
      </c>
      <c r="C46" t="str">
        <f t="shared" si="1"/>
        <v>e 1.5 deg no OS.iTS12</v>
      </c>
      <c r="H46" t="str">
        <f t="shared" si="2"/>
        <v>e 1.5 deg no OS.iTS12</v>
      </c>
      <c r="I46" t="str">
        <f t="shared" si="6"/>
        <v>e 1.5 deg no OS</v>
      </c>
      <c r="J46" t="str">
        <f t="shared" si="3"/>
        <v>iTS12</v>
      </c>
      <c r="O46">
        <f t="shared" si="7"/>
        <v>1</v>
      </c>
      <c r="Q46" t="str">
        <f t="shared" si="4"/>
        <v>iTS12</v>
      </c>
    </row>
    <row r="47" spans="1:17">
      <c r="A47">
        <f t="shared" si="5"/>
        <v>9</v>
      </c>
      <c r="B47" t="str">
        <f t="shared" si="0"/>
        <v>vstacks_ts_12~0002</v>
      </c>
      <c r="C47" t="str">
        <f t="shared" si="1"/>
        <v>d 1.5 deg OS.iTS12</v>
      </c>
      <c r="H47" t="str">
        <f t="shared" si="2"/>
        <v>d 1.5 deg OS.iTS12</v>
      </c>
      <c r="I47" t="str">
        <f t="shared" si="6"/>
        <v>d 1.5 deg OS</v>
      </c>
      <c r="J47" t="str">
        <f t="shared" si="3"/>
        <v>iTS12</v>
      </c>
      <c r="O47">
        <f t="shared" si="7"/>
        <v>2</v>
      </c>
      <c r="Q47" t="str">
        <f t="shared" si="4"/>
        <v>iTS12</v>
      </c>
    </row>
    <row r="48" spans="1:17">
      <c r="A48">
        <f t="shared" si="5"/>
        <v>9</v>
      </c>
      <c r="B48" t="str">
        <f t="shared" si="0"/>
        <v>vstacks_ts_12~0003</v>
      </c>
      <c r="C48" t="str">
        <f t="shared" si="1"/>
        <v>c 2 deg (67%).iTS12</v>
      </c>
      <c r="H48" t="str">
        <f t="shared" si="2"/>
        <v>c 2 deg (67%).iTS12</v>
      </c>
      <c r="I48" t="str">
        <f t="shared" si="6"/>
        <v>c 2 deg (67%)</v>
      </c>
      <c r="J48" t="str">
        <f t="shared" si="3"/>
        <v>iTS12</v>
      </c>
      <c r="O48">
        <f t="shared" si="7"/>
        <v>3</v>
      </c>
      <c r="Q48" t="str">
        <f t="shared" si="4"/>
        <v>iTS12</v>
      </c>
    </row>
    <row r="49" spans="1:17">
      <c r="A49">
        <f t="shared" si="5"/>
        <v>9</v>
      </c>
      <c r="B49" t="str">
        <f t="shared" si="0"/>
        <v>vstacks_ts_12~0004</v>
      </c>
      <c r="C49" t="str">
        <f t="shared" si="1"/>
        <v>b 2 deg (50%).iTS12</v>
      </c>
      <c r="H49" t="str">
        <f t="shared" si="2"/>
        <v>b 2 deg (50%).iTS12</v>
      </c>
      <c r="I49" t="str">
        <f t="shared" si="6"/>
        <v>b 2 deg (50%)</v>
      </c>
      <c r="J49" t="str">
        <f t="shared" si="3"/>
        <v>iTS12</v>
      </c>
      <c r="O49">
        <f t="shared" si="7"/>
        <v>4</v>
      </c>
      <c r="Q49" t="str">
        <f t="shared" si="4"/>
        <v>iTS12</v>
      </c>
    </row>
    <row r="50" spans="1:17">
      <c r="A50">
        <f t="shared" si="5"/>
        <v>9</v>
      </c>
      <c r="B50" t="str">
        <f t="shared" si="0"/>
        <v>vstacks_ts_12~0005</v>
      </c>
      <c r="C50" t="str">
        <f t="shared" si="1"/>
        <v>a 3 deg.iTS12</v>
      </c>
      <c r="H50" t="str">
        <f t="shared" si="2"/>
        <v>a 3 deg.iTS12</v>
      </c>
      <c r="I50" t="str">
        <f t="shared" si="6"/>
        <v>a 3 deg</v>
      </c>
      <c r="J50" t="str">
        <f t="shared" si="3"/>
        <v>iTS12</v>
      </c>
      <c r="O50">
        <f t="shared" si="7"/>
        <v>5</v>
      </c>
      <c r="Q50" t="str">
        <f t="shared" si="4"/>
        <v>iTS12</v>
      </c>
    </row>
    <row r="51" spans="1:17">
      <c r="A51">
        <f t="shared" si="5"/>
        <v>10</v>
      </c>
      <c r="B51" t="str">
        <f t="shared" si="0"/>
        <v>vstacks_ts_annual~0001</v>
      </c>
      <c r="C51" t="str">
        <f t="shared" si="1"/>
        <v>e 1.5 deg no OS.jAnn</v>
      </c>
      <c r="H51" t="str">
        <f t="shared" si="2"/>
        <v>e 1.5 deg no OS.jAnn</v>
      </c>
      <c r="I51" t="str">
        <f t="shared" si="6"/>
        <v>e 1.5 deg no OS</v>
      </c>
      <c r="J51" t="str">
        <f t="shared" si="3"/>
        <v>jAnn</v>
      </c>
      <c r="O51">
        <f t="shared" si="7"/>
        <v>1</v>
      </c>
      <c r="Q51" t="str">
        <f t="shared" si="4"/>
        <v>jAnn</v>
      </c>
    </row>
    <row r="52" spans="1:17">
      <c r="A52">
        <f t="shared" si="5"/>
        <v>10</v>
      </c>
      <c r="B52" t="str">
        <f t="shared" si="0"/>
        <v>vstacks_ts_annual~0002</v>
      </c>
      <c r="C52" t="str">
        <f t="shared" si="1"/>
        <v>d 1.5 deg OS.jAnn</v>
      </c>
      <c r="H52" t="str">
        <f t="shared" si="2"/>
        <v>d 1.5 deg OS.jAnn</v>
      </c>
      <c r="I52" t="str">
        <f t="shared" si="6"/>
        <v>d 1.5 deg OS</v>
      </c>
      <c r="J52" t="str">
        <f t="shared" si="3"/>
        <v>jAnn</v>
      </c>
      <c r="O52">
        <f t="shared" si="7"/>
        <v>2</v>
      </c>
      <c r="Q52" t="str">
        <f t="shared" si="4"/>
        <v>jAnn</v>
      </c>
    </row>
    <row r="53" spans="1:17">
      <c r="A53">
        <f t="shared" si="5"/>
        <v>10</v>
      </c>
      <c r="B53" t="str">
        <f t="shared" si="0"/>
        <v>vstacks_ts_annual~0003</v>
      </c>
      <c r="C53" t="str">
        <f t="shared" si="1"/>
        <v>c 2 deg (67%).jAnn</v>
      </c>
      <c r="H53" t="str">
        <f t="shared" si="2"/>
        <v>c 2 deg (67%).jAnn</v>
      </c>
      <c r="I53" t="str">
        <f t="shared" si="6"/>
        <v>c 2 deg (67%)</v>
      </c>
      <c r="J53" t="str">
        <f t="shared" si="3"/>
        <v>jAnn</v>
      </c>
      <c r="O53">
        <f t="shared" si="7"/>
        <v>3</v>
      </c>
      <c r="Q53" t="str">
        <f t="shared" si="4"/>
        <v>jAnn</v>
      </c>
    </row>
    <row r="54" spans="1:17">
      <c r="A54">
        <f t="shared" si="5"/>
        <v>10</v>
      </c>
      <c r="B54" t="str">
        <f t="shared" si="0"/>
        <v>vstacks_ts_annual~0004</v>
      </c>
      <c r="C54" t="str">
        <f t="shared" si="1"/>
        <v>b 2 deg (50%).jAnn</v>
      </c>
      <c r="H54" t="str">
        <f t="shared" si="2"/>
        <v>b 2 deg (50%).jAnn</v>
      </c>
      <c r="I54" t="str">
        <f t="shared" si="6"/>
        <v>b 2 deg (50%)</v>
      </c>
      <c r="J54" t="str">
        <f t="shared" si="3"/>
        <v>jAnn</v>
      </c>
      <c r="O54">
        <f t="shared" si="7"/>
        <v>4</v>
      </c>
      <c r="Q54" t="str">
        <f t="shared" si="4"/>
        <v>jAnn</v>
      </c>
    </row>
    <row r="55" spans="1:17">
      <c r="A55">
        <f t="shared" si="5"/>
        <v>10</v>
      </c>
      <c r="B55" t="str">
        <f t="shared" si="0"/>
        <v>vstacks_ts_annual~0005</v>
      </c>
      <c r="C55" t="str">
        <f t="shared" si="1"/>
        <v>a 3 deg.jAnn</v>
      </c>
      <c r="H55" t="str">
        <f t="shared" si="2"/>
        <v>a 3 deg.jAnn</v>
      </c>
      <c r="I55" t="str">
        <f t="shared" si="6"/>
        <v>a 3 deg</v>
      </c>
      <c r="J55" t="str">
        <f t="shared" si="3"/>
        <v>jAnn</v>
      </c>
      <c r="O55">
        <f t="shared" si="7"/>
        <v>5</v>
      </c>
      <c r="Q55" t="str">
        <f t="shared" si="4"/>
        <v>jAnn</v>
      </c>
    </row>
    <row r="56" spans="1:17">
      <c r="A56">
        <f t="shared" si="5"/>
        <v>11</v>
      </c>
      <c r="B56" t="str">
        <f t="shared" si="0"/>
        <v>vstacks_s1_d~0001</v>
      </c>
      <c r="C56" t="str">
        <f t="shared" si="1"/>
        <v>e 1.5 deg no OS.f3d</v>
      </c>
      <c r="H56" t="str">
        <f t="shared" si="2"/>
        <v>e 1.5 deg no OS.f3d</v>
      </c>
      <c r="I56" t="str">
        <f t="shared" si="6"/>
        <v>e 1.5 deg no OS</v>
      </c>
      <c r="J56" t="str">
        <f t="shared" si="3"/>
        <v>f3d</v>
      </c>
      <c r="O56">
        <f t="shared" si="7"/>
        <v>1</v>
      </c>
      <c r="Q56" t="str">
        <f t="shared" si="4"/>
        <v>f3d</v>
      </c>
    </row>
    <row r="57" spans="1:17">
      <c r="A57">
        <f t="shared" si="5"/>
        <v>11</v>
      </c>
      <c r="B57" t="str">
        <f t="shared" si="0"/>
        <v>vstacks_s1_d~0002</v>
      </c>
      <c r="C57" t="str">
        <f t="shared" si="1"/>
        <v>d 1.5 deg OS.f3d</v>
      </c>
      <c r="H57" t="str">
        <f t="shared" si="2"/>
        <v>d 1.5 deg OS.f3d</v>
      </c>
      <c r="I57" t="str">
        <f t="shared" si="6"/>
        <v>d 1.5 deg OS</v>
      </c>
      <c r="J57" t="str">
        <f t="shared" si="3"/>
        <v>f3d</v>
      </c>
      <c r="O57">
        <f t="shared" si="7"/>
        <v>2</v>
      </c>
      <c r="Q57" t="str">
        <f t="shared" si="4"/>
        <v>f3d</v>
      </c>
    </row>
    <row r="58" spans="1:17">
      <c r="A58">
        <f t="shared" si="5"/>
        <v>11</v>
      </c>
      <c r="B58" t="str">
        <f t="shared" si="0"/>
        <v>vstacks_s1_d~0003</v>
      </c>
      <c r="C58" t="str">
        <f t="shared" si="1"/>
        <v>c 2 deg (67%).f3d</v>
      </c>
      <c r="H58" t="str">
        <f t="shared" si="2"/>
        <v>c 2 deg (67%).f3d</v>
      </c>
      <c r="I58" t="str">
        <f t="shared" si="6"/>
        <v>c 2 deg (67%)</v>
      </c>
      <c r="J58" t="str">
        <f t="shared" si="3"/>
        <v>f3d</v>
      </c>
      <c r="O58">
        <f t="shared" si="7"/>
        <v>3</v>
      </c>
      <c r="Q58" t="str">
        <f t="shared" si="4"/>
        <v>f3d</v>
      </c>
    </row>
    <row r="59" spans="1:17">
      <c r="A59">
        <f t="shared" si="5"/>
        <v>11</v>
      </c>
      <c r="B59" t="str">
        <f t="shared" si="0"/>
        <v>vstacks_s1_d~0004</v>
      </c>
      <c r="C59" t="str">
        <f t="shared" si="1"/>
        <v>b 2 deg (50%).f3d</v>
      </c>
      <c r="H59" t="str">
        <f t="shared" si="2"/>
        <v>b 2 deg (50%).f3d</v>
      </c>
      <c r="I59" t="str">
        <f t="shared" si="6"/>
        <v>b 2 deg (50%)</v>
      </c>
      <c r="J59" t="str">
        <f t="shared" si="3"/>
        <v>f3d</v>
      </c>
      <c r="O59">
        <f t="shared" si="7"/>
        <v>4</v>
      </c>
      <c r="Q59" t="str">
        <f t="shared" si="4"/>
        <v>f3d</v>
      </c>
    </row>
    <row r="60" spans="1:17">
      <c r="A60">
        <f t="shared" si="5"/>
        <v>11</v>
      </c>
      <c r="B60" t="str">
        <f t="shared" si="0"/>
        <v>vstacks_s1_d~0005</v>
      </c>
      <c r="C60" t="str">
        <f t="shared" si="1"/>
        <v>a 3 deg.f3d</v>
      </c>
      <c r="H60" t="str">
        <f t="shared" si="2"/>
        <v>a 3 deg.f3d</v>
      </c>
      <c r="I60" t="str">
        <f t="shared" si="6"/>
        <v>a 3 deg</v>
      </c>
      <c r="J60" t="str">
        <f t="shared" si="3"/>
        <v>f3d</v>
      </c>
      <c r="O60">
        <f t="shared" si="7"/>
        <v>5</v>
      </c>
      <c r="Q60" t="str">
        <f t="shared" si="4"/>
        <v>f3d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>
      <selection activeCell="A12" sqref="A12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37</v>
      </c>
    </row>
    <row r="2" spans="2:24">
      <c r="I2" t="s">
        <v>260</v>
      </c>
      <c r="J2" t="s">
        <v>124</v>
      </c>
    </row>
    <row r="4" spans="2:24">
      <c r="B4" t="s">
        <v>62</v>
      </c>
      <c r="H4" t="s">
        <v>63</v>
      </c>
      <c r="O4" t="s">
        <v>295</v>
      </c>
    </row>
    <row r="5" spans="2:24"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  <c r="N5" t="s">
        <v>296</v>
      </c>
      <c r="O5" t="s">
        <v>297</v>
      </c>
      <c r="P5" t="s">
        <v>298</v>
      </c>
      <c r="Q5" t="s">
        <v>124</v>
      </c>
      <c r="R5" t="s">
        <v>299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250</v>
      </c>
      <c r="N6">
        <v>5</v>
      </c>
      <c r="O6" t="s">
        <v>300</v>
      </c>
      <c r="P6">
        <v>1</v>
      </c>
      <c r="Q6" t="s">
        <v>238</v>
      </c>
      <c r="R6" t="s">
        <v>284</v>
      </c>
      <c r="T6" t="s">
        <v>238</v>
      </c>
      <c r="U6" t="s">
        <v>378</v>
      </c>
      <c r="W6" t="s">
        <v>284</v>
      </c>
      <c r="X6" t="s">
        <v>258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251</v>
      </c>
      <c r="N7">
        <v>5</v>
      </c>
      <c r="O7" t="s">
        <v>301</v>
      </c>
      <c r="P7">
        <v>2</v>
      </c>
      <c r="Q7" t="s">
        <v>238</v>
      </c>
      <c r="R7" t="s">
        <v>285</v>
      </c>
      <c r="T7" t="s">
        <v>306</v>
      </c>
      <c r="U7" t="s">
        <v>379</v>
      </c>
      <c r="W7" t="s">
        <v>285</v>
      </c>
      <c r="X7" t="s">
        <v>257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252</v>
      </c>
      <c r="N8">
        <v>5</v>
      </c>
      <c r="O8" t="s">
        <v>302</v>
      </c>
      <c r="P8">
        <v>3</v>
      </c>
      <c r="Q8" t="s">
        <v>238</v>
      </c>
      <c r="R8" t="s">
        <v>286</v>
      </c>
      <c r="T8" t="s">
        <v>312</v>
      </c>
      <c r="U8" t="s">
        <v>380</v>
      </c>
      <c r="W8" t="s">
        <v>286</v>
      </c>
      <c r="X8" t="s">
        <v>256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253</v>
      </c>
      <c r="N9">
        <v>5</v>
      </c>
      <c r="O9" t="s">
        <v>303</v>
      </c>
      <c r="P9">
        <v>4</v>
      </c>
      <c r="Q9" t="s">
        <v>238</v>
      </c>
      <c r="R9" t="s">
        <v>287</v>
      </c>
      <c r="T9" t="s">
        <v>318</v>
      </c>
      <c r="U9" t="s">
        <v>381</v>
      </c>
      <c r="W9" t="s">
        <v>287</v>
      </c>
      <c r="X9" t="s">
        <v>255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254</v>
      </c>
      <c r="N10">
        <v>5</v>
      </c>
      <c r="O10" t="s">
        <v>304</v>
      </c>
      <c r="P10">
        <v>5</v>
      </c>
      <c r="Q10" t="s">
        <v>238</v>
      </c>
      <c r="R10" t="s">
        <v>288</v>
      </c>
      <c r="T10" t="s">
        <v>324</v>
      </c>
      <c r="U10" t="s">
        <v>382</v>
      </c>
      <c r="W10" t="s">
        <v>288</v>
      </c>
      <c r="X10" t="s">
        <v>259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305</v>
      </c>
      <c r="P11">
        <v>6</v>
      </c>
      <c r="Q11" t="s">
        <v>306</v>
      </c>
      <c r="R11" t="s">
        <v>284</v>
      </c>
      <c r="T11" t="s">
        <v>330</v>
      </c>
      <c r="U11" t="s">
        <v>383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307</v>
      </c>
      <c r="P12">
        <v>7</v>
      </c>
      <c r="Q12" t="s">
        <v>306</v>
      </c>
      <c r="R12" t="s">
        <v>285</v>
      </c>
      <c r="T12" t="s">
        <v>336</v>
      </c>
      <c r="U12" t="s">
        <v>386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308</v>
      </c>
      <c r="P13">
        <v>8</v>
      </c>
      <c r="Q13" t="s">
        <v>306</v>
      </c>
      <c r="R13" t="s">
        <v>286</v>
      </c>
      <c r="T13" t="s">
        <v>342</v>
      </c>
      <c r="U13" t="s">
        <v>384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309</v>
      </c>
      <c r="P14">
        <v>9</v>
      </c>
      <c r="Q14" t="s">
        <v>306</v>
      </c>
      <c r="R14" t="s">
        <v>287</v>
      </c>
      <c r="T14" t="s">
        <v>348</v>
      </c>
      <c r="U14" t="s">
        <v>385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310</v>
      </c>
      <c r="P15">
        <v>10</v>
      </c>
      <c r="Q15" t="s">
        <v>306</v>
      </c>
      <c r="R15" t="s">
        <v>288</v>
      </c>
      <c r="T15" t="s">
        <v>230</v>
      </c>
      <c r="U15" t="s">
        <v>244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311</v>
      </c>
      <c r="P16">
        <v>11</v>
      </c>
      <c r="Q16" t="s">
        <v>312</v>
      </c>
      <c r="R16" t="s">
        <v>284</v>
      </c>
      <c r="T16" t="s">
        <v>231</v>
      </c>
      <c r="U16" t="s">
        <v>241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313</v>
      </c>
      <c r="P17">
        <v>12</v>
      </c>
      <c r="Q17" t="s">
        <v>312</v>
      </c>
      <c r="R17" t="s">
        <v>285</v>
      </c>
      <c r="T17" t="s">
        <v>237</v>
      </c>
      <c r="U17" t="s">
        <v>243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314</v>
      </c>
      <c r="P18">
        <v>13</v>
      </c>
      <c r="Q18" t="s">
        <v>312</v>
      </c>
      <c r="R18" t="s">
        <v>286</v>
      </c>
      <c r="T18" t="s">
        <v>232</v>
      </c>
      <c r="U18" t="s">
        <v>242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315</v>
      </c>
      <c r="P19">
        <v>14</v>
      </c>
      <c r="Q19" t="s">
        <v>312</v>
      </c>
      <c r="R19" t="s">
        <v>287</v>
      </c>
      <c r="T19" t="s">
        <v>233</v>
      </c>
      <c r="U19" t="s">
        <v>240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316</v>
      </c>
      <c r="P20">
        <v>15</v>
      </c>
      <c r="Q20" t="s">
        <v>312</v>
      </c>
      <c r="R20" t="s">
        <v>288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317</v>
      </c>
      <c r="P21">
        <v>16</v>
      </c>
      <c r="Q21" t="s">
        <v>318</v>
      </c>
      <c r="R21" t="s">
        <v>284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319</v>
      </c>
      <c r="P22">
        <v>17</v>
      </c>
      <c r="Q22" t="s">
        <v>318</v>
      </c>
      <c r="R22" t="s">
        <v>285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320</v>
      </c>
      <c r="P23">
        <v>18</v>
      </c>
      <c r="Q23" t="s">
        <v>318</v>
      </c>
      <c r="R23" t="s">
        <v>286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321</v>
      </c>
      <c r="P24">
        <v>19</v>
      </c>
      <c r="Q24" t="s">
        <v>318</v>
      </c>
      <c r="R24" t="s">
        <v>287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322</v>
      </c>
      <c r="P25">
        <v>20</v>
      </c>
      <c r="Q25" t="s">
        <v>318</v>
      </c>
      <c r="R25" t="s">
        <v>288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323</v>
      </c>
      <c r="P26">
        <v>21</v>
      </c>
      <c r="Q26" t="s">
        <v>324</v>
      </c>
      <c r="R26" t="s">
        <v>284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325</v>
      </c>
      <c r="P27">
        <v>22</v>
      </c>
      <c r="Q27" t="s">
        <v>324</v>
      </c>
      <c r="R27" t="s">
        <v>285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326</v>
      </c>
      <c r="P28">
        <v>23</v>
      </c>
      <c r="Q28" t="s">
        <v>324</v>
      </c>
      <c r="R28" t="s">
        <v>286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327</v>
      </c>
      <c r="P29">
        <v>24</v>
      </c>
      <c r="Q29" t="s">
        <v>324</v>
      </c>
      <c r="R29" t="s">
        <v>287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328</v>
      </c>
      <c r="P30">
        <v>25</v>
      </c>
      <c r="Q30" t="s">
        <v>324</v>
      </c>
      <c r="R30" t="s">
        <v>288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329</v>
      </c>
      <c r="P31">
        <v>26</v>
      </c>
      <c r="Q31" t="s">
        <v>330</v>
      </c>
      <c r="R31" t="s">
        <v>284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331</v>
      </c>
      <c r="P32">
        <v>27</v>
      </c>
      <c r="Q32" t="s">
        <v>330</v>
      </c>
      <c r="R32" t="s">
        <v>285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332</v>
      </c>
      <c r="P33">
        <v>28</v>
      </c>
      <c r="Q33" t="s">
        <v>330</v>
      </c>
      <c r="R33" t="s">
        <v>286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333</v>
      </c>
      <c r="P34">
        <v>29</v>
      </c>
      <c r="Q34" t="s">
        <v>330</v>
      </c>
      <c r="R34" t="s">
        <v>287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334</v>
      </c>
      <c r="P35">
        <v>30</v>
      </c>
      <c r="Q35" t="s">
        <v>330</v>
      </c>
      <c r="R35" t="s">
        <v>288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335</v>
      </c>
      <c r="P36">
        <v>31</v>
      </c>
      <c r="Q36" t="s">
        <v>336</v>
      </c>
      <c r="R36" t="s">
        <v>284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337</v>
      </c>
      <c r="P37">
        <v>32</v>
      </c>
      <c r="Q37" t="s">
        <v>336</v>
      </c>
      <c r="R37" t="s">
        <v>285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338</v>
      </c>
      <c r="P38">
        <v>33</v>
      </c>
      <c r="Q38" t="s">
        <v>336</v>
      </c>
      <c r="R38" t="s">
        <v>286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339</v>
      </c>
      <c r="P39">
        <v>34</v>
      </c>
      <c r="Q39" t="s">
        <v>336</v>
      </c>
      <c r="R39" t="s">
        <v>287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340</v>
      </c>
      <c r="P40">
        <v>35</v>
      </c>
      <c r="Q40" t="s">
        <v>336</v>
      </c>
      <c r="R40" t="s">
        <v>288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341</v>
      </c>
      <c r="P41">
        <v>36</v>
      </c>
      <c r="Q41" t="s">
        <v>342</v>
      </c>
      <c r="R41" t="s">
        <v>284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343</v>
      </c>
      <c r="P42">
        <v>37</v>
      </c>
      <c r="Q42" t="s">
        <v>342</v>
      </c>
      <c r="R42" t="s">
        <v>285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344</v>
      </c>
      <c r="P43">
        <v>38</v>
      </c>
      <c r="Q43" t="s">
        <v>342</v>
      </c>
      <c r="R43" t="s">
        <v>286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345</v>
      </c>
      <c r="P44">
        <v>39</v>
      </c>
      <c r="Q44" t="s">
        <v>342</v>
      </c>
      <c r="R44" t="s">
        <v>287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346</v>
      </c>
      <c r="P45">
        <v>40</v>
      </c>
      <c r="Q45" t="s">
        <v>342</v>
      </c>
      <c r="R45" t="s">
        <v>288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347</v>
      </c>
      <c r="P46">
        <v>41</v>
      </c>
      <c r="Q46" t="s">
        <v>348</v>
      </c>
      <c r="R46" t="s">
        <v>284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349</v>
      </c>
      <c r="P47">
        <v>42</v>
      </c>
      <c r="Q47" t="s">
        <v>348</v>
      </c>
      <c r="R47" t="s">
        <v>285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350</v>
      </c>
      <c r="P48">
        <v>43</v>
      </c>
      <c r="Q48" t="s">
        <v>348</v>
      </c>
      <c r="R48" t="s">
        <v>286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351</v>
      </c>
      <c r="P49">
        <v>44</v>
      </c>
      <c r="Q49" t="s">
        <v>348</v>
      </c>
      <c r="R49" t="s">
        <v>287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352</v>
      </c>
      <c r="P50">
        <v>45</v>
      </c>
      <c r="Q50" t="s">
        <v>348</v>
      </c>
      <c r="R50" t="s">
        <v>288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353</v>
      </c>
      <c r="P51">
        <v>46</v>
      </c>
      <c r="Q51" t="s">
        <v>230</v>
      </c>
      <c r="R51" t="s">
        <v>284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354</v>
      </c>
      <c r="P52">
        <v>47</v>
      </c>
      <c r="Q52" t="s">
        <v>230</v>
      </c>
      <c r="R52" t="s">
        <v>285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355</v>
      </c>
      <c r="P53">
        <v>48</v>
      </c>
      <c r="Q53" t="s">
        <v>230</v>
      </c>
      <c r="R53" t="s">
        <v>286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356</v>
      </c>
      <c r="P54">
        <v>49</v>
      </c>
      <c r="Q54" t="s">
        <v>230</v>
      </c>
      <c r="R54" t="s">
        <v>287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357</v>
      </c>
      <c r="P55">
        <v>50</v>
      </c>
      <c r="Q55" t="s">
        <v>230</v>
      </c>
      <c r="R55" t="s">
        <v>288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358</v>
      </c>
      <c r="P56">
        <v>51</v>
      </c>
      <c r="Q56" t="s">
        <v>231</v>
      </c>
      <c r="R56" t="s">
        <v>284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359</v>
      </c>
      <c r="P57">
        <v>52</v>
      </c>
      <c r="Q57" t="s">
        <v>231</v>
      </c>
      <c r="R57" t="s">
        <v>285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360</v>
      </c>
      <c r="P58">
        <v>53</v>
      </c>
      <c r="Q58" t="s">
        <v>231</v>
      </c>
      <c r="R58" t="s">
        <v>286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361</v>
      </c>
      <c r="P59">
        <v>54</v>
      </c>
      <c r="Q59" t="s">
        <v>231</v>
      </c>
      <c r="R59" t="s">
        <v>287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362</v>
      </c>
      <c r="P60">
        <v>55</v>
      </c>
      <c r="Q60" t="s">
        <v>231</v>
      </c>
      <c r="R60" t="s">
        <v>288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363</v>
      </c>
      <c r="P61">
        <v>56</v>
      </c>
      <c r="Q61" t="s">
        <v>237</v>
      </c>
      <c r="R61" t="s">
        <v>284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364</v>
      </c>
      <c r="P62">
        <v>57</v>
      </c>
      <c r="Q62" t="s">
        <v>237</v>
      </c>
      <c r="R62" t="s">
        <v>285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365</v>
      </c>
      <c r="P63">
        <v>58</v>
      </c>
      <c r="Q63" t="s">
        <v>237</v>
      </c>
      <c r="R63" t="s">
        <v>286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366</v>
      </c>
      <c r="P64">
        <v>59</v>
      </c>
      <c r="Q64" t="s">
        <v>237</v>
      </c>
      <c r="R64" t="s">
        <v>287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367</v>
      </c>
      <c r="P65">
        <v>60</v>
      </c>
      <c r="Q65" t="s">
        <v>237</v>
      </c>
      <c r="R65" t="s">
        <v>288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368</v>
      </c>
      <c r="P66">
        <v>61</v>
      </c>
      <c r="Q66" t="s">
        <v>232</v>
      </c>
      <c r="R66" t="s">
        <v>284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369</v>
      </c>
      <c r="P67">
        <v>62</v>
      </c>
      <c r="Q67" t="s">
        <v>232</v>
      </c>
      <c r="R67" t="s">
        <v>285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370</v>
      </c>
      <c r="P68">
        <v>63</v>
      </c>
      <c r="Q68" t="s">
        <v>232</v>
      </c>
      <c r="R68" t="s">
        <v>286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371</v>
      </c>
      <c r="P69">
        <v>64</v>
      </c>
      <c r="Q69" t="s">
        <v>232</v>
      </c>
      <c r="R69" t="s">
        <v>287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372</v>
      </c>
      <c r="P70">
        <v>65</v>
      </c>
      <c r="Q70" t="s">
        <v>232</v>
      </c>
      <c r="R70" t="s">
        <v>288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373</v>
      </c>
      <c r="P71">
        <v>66</v>
      </c>
      <c r="Q71" t="s">
        <v>233</v>
      </c>
      <c r="R71" t="s">
        <v>284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374</v>
      </c>
      <c r="P72">
        <v>67</v>
      </c>
      <c r="Q72" t="s">
        <v>233</v>
      </c>
      <c r="R72" t="s">
        <v>285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375</v>
      </c>
      <c r="P73">
        <v>68</v>
      </c>
      <c r="Q73" t="s">
        <v>233</v>
      </c>
      <c r="R73" t="s">
        <v>286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376</v>
      </c>
      <c r="P74">
        <v>69</v>
      </c>
      <c r="Q74" t="s">
        <v>233</v>
      </c>
      <c r="R74" t="s">
        <v>287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377</v>
      </c>
      <c r="P75">
        <v>70</v>
      </c>
      <c r="Q75" t="s">
        <v>233</v>
      </c>
      <c r="R75" t="s">
        <v>288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5E23-F72C-4437-87C6-5FD417D138D3}">
  <dimension ref="B9:H358"/>
  <sheetViews>
    <sheetView tabSelected="1" workbookViewId="0"/>
  </sheetViews>
  <sheetFormatPr defaultRowHeight="14.25"/>
  <sheetData>
    <row r="9" spans="2:8">
      <c r="B9" t="s">
        <v>1150</v>
      </c>
      <c r="F9" t="s">
        <v>1150</v>
      </c>
    </row>
    <row r="10" spans="2:8">
      <c r="B10" t="s">
        <v>1151</v>
      </c>
      <c r="C10" t="s">
        <v>1152</v>
      </c>
      <c r="D10" t="s">
        <v>1153</v>
      </c>
      <c r="F10" t="s">
        <v>1151</v>
      </c>
      <c r="G10" t="s">
        <v>1152</v>
      </c>
      <c r="H10" t="s">
        <v>1153</v>
      </c>
    </row>
    <row r="11" spans="2:8">
      <c r="B11" t="s">
        <v>424</v>
      </c>
      <c r="C11">
        <v>29.047912170087969</v>
      </c>
      <c r="D11">
        <v>76.973729472140747</v>
      </c>
      <c r="F11" t="s">
        <v>1154</v>
      </c>
      <c r="G11">
        <v>29.047912170087969</v>
      </c>
      <c r="H11">
        <v>76.973729472140747</v>
      </c>
    </row>
    <row r="12" spans="2:8">
      <c r="B12" t="s">
        <v>425</v>
      </c>
      <c r="C12">
        <v>22.259303523489933</v>
      </c>
      <c r="D12">
        <v>74.706498154362421</v>
      </c>
      <c r="F12" t="s">
        <v>1155</v>
      </c>
      <c r="G12">
        <v>22.259303523489933</v>
      </c>
      <c r="H12">
        <v>74.706498154362421</v>
      </c>
    </row>
    <row r="13" spans="2:8">
      <c r="B13" t="s">
        <v>426</v>
      </c>
      <c r="C13">
        <v>25.067710099823842</v>
      </c>
      <c r="D13">
        <v>86.39857762771581</v>
      </c>
      <c r="F13" t="s">
        <v>1156</v>
      </c>
      <c r="G13">
        <v>25.067710099823842</v>
      </c>
      <c r="H13">
        <v>86.39857762771581</v>
      </c>
    </row>
    <row r="14" spans="2:8">
      <c r="B14" t="s">
        <v>427</v>
      </c>
      <c r="C14">
        <v>11.538855422202229</v>
      </c>
      <c r="D14">
        <v>77.627854310032475</v>
      </c>
      <c r="F14" t="s">
        <v>1157</v>
      </c>
      <c r="G14">
        <v>11.538855422202229</v>
      </c>
      <c r="H14">
        <v>77.627854310032475</v>
      </c>
    </row>
    <row r="15" spans="2:8">
      <c r="B15" t="s">
        <v>428</v>
      </c>
      <c r="C15">
        <v>16.749525383920506</v>
      </c>
      <c r="D15">
        <v>78.8080724480578</v>
      </c>
      <c r="F15" t="s">
        <v>1158</v>
      </c>
      <c r="G15">
        <v>16.749525383920506</v>
      </c>
      <c r="H15">
        <v>78.8080724480578</v>
      </c>
    </row>
    <row r="16" spans="2:8">
      <c r="B16" t="s">
        <v>429</v>
      </c>
      <c r="C16">
        <v>27.508675414906929</v>
      </c>
      <c r="D16">
        <v>93.930756583334841</v>
      </c>
      <c r="F16" t="s">
        <v>1159</v>
      </c>
      <c r="G16">
        <v>27.508675414906929</v>
      </c>
      <c r="H16">
        <v>93.930756583334841</v>
      </c>
    </row>
    <row r="17" spans="2:8">
      <c r="B17" t="s">
        <v>430</v>
      </c>
      <c r="C17">
        <v>23.599425085165851</v>
      </c>
      <c r="D17">
        <v>72.681728872645536</v>
      </c>
      <c r="F17" t="s">
        <v>1160</v>
      </c>
      <c r="G17">
        <v>23.599425085165851</v>
      </c>
      <c r="H17">
        <v>72.681728872645536</v>
      </c>
    </row>
    <row r="18" spans="2:8">
      <c r="B18" t="s">
        <v>431</v>
      </c>
      <c r="C18">
        <v>14.372565410782173</v>
      </c>
      <c r="D18">
        <v>77.622723793471451</v>
      </c>
      <c r="F18" t="s">
        <v>1161</v>
      </c>
      <c r="G18">
        <v>14.372565410782173</v>
      </c>
      <c r="H18">
        <v>77.622723793471451</v>
      </c>
    </row>
    <row r="19" spans="2:8">
      <c r="B19" t="s">
        <v>432</v>
      </c>
      <c r="C19">
        <v>22.655026378049829</v>
      </c>
      <c r="D19">
        <v>83.12411044331138</v>
      </c>
      <c r="F19" t="s">
        <v>1162</v>
      </c>
      <c r="G19">
        <v>22.655026378049829</v>
      </c>
      <c r="H19">
        <v>83.12411044331138</v>
      </c>
    </row>
    <row r="20" spans="2:8">
      <c r="B20" t="s">
        <v>433</v>
      </c>
      <c r="C20">
        <v>30.243761172413084</v>
      </c>
      <c r="D20">
        <v>77.195275413417917</v>
      </c>
      <c r="F20" t="s">
        <v>1163</v>
      </c>
      <c r="G20">
        <v>30.243761172413084</v>
      </c>
      <c r="H20">
        <v>77.195275413417917</v>
      </c>
    </row>
    <row r="21" spans="2:8">
      <c r="B21" t="s">
        <v>434</v>
      </c>
      <c r="C21">
        <v>23.931427121075423</v>
      </c>
      <c r="D21">
        <v>72.000885126573536</v>
      </c>
      <c r="F21" t="s">
        <v>1164</v>
      </c>
      <c r="G21">
        <v>23.931427121075423</v>
      </c>
      <c r="H21">
        <v>72.000885126573536</v>
      </c>
    </row>
    <row r="22" spans="2:8">
      <c r="B22" t="s">
        <v>435</v>
      </c>
      <c r="C22">
        <v>25.753418713861461</v>
      </c>
      <c r="D22">
        <v>72.304499918689871</v>
      </c>
      <c r="F22" t="s">
        <v>1165</v>
      </c>
      <c r="G22">
        <v>25.753418713861461</v>
      </c>
      <c r="H22">
        <v>72.304499918689871</v>
      </c>
    </row>
    <row r="23" spans="2:8">
      <c r="B23" t="s">
        <v>436</v>
      </c>
      <c r="C23">
        <v>25.217231263056409</v>
      </c>
      <c r="D23">
        <v>74.973035893007605</v>
      </c>
      <c r="F23" t="s">
        <v>1166</v>
      </c>
      <c r="G23">
        <v>25.217231263056409</v>
      </c>
      <c r="H23">
        <v>74.973035893007605</v>
      </c>
    </row>
    <row r="24" spans="2:8">
      <c r="B24" t="s">
        <v>437</v>
      </c>
      <c r="C24">
        <v>22.109746050487548</v>
      </c>
      <c r="D24">
        <v>71.963198940895623</v>
      </c>
      <c r="F24" t="s">
        <v>1167</v>
      </c>
      <c r="G24">
        <v>22.109746050487548</v>
      </c>
      <c r="H24">
        <v>71.963198940895623</v>
      </c>
    </row>
    <row r="25" spans="2:8">
      <c r="B25" t="s">
        <v>438</v>
      </c>
      <c r="C25">
        <v>23.387906037898009</v>
      </c>
      <c r="D25">
        <v>73.747885153295655</v>
      </c>
      <c r="F25" t="s">
        <v>1168</v>
      </c>
      <c r="G25">
        <v>23.387906037898009</v>
      </c>
      <c r="H25">
        <v>73.747885153295655</v>
      </c>
    </row>
    <row r="26" spans="2:8">
      <c r="B26" t="s">
        <v>439</v>
      </c>
      <c r="C26">
        <v>19.571518580894782</v>
      </c>
      <c r="D26">
        <v>73.203719638889027</v>
      </c>
      <c r="F26" t="s">
        <v>1169</v>
      </c>
      <c r="G26">
        <v>19.571518580894782</v>
      </c>
      <c r="H26">
        <v>73.203719638889027</v>
      </c>
    </row>
    <row r="27" spans="2:8">
      <c r="B27" t="s">
        <v>440</v>
      </c>
      <c r="C27">
        <v>20.971138705825386</v>
      </c>
      <c r="D27">
        <v>74.65542864813078</v>
      </c>
      <c r="F27" t="s">
        <v>1170</v>
      </c>
      <c r="G27">
        <v>20.971138705825386</v>
      </c>
      <c r="H27">
        <v>74.65542864813078</v>
      </c>
    </row>
    <row r="28" spans="2:8">
      <c r="B28" t="s">
        <v>441</v>
      </c>
      <c r="C28">
        <v>21.29818552946513</v>
      </c>
      <c r="D28">
        <v>78.13277913899968</v>
      </c>
      <c r="F28" t="s">
        <v>1171</v>
      </c>
      <c r="G28">
        <v>21.29818552946513</v>
      </c>
      <c r="H28">
        <v>78.13277913899968</v>
      </c>
    </row>
    <row r="29" spans="2:8">
      <c r="B29" t="s">
        <v>442</v>
      </c>
      <c r="C29">
        <v>20.776397878674249</v>
      </c>
      <c r="D29">
        <v>76.323070237641801</v>
      </c>
      <c r="F29" t="s">
        <v>1172</v>
      </c>
      <c r="G29">
        <v>20.776397878674249</v>
      </c>
      <c r="H29">
        <v>76.323070237641801</v>
      </c>
    </row>
    <row r="30" spans="2:8">
      <c r="B30" t="s">
        <v>443</v>
      </c>
      <c r="C30">
        <v>23.246327515105623</v>
      </c>
      <c r="D30">
        <v>75.742963616746863</v>
      </c>
      <c r="F30" t="s">
        <v>1173</v>
      </c>
      <c r="G30">
        <v>23.246327515105623</v>
      </c>
      <c r="H30">
        <v>75.742963616746863</v>
      </c>
    </row>
    <row r="31" spans="2:8">
      <c r="B31" t="s">
        <v>444</v>
      </c>
      <c r="C31">
        <v>23.442375280262706</v>
      </c>
      <c r="D31">
        <v>77.538113384317967</v>
      </c>
      <c r="F31" t="s">
        <v>1174</v>
      </c>
      <c r="G31">
        <v>23.442375280262706</v>
      </c>
      <c r="H31">
        <v>77.538113384317967</v>
      </c>
    </row>
    <row r="32" spans="2:8">
      <c r="B32" t="s">
        <v>445</v>
      </c>
      <c r="C32">
        <v>29.455320882082859</v>
      </c>
      <c r="D32">
        <v>73.851931594257522</v>
      </c>
      <c r="F32" t="s">
        <v>1175</v>
      </c>
      <c r="G32">
        <v>29.455320882082859</v>
      </c>
      <c r="H32">
        <v>73.851931594257522</v>
      </c>
    </row>
    <row r="33" spans="2:8">
      <c r="B33" t="s">
        <v>446</v>
      </c>
      <c r="C33">
        <v>30.88191594327742</v>
      </c>
      <c r="D33">
        <v>74.995268125919566</v>
      </c>
      <c r="F33" t="s">
        <v>1176</v>
      </c>
      <c r="G33">
        <v>30.88191594327742</v>
      </c>
      <c r="H33">
        <v>74.995268125919566</v>
      </c>
    </row>
    <row r="34" spans="2:8">
      <c r="B34" t="s">
        <v>447</v>
      </c>
      <c r="C34">
        <v>27.710723031890343</v>
      </c>
      <c r="D34">
        <v>72.077292512300019</v>
      </c>
      <c r="F34" t="s">
        <v>1177</v>
      </c>
      <c r="G34">
        <v>27.710723031890343</v>
      </c>
      <c r="H34">
        <v>72.077292512300019</v>
      </c>
    </row>
    <row r="35" spans="2:8">
      <c r="B35" t="s">
        <v>448</v>
      </c>
      <c r="C35">
        <v>27.982237236880547</v>
      </c>
      <c r="D35">
        <v>74.742433825675406</v>
      </c>
      <c r="F35" t="s">
        <v>1178</v>
      </c>
      <c r="G35">
        <v>27.982237236880547</v>
      </c>
      <c r="H35">
        <v>74.742433825675406</v>
      </c>
    </row>
    <row r="36" spans="2:8">
      <c r="B36" t="s">
        <v>449</v>
      </c>
      <c r="C36">
        <v>32.369004546556781</v>
      </c>
      <c r="D36">
        <v>75.328108254891234</v>
      </c>
      <c r="F36" t="s">
        <v>1179</v>
      </c>
      <c r="G36">
        <v>32.369004546556781</v>
      </c>
      <c r="H36">
        <v>75.328108254891234</v>
      </c>
    </row>
    <row r="37" spans="2:8">
      <c r="B37" t="s">
        <v>450</v>
      </c>
      <c r="C37">
        <v>30.07907635050427</v>
      </c>
      <c r="D37">
        <v>77.135120623088795</v>
      </c>
      <c r="F37" t="s">
        <v>1180</v>
      </c>
      <c r="G37">
        <v>30.07907635050427</v>
      </c>
      <c r="H37">
        <v>77.135120623088795</v>
      </c>
    </row>
    <row r="38" spans="2:8">
      <c r="B38" t="s">
        <v>451</v>
      </c>
      <c r="C38">
        <v>25.349542136541825</v>
      </c>
      <c r="D38">
        <v>77.674925980837145</v>
      </c>
      <c r="F38" t="s">
        <v>1181</v>
      </c>
      <c r="G38">
        <v>25.349542136541825</v>
      </c>
      <c r="H38">
        <v>77.674925980837145</v>
      </c>
    </row>
    <row r="39" spans="2:8">
      <c r="B39" t="s">
        <v>452</v>
      </c>
      <c r="C39">
        <v>24.697210958875434</v>
      </c>
      <c r="D39">
        <v>79.915952812672174</v>
      </c>
      <c r="F39" t="s">
        <v>1182</v>
      </c>
      <c r="G39">
        <v>24.697210958875434</v>
      </c>
      <c r="H39">
        <v>79.915952812672174</v>
      </c>
    </row>
    <row r="40" spans="2:8">
      <c r="B40" t="s">
        <v>453</v>
      </c>
      <c r="C40">
        <v>26.470796972079576</v>
      </c>
      <c r="D40">
        <v>79.727061514778512</v>
      </c>
      <c r="F40" t="s">
        <v>1183</v>
      </c>
      <c r="G40">
        <v>26.470796972079576</v>
      </c>
      <c r="H40">
        <v>79.727061514778512</v>
      </c>
    </row>
    <row r="41" spans="2:8">
      <c r="B41" t="s">
        <v>454</v>
      </c>
      <c r="C41">
        <v>26.884831373651011</v>
      </c>
      <c r="D41">
        <v>76.380244916767225</v>
      </c>
      <c r="F41" t="s">
        <v>1184</v>
      </c>
      <c r="G41">
        <v>26.884831373651011</v>
      </c>
      <c r="H41">
        <v>76.380244916767225</v>
      </c>
    </row>
    <row r="42" spans="2:8">
      <c r="B42" t="s">
        <v>455</v>
      </c>
      <c r="C42">
        <v>28.173220543565517</v>
      </c>
      <c r="D42">
        <v>77.456348055131315</v>
      </c>
      <c r="F42" t="s">
        <v>1185</v>
      </c>
      <c r="G42">
        <v>28.173220543565517</v>
      </c>
      <c r="H42">
        <v>77.456348055131315</v>
      </c>
    </row>
    <row r="43" spans="2:8">
      <c r="B43" t="s">
        <v>456</v>
      </c>
      <c r="C43">
        <v>29.361165144135608</v>
      </c>
      <c r="D43">
        <v>79.629987429520412</v>
      </c>
      <c r="F43" t="s">
        <v>1186</v>
      </c>
      <c r="G43">
        <v>29.361165144135608</v>
      </c>
      <c r="H43">
        <v>79.629987429520412</v>
      </c>
    </row>
    <row r="44" spans="2:8">
      <c r="B44" t="s">
        <v>457</v>
      </c>
      <c r="C44">
        <v>28.206548334170499</v>
      </c>
      <c r="D44">
        <v>79.815696265825622</v>
      </c>
      <c r="F44" t="s">
        <v>1187</v>
      </c>
      <c r="G44">
        <v>28.206548334170499</v>
      </c>
      <c r="H44">
        <v>79.815696265825622</v>
      </c>
    </row>
    <row r="45" spans="2:8">
      <c r="B45" t="s">
        <v>458</v>
      </c>
      <c r="C45">
        <v>26.541810670920967</v>
      </c>
      <c r="D45">
        <v>84.907136241990585</v>
      </c>
      <c r="F45" t="s">
        <v>1188</v>
      </c>
      <c r="G45">
        <v>26.541810670920967</v>
      </c>
      <c r="H45">
        <v>84.907136241990585</v>
      </c>
    </row>
    <row r="46" spans="2:8">
      <c r="B46" t="s">
        <v>459</v>
      </c>
      <c r="C46">
        <v>27.41517482069526</v>
      </c>
      <c r="D46">
        <v>81.909407759136684</v>
      </c>
      <c r="F46" t="s">
        <v>1189</v>
      </c>
      <c r="G46">
        <v>27.41517482069526</v>
      </c>
      <c r="H46">
        <v>81.909407759136684</v>
      </c>
    </row>
    <row r="47" spans="2:8">
      <c r="B47" t="s">
        <v>460</v>
      </c>
      <c r="C47">
        <v>24.931220487711556</v>
      </c>
      <c r="D47">
        <v>82.060105072127527</v>
      </c>
      <c r="F47" t="s">
        <v>1190</v>
      </c>
      <c r="G47">
        <v>24.931220487711556</v>
      </c>
      <c r="H47">
        <v>82.060105072127527</v>
      </c>
    </row>
    <row r="48" spans="2:8">
      <c r="B48" t="s">
        <v>461</v>
      </c>
      <c r="C48">
        <v>25.56949013587445</v>
      </c>
      <c r="D48">
        <v>83.66506349660304</v>
      </c>
      <c r="F48" t="s">
        <v>1191</v>
      </c>
      <c r="G48">
        <v>25.56949013587445</v>
      </c>
      <c r="H48">
        <v>83.66506349660304</v>
      </c>
    </row>
    <row r="49" spans="2:8">
      <c r="B49" t="s">
        <v>462</v>
      </c>
      <c r="C49">
        <v>26.839731441306199</v>
      </c>
      <c r="D49">
        <v>70.257899600187997</v>
      </c>
      <c r="F49" t="s">
        <v>1192</v>
      </c>
      <c r="G49">
        <v>26.839731441306199</v>
      </c>
      <c r="H49">
        <v>70.257899600187997</v>
      </c>
    </row>
    <row r="50" spans="2:8">
      <c r="B50" t="s">
        <v>463</v>
      </c>
      <c r="C50">
        <v>23.965137866241449</v>
      </c>
      <c r="D50">
        <v>69.911687737615637</v>
      </c>
      <c r="F50" t="s">
        <v>1193</v>
      </c>
      <c r="G50">
        <v>23.965137866241449</v>
      </c>
      <c r="H50">
        <v>69.911687737615637</v>
      </c>
    </row>
    <row r="51" spans="2:8">
      <c r="B51" t="s">
        <v>464</v>
      </c>
      <c r="C51">
        <v>22.036552389113066</v>
      </c>
      <c r="D51">
        <v>70.316034529978864</v>
      </c>
      <c r="F51" t="s">
        <v>1194</v>
      </c>
      <c r="G51">
        <v>22.036552389113066</v>
      </c>
      <c r="H51">
        <v>70.316034529978864</v>
      </c>
    </row>
    <row r="52" spans="2:8">
      <c r="B52" t="s">
        <v>465</v>
      </c>
      <c r="C52">
        <v>22.183820516946177</v>
      </c>
      <c r="D52">
        <v>87.632700695571771</v>
      </c>
      <c r="F52" t="s">
        <v>1195</v>
      </c>
      <c r="G52">
        <v>22.183820516946177</v>
      </c>
      <c r="H52">
        <v>87.632700695571771</v>
      </c>
    </row>
    <row r="53" spans="2:8">
      <c r="B53" t="s">
        <v>466</v>
      </c>
      <c r="C53">
        <v>25.988720855905079</v>
      </c>
      <c r="D53">
        <v>87.79956699326786</v>
      </c>
      <c r="F53" t="s">
        <v>1196</v>
      </c>
      <c r="G53">
        <v>25.988720855905079</v>
      </c>
      <c r="H53">
        <v>87.79956699326786</v>
      </c>
    </row>
    <row r="54" spans="2:8">
      <c r="B54" t="s">
        <v>467</v>
      </c>
      <c r="C54">
        <v>24.751052079513439</v>
      </c>
      <c r="D54">
        <v>87.745690600468251</v>
      </c>
      <c r="F54" t="s">
        <v>1197</v>
      </c>
      <c r="G54">
        <v>24.751052079513439</v>
      </c>
      <c r="H54">
        <v>87.745690600468251</v>
      </c>
    </row>
    <row r="55" spans="2:8">
      <c r="B55" t="s">
        <v>468</v>
      </c>
      <c r="C55">
        <v>23.593267746235998</v>
      </c>
      <c r="D55">
        <v>87.50209368059393</v>
      </c>
      <c r="F55" t="s">
        <v>1198</v>
      </c>
      <c r="G55">
        <v>23.593267746235998</v>
      </c>
      <c r="H55">
        <v>87.50209368059393</v>
      </c>
    </row>
    <row r="56" spans="2:8">
      <c r="B56" t="s">
        <v>469</v>
      </c>
      <c r="C56">
        <v>24.450646852147571</v>
      </c>
      <c r="D56">
        <v>94.345871649004167</v>
      </c>
      <c r="F56" t="s">
        <v>1199</v>
      </c>
      <c r="G56">
        <v>24.450646852147571</v>
      </c>
      <c r="H56">
        <v>94.345871649004167</v>
      </c>
    </row>
    <row r="57" spans="2:8">
      <c r="B57" t="s">
        <v>470</v>
      </c>
      <c r="C57">
        <v>25.935542664011244</v>
      </c>
      <c r="D57">
        <v>94.266105714559259</v>
      </c>
      <c r="F57" t="s">
        <v>1200</v>
      </c>
      <c r="G57">
        <v>25.935542664011244</v>
      </c>
      <c r="H57">
        <v>94.266105714559259</v>
      </c>
    </row>
    <row r="58" spans="2:8">
      <c r="B58" t="s">
        <v>471</v>
      </c>
      <c r="C58">
        <v>25.37200536956054</v>
      </c>
      <c r="D58">
        <v>92.648526946107978</v>
      </c>
      <c r="F58" t="s">
        <v>1201</v>
      </c>
      <c r="G58">
        <v>25.37200536956054</v>
      </c>
      <c r="H58">
        <v>92.648526946107978</v>
      </c>
    </row>
    <row r="59" spans="2:8">
      <c r="B59" t="s">
        <v>472</v>
      </c>
      <c r="C59">
        <v>22.574172634664681</v>
      </c>
      <c r="D59">
        <v>92.548940553927579</v>
      </c>
      <c r="F59" t="s">
        <v>1202</v>
      </c>
      <c r="G59">
        <v>22.574172634664681</v>
      </c>
      <c r="H59">
        <v>92.548940553927579</v>
      </c>
    </row>
    <row r="60" spans="2:8">
      <c r="B60" t="s">
        <v>473</v>
      </c>
      <c r="C60">
        <v>23.774321968742331</v>
      </c>
      <c r="D60">
        <v>91.661036448345115</v>
      </c>
      <c r="F60" t="s">
        <v>1203</v>
      </c>
      <c r="G60">
        <v>23.774321968742331</v>
      </c>
      <c r="H60">
        <v>91.661036448345115</v>
      </c>
    </row>
    <row r="61" spans="2:8">
      <c r="B61" t="s">
        <v>474</v>
      </c>
      <c r="C61">
        <v>26.856046651632838</v>
      </c>
      <c r="D61">
        <v>93.711424243728118</v>
      </c>
      <c r="F61" t="s">
        <v>1204</v>
      </c>
      <c r="G61">
        <v>26.856046651632838</v>
      </c>
      <c r="H61">
        <v>93.711424243728118</v>
      </c>
    </row>
    <row r="62" spans="2:8">
      <c r="B62" t="s">
        <v>475</v>
      </c>
      <c r="C62">
        <v>27.576598719780904</v>
      </c>
      <c r="D62">
        <v>95.652286771158543</v>
      </c>
      <c r="F62" t="s">
        <v>1205</v>
      </c>
      <c r="G62">
        <v>27.576598719780904</v>
      </c>
      <c r="H62">
        <v>95.652286771158543</v>
      </c>
    </row>
    <row r="63" spans="2:8">
      <c r="B63" t="s">
        <v>476</v>
      </c>
      <c r="C63">
        <v>27.941184934802504</v>
      </c>
      <c r="D63">
        <v>95.289803206519821</v>
      </c>
      <c r="F63" t="s">
        <v>1206</v>
      </c>
      <c r="G63">
        <v>27.941184934802504</v>
      </c>
      <c r="H63">
        <v>95.289803206519821</v>
      </c>
    </row>
    <row r="64" spans="2:8">
      <c r="B64" t="s">
        <v>477</v>
      </c>
      <c r="C64">
        <v>25.715649200326965</v>
      </c>
      <c r="D64">
        <v>90.488276258695038</v>
      </c>
      <c r="F64" t="s">
        <v>1207</v>
      </c>
      <c r="G64">
        <v>25.715649200326965</v>
      </c>
      <c r="H64">
        <v>90.488276258695038</v>
      </c>
    </row>
    <row r="65" spans="2:8">
      <c r="B65" t="s">
        <v>478</v>
      </c>
      <c r="C65">
        <v>26.580998308586089</v>
      </c>
      <c r="D65">
        <v>88.899478842104784</v>
      </c>
      <c r="F65" t="s">
        <v>1208</v>
      </c>
      <c r="G65">
        <v>26.580998308586089</v>
      </c>
      <c r="H65">
        <v>88.899478842104784</v>
      </c>
    </row>
    <row r="66" spans="2:8">
      <c r="B66" t="s">
        <v>479</v>
      </c>
      <c r="C66">
        <v>26.58118329802992</v>
      </c>
      <c r="D66">
        <v>90.902380510161123</v>
      </c>
      <c r="F66" t="s">
        <v>1209</v>
      </c>
      <c r="G66">
        <v>26.58118329802992</v>
      </c>
      <c r="H66">
        <v>90.902380510161123</v>
      </c>
    </row>
    <row r="67" spans="2:8">
      <c r="B67" t="s">
        <v>480</v>
      </c>
      <c r="C67">
        <v>18.502464450699723</v>
      </c>
      <c r="D67">
        <v>83.873448591268229</v>
      </c>
      <c r="F67" t="s">
        <v>1210</v>
      </c>
      <c r="G67">
        <v>18.502464450699723</v>
      </c>
      <c r="H67">
        <v>83.873448591268229</v>
      </c>
    </row>
    <row r="68" spans="2:8">
      <c r="B68" t="s">
        <v>481</v>
      </c>
      <c r="C68">
        <v>20.089777308413325</v>
      </c>
      <c r="D68">
        <v>85.186866609138988</v>
      </c>
      <c r="F68" t="s">
        <v>1211</v>
      </c>
      <c r="G68">
        <v>20.089777308413325</v>
      </c>
      <c r="H68">
        <v>85.186866609138988</v>
      </c>
    </row>
    <row r="69" spans="2:8">
      <c r="B69" t="s">
        <v>482</v>
      </c>
      <c r="C69">
        <v>18.637541163247981</v>
      </c>
      <c r="D69">
        <v>80.487551981590883</v>
      </c>
      <c r="F69" t="s">
        <v>1212</v>
      </c>
      <c r="G69">
        <v>18.637541163247981</v>
      </c>
      <c r="H69">
        <v>80.487551981590883</v>
      </c>
    </row>
    <row r="70" spans="2:8">
      <c r="B70" t="s">
        <v>483</v>
      </c>
      <c r="C70">
        <v>18.66177221147521</v>
      </c>
      <c r="D70">
        <v>82.132674779759242</v>
      </c>
      <c r="F70" t="s">
        <v>1213</v>
      </c>
      <c r="G70">
        <v>18.66177221147521</v>
      </c>
      <c r="H70">
        <v>82.132674779759242</v>
      </c>
    </row>
    <row r="71" spans="2:8">
      <c r="B71" t="s">
        <v>484</v>
      </c>
      <c r="C71">
        <v>19.901993732495413</v>
      </c>
      <c r="D71">
        <v>82.251510049654811</v>
      </c>
      <c r="F71" t="s">
        <v>1214</v>
      </c>
      <c r="G71">
        <v>19.901993732495413</v>
      </c>
      <c r="H71">
        <v>82.251510049654811</v>
      </c>
    </row>
    <row r="72" spans="2:8">
      <c r="B72" t="s">
        <v>485</v>
      </c>
      <c r="C72">
        <v>22.704287145878435</v>
      </c>
      <c r="D72">
        <v>80.211223766587693</v>
      </c>
      <c r="F72" t="s">
        <v>1215</v>
      </c>
      <c r="G72">
        <v>22.704287145878435</v>
      </c>
      <c r="H72">
        <v>80.211223766587693</v>
      </c>
    </row>
    <row r="73" spans="2:8">
      <c r="B73" t="s">
        <v>486</v>
      </c>
      <c r="C73">
        <v>20.396401568270839</v>
      </c>
      <c r="D73">
        <v>79.945767312230316</v>
      </c>
      <c r="F73" t="s">
        <v>1216</v>
      </c>
      <c r="G73">
        <v>20.396401568270839</v>
      </c>
      <c r="H73">
        <v>79.945767312230316</v>
      </c>
    </row>
    <row r="74" spans="2:8">
      <c r="B74" t="s">
        <v>487</v>
      </c>
      <c r="C74">
        <v>21.386424282461689</v>
      </c>
      <c r="D74">
        <v>81.551877363621884</v>
      </c>
      <c r="F74" t="s">
        <v>1217</v>
      </c>
      <c r="G74">
        <v>21.386424282461689</v>
      </c>
      <c r="H74">
        <v>81.551877363621884</v>
      </c>
    </row>
    <row r="75" spans="2:8">
      <c r="B75" t="s">
        <v>488</v>
      </c>
      <c r="C75">
        <v>21.453054297066284</v>
      </c>
      <c r="D75">
        <v>83.487969448723632</v>
      </c>
      <c r="F75" t="s">
        <v>1218</v>
      </c>
      <c r="G75">
        <v>21.453054297066284</v>
      </c>
      <c r="H75">
        <v>83.487969448723632</v>
      </c>
    </row>
    <row r="76" spans="2:8">
      <c r="B76" t="s">
        <v>489</v>
      </c>
      <c r="C76">
        <v>22.183834567448372</v>
      </c>
      <c r="D76">
        <v>85.58395132399032</v>
      </c>
      <c r="F76" t="s">
        <v>1219</v>
      </c>
      <c r="G76">
        <v>22.183834567448372</v>
      </c>
      <c r="H76">
        <v>85.58395132399032</v>
      </c>
    </row>
    <row r="77" spans="2:8">
      <c r="B77" t="s">
        <v>490</v>
      </c>
      <c r="C77">
        <v>23.05734410682836</v>
      </c>
      <c r="D77">
        <v>82.955659441972941</v>
      </c>
      <c r="F77" t="s">
        <v>1220</v>
      </c>
      <c r="G77">
        <v>23.05734410682836</v>
      </c>
      <c r="H77">
        <v>82.955659441972941</v>
      </c>
    </row>
    <row r="78" spans="2:8">
      <c r="B78" t="s">
        <v>491</v>
      </c>
      <c r="C78">
        <v>24.190925164987739</v>
      </c>
      <c r="D78">
        <v>85.046844597741853</v>
      </c>
      <c r="F78" t="s">
        <v>1221</v>
      </c>
      <c r="G78">
        <v>24.190925164987739</v>
      </c>
      <c r="H78">
        <v>85.046844597741853</v>
      </c>
    </row>
    <row r="79" spans="2:8">
      <c r="B79" t="s">
        <v>492</v>
      </c>
      <c r="C79">
        <v>17.751573047353848</v>
      </c>
      <c r="D79">
        <v>76.464335565260001</v>
      </c>
      <c r="F79" t="s">
        <v>1222</v>
      </c>
      <c r="G79">
        <v>17.751573047353848</v>
      </c>
      <c r="H79">
        <v>76.464335565260001</v>
      </c>
    </row>
    <row r="80" spans="2:8">
      <c r="B80" t="s">
        <v>493</v>
      </c>
      <c r="C80">
        <v>18.269190473512133</v>
      </c>
      <c r="D80">
        <v>74.99487608449374</v>
      </c>
      <c r="F80" t="s">
        <v>1223</v>
      </c>
      <c r="G80">
        <v>18.269190473512133</v>
      </c>
      <c r="H80">
        <v>74.99487608449374</v>
      </c>
    </row>
    <row r="81" spans="2:8">
      <c r="B81" t="s">
        <v>494</v>
      </c>
      <c r="C81">
        <v>15.934562476950468</v>
      </c>
      <c r="D81">
        <v>74.177032818285426</v>
      </c>
      <c r="F81" t="s">
        <v>1224</v>
      </c>
      <c r="G81">
        <v>15.934562476950468</v>
      </c>
      <c r="H81">
        <v>74.177032818285426</v>
      </c>
    </row>
    <row r="82" spans="2:8">
      <c r="B82" t="s">
        <v>495</v>
      </c>
      <c r="C82">
        <v>15.559117118247908</v>
      </c>
      <c r="D82">
        <v>75.563817419656715</v>
      </c>
      <c r="F82" t="s">
        <v>1225</v>
      </c>
      <c r="G82">
        <v>15.559117118247908</v>
      </c>
      <c r="H82">
        <v>75.563817419656715</v>
      </c>
    </row>
    <row r="83" spans="2:8">
      <c r="B83" t="s">
        <v>496</v>
      </c>
      <c r="C83">
        <v>16.348144744518773</v>
      </c>
      <c r="D83">
        <v>77.507852679627348</v>
      </c>
      <c r="F83" t="s">
        <v>1226</v>
      </c>
      <c r="G83">
        <v>16.348144744518773</v>
      </c>
      <c r="H83">
        <v>77.507852679627348</v>
      </c>
    </row>
    <row r="84" spans="2:8">
      <c r="B84" t="s">
        <v>497</v>
      </c>
      <c r="C84">
        <v>18.659500201790191</v>
      </c>
      <c r="D84">
        <v>78.468439383951917</v>
      </c>
      <c r="F84" t="s">
        <v>1227</v>
      </c>
      <c r="G84">
        <v>18.659500201790191</v>
      </c>
      <c r="H84">
        <v>78.468439383951917</v>
      </c>
    </row>
    <row r="85" spans="2:8">
      <c r="B85" t="s">
        <v>498</v>
      </c>
      <c r="C85">
        <v>19.632879837667669</v>
      </c>
      <c r="D85">
        <v>77.494790107151658</v>
      </c>
      <c r="F85" t="s">
        <v>1228</v>
      </c>
      <c r="G85">
        <v>19.632879837667669</v>
      </c>
      <c r="H85">
        <v>77.494790107151658</v>
      </c>
    </row>
    <row r="86" spans="2:8">
      <c r="B86" t="s">
        <v>499</v>
      </c>
      <c r="C86">
        <v>16.80460611393751</v>
      </c>
      <c r="D86">
        <v>81.59485290073232</v>
      </c>
      <c r="F86" t="s">
        <v>1229</v>
      </c>
      <c r="G86">
        <v>16.80460611393751</v>
      </c>
      <c r="H86">
        <v>81.59485290073232</v>
      </c>
    </row>
    <row r="87" spans="2:8">
      <c r="B87" t="s">
        <v>500</v>
      </c>
      <c r="C87">
        <v>16.995337272312479</v>
      </c>
      <c r="D87">
        <v>79.954752560258882</v>
      </c>
      <c r="F87" t="s">
        <v>1230</v>
      </c>
      <c r="G87">
        <v>16.995337272312479</v>
      </c>
      <c r="H87">
        <v>79.954752560258882</v>
      </c>
    </row>
    <row r="88" spans="2:8">
      <c r="B88" t="s">
        <v>501</v>
      </c>
      <c r="C88">
        <v>12.66138130041668</v>
      </c>
      <c r="D88">
        <v>79.339036863047454</v>
      </c>
      <c r="F88" t="s">
        <v>1231</v>
      </c>
      <c r="G88">
        <v>12.66138130041668</v>
      </c>
      <c r="H88">
        <v>79.339036863047454</v>
      </c>
    </row>
    <row r="89" spans="2:8">
      <c r="B89" t="s">
        <v>502</v>
      </c>
      <c r="C89">
        <v>14.348626661776001</v>
      </c>
      <c r="D89">
        <v>78.240523867081279</v>
      </c>
      <c r="F89" t="s">
        <v>1232</v>
      </c>
      <c r="G89">
        <v>14.348626661776001</v>
      </c>
      <c r="H89">
        <v>78.240523867081279</v>
      </c>
    </row>
    <row r="90" spans="2:8">
      <c r="B90" t="s">
        <v>503</v>
      </c>
      <c r="C90">
        <v>14.603775341631737</v>
      </c>
      <c r="D90">
        <v>79.638387268383724</v>
      </c>
      <c r="F90" t="s">
        <v>1233</v>
      </c>
      <c r="G90">
        <v>14.603775341631737</v>
      </c>
      <c r="H90">
        <v>79.638387268383724</v>
      </c>
    </row>
    <row r="91" spans="2:8">
      <c r="B91" t="s">
        <v>504</v>
      </c>
      <c r="C91">
        <v>9.2193870506494804</v>
      </c>
      <c r="D91">
        <v>78.405332563652223</v>
      </c>
      <c r="F91" t="s">
        <v>1234</v>
      </c>
      <c r="G91">
        <v>9.2193870506494804</v>
      </c>
      <c r="H91">
        <v>78.405332563652223</v>
      </c>
    </row>
    <row r="92" spans="2:8">
      <c r="B92" t="s">
        <v>505</v>
      </c>
      <c r="C92">
        <v>10.922333980479198</v>
      </c>
      <c r="D92">
        <v>79.325108265285436</v>
      </c>
      <c r="F92" t="s">
        <v>1235</v>
      </c>
      <c r="G92">
        <v>10.922333980479198</v>
      </c>
      <c r="H92">
        <v>79.325108265285436</v>
      </c>
    </row>
    <row r="93" spans="2:8">
      <c r="B93" t="s">
        <v>506</v>
      </c>
      <c r="C93">
        <v>10.668823082465243</v>
      </c>
      <c r="D93">
        <v>78.211683060045985</v>
      </c>
      <c r="F93" t="s">
        <v>1236</v>
      </c>
      <c r="G93">
        <v>10.668823082465243</v>
      </c>
      <c r="H93">
        <v>78.211683060045985</v>
      </c>
    </row>
    <row r="94" spans="2:8">
      <c r="B94" t="s">
        <v>507</v>
      </c>
      <c r="C94">
        <v>11.070115191235828</v>
      </c>
      <c r="D94">
        <v>76.157908986276922</v>
      </c>
      <c r="F94" t="s">
        <v>1237</v>
      </c>
      <c r="G94">
        <v>11.070115191235828</v>
      </c>
      <c r="H94">
        <v>76.157908986276922</v>
      </c>
    </row>
    <row r="95" spans="2:8">
      <c r="B95" t="s">
        <v>508</v>
      </c>
      <c r="C95">
        <v>9.3600688231210807</v>
      </c>
      <c r="D95">
        <v>76.93827947717611</v>
      </c>
      <c r="F95" t="s">
        <v>1238</v>
      </c>
      <c r="G95">
        <v>9.3600688231210807</v>
      </c>
      <c r="H95">
        <v>76.93827947717611</v>
      </c>
    </row>
    <row r="96" spans="2:8">
      <c r="B96" t="s">
        <v>509</v>
      </c>
      <c r="C96">
        <v>13.273239323434302</v>
      </c>
      <c r="D96">
        <v>75.118577752242146</v>
      </c>
      <c r="F96" t="s">
        <v>1239</v>
      </c>
      <c r="G96">
        <v>13.273239323434302</v>
      </c>
      <c r="H96">
        <v>75.118577752242146</v>
      </c>
    </row>
    <row r="97" spans="2:8">
      <c r="B97" t="s">
        <v>510</v>
      </c>
      <c r="C97">
        <v>12.116252501169191</v>
      </c>
      <c r="D97">
        <v>77.420064634950847</v>
      </c>
      <c r="F97" t="s">
        <v>1240</v>
      </c>
      <c r="G97">
        <v>12.116252501169191</v>
      </c>
      <c r="H97">
        <v>77.420064634950847</v>
      </c>
    </row>
    <row r="98" spans="2:8">
      <c r="B98" t="s">
        <v>511</v>
      </c>
      <c r="C98">
        <v>13.263544409531432</v>
      </c>
      <c r="D98">
        <v>76.568999776210717</v>
      </c>
      <c r="F98" t="s">
        <v>1241</v>
      </c>
      <c r="G98">
        <v>13.263544409531432</v>
      </c>
      <c r="H98">
        <v>76.568999776210717</v>
      </c>
    </row>
    <row r="99" spans="2:8">
      <c r="B99" t="s">
        <v>512</v>
      </c>
      <c r="C99">
        <v>27.568646248158934</v>
      </c>
      <c r="D99">
        <v>80.530279009447071</v>
      </c>
      <c r="F99" t="s">
        <v>1242</v>
      </c>
      <c r="G99">
        <v>27.568646248158934</v>
      </c>
      <c r="H99">
        <v>80.530279009447071</v>
      </c>
    </row>
    <row r="100" spans="2:8">
      <c r="B100" t="s">
        <v>513</v>
      </c>
      <c r="C100">
        <v>27.145978538045068</v>
      </c>
      <c r="D100">
        <v>82.691638318475043</v>
      </c>
      <c r="F100" t="s">
        <v>1243</v>
      </c>
      <c r="G100">
        <v>27.145978538045068</v>
      </c>
      <c r="H100">
        <v>82.691638318475043</v>
      </c>
    </row>
    <row r="101" spans="2:8">
      <c r="B101" t="s">
        <v>514</v>
      </c>
      <c r="C101">
        <v>26.261782828491764</v>
      </c>
      <c r="D101">
        <v>81.894536080706928</v>
      </c>
      <c r="F101" t="s">
        <v>1244</v>
      </c>
      <c r="G101">
        <v>26.261782828491764</v>
      </c>
      <c r="H101">
        <v>81.894536080706928</v>
      </c>
    </row>
    <row r="102" spans="2:8">
      <c r="B102" t="s">
        <v>515</v>
      </c>
      <c r="C102">
        <v>28.793343383966917</v>
      </c>
      <c r="D102">
        <v>78.594686526388912</v>
      </c>
      <c r="F102" t="s">
        <v>1245</v>
      </c>
      <c r="G102">
        <v>28.793343383966917</v>
      </c>
      <c r="H102">
        <v>78.594686526388912</v>
      </c>
    </row>
    <row r="103" spans="2:8">
      <c r="B103" t="s">
        <v>516</v>
      </c>
      <c r="C103">
        <v>29.984016069110275</v>
      </c>
      <c r="D103">
        <v>76.91112272158604</v>
      </c>
      <c r="F103" t="s">
        <v>1246</v>
      </c>
      <c r="G103">
        <v>29.984016069110275</v>
      </c>
      <c r="H103">
        <v>76.91112272158604</v>
      </c>
    </row>
    <row r="104" spans="2:8">
      <c r="B104" t="s">
        <v>517</v>
      </c>
      <c r="C104">
        <v>27.08812509039273</v>
      </c>
      <c r="D104">
        <v>79.18419934082182</v>
      </c>
      <c r="F104" t="s">
        <v>1247</v>
      </c>
      <c r="G104">
        <v>27.08812509039273</v>
      </c>
      <c r="H104">
        <v>79.18419934082182</v>
      </c>
    </row>
    <row r="105" spans="2:8">
      <c r="B105" t="s">
        <v>518</v>
      </c>
      <c r="C105">
        <v>26.91880842422681</v>
      </c>
      <c r="D105">
        <v>78.186541293088169</v>
      </c>
      <c r="F105" t="s">
        <v>1248</v>
      </c>
      <c r="G105">
        <v>26.91880842422681</v>
      </c>
      <c r="H105">
        <v>78.186541293088169</v>
      </c>
    </row>
    <row r="106" spans="2:8">
      <c r="B106" t="s">
        <v>519</v>
      </c>
      <c r="C106">
        <v>28.675336697419748</v>
      </c>
      <c r="D106">
        <v>77.206378475969643</v>
      </c>
      <c r="F106" t="s">
        <v>1249</v>
      </c>
      <c r="G106">
        <v>28.675336697419748</v>
      </c>
      <c r="H106">
        <v>77.206378475969643</v>
      </c>
    </row>
    <row r="107" spans="2:8">
      <c r="B107" t="s">
        <v>520</v>
      </c>
      <c r="C107">
        <v>23.434164569737867</v>
      </c>
      <c r="D107">
        <v>91.364697610929326</v>
      </c>
      <c r="F107" t="s">
        <v>1250</v>
      </c>
      <c r="G107">
        <v>23.434164569737867</v>
      </c>
      <c r="H107">
        <v>91.364697610929326</v>
      </c>
    </row>
    <row r="108" spans="2:8">
      <c r="B108" t="s">
        <v>521</v>
      </c>
      <c r="C108">
        <v>22.634024681322742</v>
      </c>
      <c r="D108">
        <v>88.276459531453753</v>
      </c>
      <c r="F108" t="s">
        <v>1251</v>
      </c>
      <c r="G108">
        <v>22.634024681322742</v>
      </c>
      <c r="H108">
        <v>88.276459531453753</v>
      </c>
    </row>
    <row r="109" spans="2:8">
      <c r="B109" t="s">
        <v>522</v>
      </c>
      <c r="C109">
        <v>20.106235602515724</v>
      </c>
      <c r="D109">
        <v>85.800052197183547</v>
      </c>
      <c r="F109" t="s">
        <v>1252</v>
      </c>
      <c r="G109">
        <v>20.106235602515724</v>
      </c>
      <c r="H109">
        <v>85.800052197183547</v>
      </c>
    </row>
    <row r="110" spans="2:8">
      <c r="B110" t="s">
        <v>523</v>
      </c>
      <c r="C110">
        <v>23.186798131460439</v>
      </c>
      <c r="D110">
        <v>87.097363310443356</v>
      </c>
      <c r="F110" t="s">
        <v>1253</v>
      </c>
      <c r="G110">
        <v>23.186798131460439</v>
      </c>
      <c r="H110">
        <v>87.097363310443356</v>
      </c>
    </row>
    <row r="111" spans="2:8">
      <c r="B111" t="s">
        <v>524</v>
      </c>
      <c r="C111">
        <v>24.413894232513851</v>
      </c>
      <c r="D111">
        <v>87.713139076831325</v>
      </c>
      <c r="F111" t="s">
        <v>1254</v>
      </c>
      <c r="G111">
        <v>24.413894232513851</v>
      </c>
      <c r="H111">
        <v>87.713139076831325</v>
      </c>
    </row>
    <row r="112" spans="2:8">
      <c r="B112" t="s">
        <v>525</v>
      </c>
      <c r="C112">
        <v>26.066552421403856</v>
      </c>
      <c r="D112">
        <v>86.742517984861067</v>
      </c>
      <c r="F112" t="s">
        <v>1255</v>
      </c>
      <c r="G112">
        <v>26.066552421403856</v>
      </c>
      <c r="H112">
        <v>86.742517984861067</v>
      </c>
    </row>
    <row r="113" spans="2:8">
      <c r="B113" t="s">
        <v>526</v>
      </c>
      <c r="C113">
        <v>25.36439741125924</v>
      </c>
      <c r="D113">
        <v>88.519468667917849</v>
      </c>
      <c r="F113" t="s">
        <v>1256</v>
      </c>
      <c r="G113">
        <v>25.36439741125924</v>
      </c>
      <c r="H113">
        <v>88.519468667917849</v>
      </c>
    </row>
    <row r="114" spans="2:8">
      <c r="B114" t="s">
        <v>527</v>
      </c>
      <c r="C114">
        <v>23.74652281159376</v>
      </c>
      <c r="D114">
        <v>80.311440502453877</v>
      </c>
      <c r="F114" t="s">
        <v>1257</v>
      </c>
      <c r="G114">
        <v>23.74652281159376</v>
      </c>
      <c r="H114">
        <v>80.311440502453877</v>
      </c>
    </row>
    <row r="115" spans="2:8">
      <c r="B115" t="s">
        <v>528</v>
      </c>
      <c r="C115">
        <v>23.069873841603343</v>
      </c>
      <c r="D115">
        <v>81.66199114710119</v>
      </c>
      <c r="F115" t="s">
        <v>1258</v>
      </c>
      <c r="G115">
        <v>23.069873841603343</v>
      </c>
      <c r="H115">
        <v>81.66199114710119</v>
      </c>
    </row>
    <row r="116" spans="2:8">
      <c r="B116" t="s">
        <v>529</v>
      </c>
      <c r="C116">
        <v>24.403260639081125</v>
      </c>
      <c r="D116">
        <v>81.745172086474199</v>
      </c>
      <c r="F116" t="s">
        <v>1259</v>
      </c>
      <c r="G116">
        <v>24.403260639081125</v>
      </c>
      <c r="H116">
        <v>81.745172086474199</v>
      </c>
    </row>
    <row r="117" spans="2:8">
      <c r="B117" t="s">
        <v>530</v>
      </c>
      <c r="C117">
        <v>26.444177635438987</v>
      </c>
      <c r="D117">
        <v>84.814362991919268</v>
      </c>
      <c r="F117" t="s">
        <v>1260</v>
      </c>
      <c r="G117">
        <v>26.444177635438987</v>
      </c>
      <c r="H117">
        <v>84.814362991919268</v>
      </c>
    </row>
    <row r="118" spans="2:8">
      <c r="B118" t="s">
        <v>531</v>
      </c>
      <c r="C118">
        <v>25.688543313501697</v>
      </c>
      <c r="D118">
        <v>84.574649631813244</v>
      </c>
      <c r="F118" t="s">
        <v>1261</v>
      </c>
      <c r="G118">
        <v>25.688543313501697</v>
      </c>
      <c r="H118">
        <v>84.574649631813244</v>
      </c>
    </row>
    <row r="119" spans="2:8">
      <c r="B119" t="s">
        <v>532</v>
      </c>
      <c r="C119">
        <v>25.176779052265061</v>
      </c>
      <c r="D119">
        <v>83.11457356291433</v>
      </c>
      <c r="F119" t="s">
        <v>1262</v>
      </c>
      <c r="G119">
        <v>25.176779052265061</v>
      </c>
      <c r="H119">
        <v>83.11457356291433</v>
      </c>
    </row>
    <row r="120" spans="2:8">
      <c r="B120" t="s">
        <v>533</v>
      </c>
      <c r="C120">
        <v>22.925991025423496</v>
      </c>
      <c r="D120">
        <v>84.863533005125817</v>
      </c>
      <c r="F120" t="s">
        <v>1263</v>
      </c>
      <c r="G120">
        <v>22.925991025423496</v>
      </c>
      <c r="H120">
        <v>84.863533005125817</v>
      </c>
    </row>
    <row r="121" spans="2:8">
      <c r="B121" t="s">
        <v>534</v>
      </c>
      <c r="C121">
        <v>24.007936862023762</v>
      </c>
      <c r="D121">
        <v>85.627333145059907</v>
      </c>
      <c r="F121" t="s">
        <v>1264</v>
      </c>
      <c r="G121">
        <v>24.007936862023762</v>
      </c>
      <c r="H121">
        <v>85.627333145059907</v>
      </c>
    </row>
    <row r="122" spans="2:8">
      <c r="B122" t="s">
        <v>535</v>
      </c>
      <c r="C122">
        <v>11.298652419565665</v>
      </c>
      <c r="D122">
        <v>79.163741589814492</v>
      </c>
      <c r="F122" t="s">
        <v>1265</v>
      </c>
      <c r="G122">
        <v>11.298652419565665</v>
      </c>
      <c r="H122">
        <v>79.163741589814492</v>
      </c>
    </row>
    <row r="123" spans="2:8">
      <c r="B123" t="s">
        <v>536</v>
      </c>
      <c r="C123">
        <v>9.5394683595401002</v>
      </c>
      <c r="D123">
        <v>78.612449518146647</v>
      </c>
      <c r="F123" t="s">
        <v>1266</v>
      </c>
      <c r="G123">
        <v>9.5394683595401002</v>
      </c>
      <c r="H123">
        <v>78.612449518146647</v>
      </c>
    </row>
    <row r="124" spans="2:8">
      <c r="B124" t="s">
        <v>537</v>
      </c>
      <c r="C124">
        <v>16.70200097522109</v>
      </c>
      <c r="D124">
        <v>82.053389598245431</v>
      </c>
      <c r="F124" t="s">
        <v>1267</v>
      </c>
      <c r="G124">
        <v>16.70200097522109</v>
      </c>
      <c r="H124">
        <v>82.053389598245431</v>
      </c>
    </row>
    <row r="125" spans="2:8">
      <c r="B125" t="s">
        <v>538</v>
      </c>
      <c r="C125">
        <v>13.626330459664343</v>
      </c>
      <c r="D125">
        <v>79.893865863312783</v>
      </c>
      <c r="F125" t="s">
        <v>1268</v>
      </c>
      <c r="G125">
        <v>13.626330459664343</v>
      </c>
      <c r="H125">
        <v>79.893865863312783</v>
      </c>
    </row>
    <row r="126" spans="2:8">
      <c r="B126" t="s">
        <v>539</v>
      </c>
      <c r="C126">
        <v>15.175017477351536</v>
      </c>
      <c r="D126">
        <v>79.103424620580029</v>
      </c>
      <c r="F126" t="s">
        <v>1269</v>
      </c>
      <c r="G126">
        <v>15.175017477351536</v>
      </c>
      <c r="H126">
        <v>79.103424620580029</v>
      </c>
    </row>
    <row r="127" spans="2:8">
      <c r="B127" t="s">
        <v>540</v>
      </c>
      <c r="C127">
        <v>12.277075099710432</v>
      </c>
      <c r="D127">
        <v>78.702885142906695</v>
      </c>
      <c r="F127" t="s">
        <v>1270</v>
      </c>
      <c r="G127">
        <v>12.277075099710432</v>
      </c>
      <c r="H127">
        <v>78.702885142906695</v>
      </c>
    </row>
    <row r="128" spans="2:8">
      <c r="B128" t="s">
        <v>541</v>
      </c>
      <c r="C128">
        <v>17.957987788631229</v>
      </c>
      <c r="D128">
        <v>78.19226601345288</v>
      </c>
      <c r="F128" t="s">
        <v>1271</v>
      </c>
      <c r="G128">
        <v>17.957987788631229</v>
      </c>
      <c r="H128">
        <v>78.19226601345288</v>
      </c>
    </row>
    <row r="129" spans="2:8">
      <c r="B129" t="s">
        <v>542</v>
      </c>
      <c r="C129">
        <v>17.291767177783388</v>
      </c>
      <c r="D129">
        <v>76.373938525622748</v>
      </c>
      <c r="F129" t="s">
        <v>1272</v>
      </c>
      <c r="G129">
        <v>17.291767177783388</v>
      </c>
      <c r="H129">
        <v>76.373938525622748</v>
      </c>
    </row>
    <row r="130" spans="2:8">
      <c r="B130" t="s">
        <v>543</v>
      </c>
      <c r="C130">
        <v>14.698015606886996</v>
      </c>
      <c r="D130">
        <v>77.631076241732018</v>
      </c>
      <c r="F130" t="s">
        <v>1273</v>
      </c>
      <c r="G130">
        <v>14.698015606886996</v>
      </c>
      <c r="H130">
        <v>77.631076241732018</v>
      </c>
    </row>
    <row r="131" spans="2:8">
      <c r="B131" t="s">
        <v>544</v>
      </c>
      <c r="C131">
        <v>16.703655114097781</v>
      </c>
      <c r="D131">
        <v>73.877758449181897</v>
      </c>
      <c r="F131" t="s">
        <v>1274</v>
      </c>
      <c r="G131">
        <v>16.703655114097781</v>
      </c>
      <c r="H131">
        <v>73.877758449181897</v>
      </c>
    </row>
    <row r="132" spans="2:8">
      <c r="B132" t="s">
        <v>545</v>
      </c>
      <c r="C132">
        <v>10.110288006443074</v>
      </c>
      <c r="D132">
        <v>77.38777743510704</v>
      </c>
      <c r="F132" t="s">
        <v>1275</v>
      </c>
      <c r="G132">
        <v>10.110288006443074</v>
      </c>
      <c r="H132">
        <v>77.38777743510704</v>
      </c>
    </row>
    <row r="133" spans="2:8">
      <c r="B133" t="s">
        <v>546</v>
      </c>
      <c r="C133">
        <v>12.84551431602136</v>
      </c>
      <c r="D133">
        <v>76.611253377964374</v>
      </c>
      <c r="F133" t="s">
        <v>1276</v>
      </c>
      <c r="G133">
        <v>12.84551431602136</v>
      </c>
      <c r="H133">
        <v>76.611253377964374</v>
      </c>
    </row>
    <row r="134" spans="2:8">
      <c r="B134" t="s">
        <v>547</v>
      </c>
      <c r="C134">
        <v>15.462309157290116</v>
      </c>
      <c r="D134">
        <v>75.339251045373587</v>
      </c>
      <c r="F134" t="s">
        <v>1277</v>
      </c>
      <c r="G134">
        <v>15.462309157290116</v>
      </c>
      <c r="H134">
        <v>75.339251045373587</v>
      </c>
    </row>
    <row r="135" spans="2:8">
      <c r="B135" t="s">
        <v>548</v>
      </c>
      <c r="C135">
        <v>21.774141512260048</v>
      </c>
      <c r="D135">
        <v>79.63358406822141</v>
      </c>
      <c r="F135" t="s">
        <v>1278</v>
      </c>
      <c r="G135">
        <v>21.774141512260048</v>
      </c>
      <c r="H135">
        <v>79.63358406822141</v>
      </c>
    </row>
    <row r="136" spans="2:8">
      <c r="B136" t="s">
        <v>549</v>
      </c>
      <c r="C136">
        <v>20.962799621758052</v>
      </c>
      <c r="D136">
        <v>82.637600142585043</v>
      </c>
      <c r="F136" t="s">
        <v>1279</v>
      </c>
      <c r="G136">
        <v>20.962799621758052</v>
      </c>
      <c r="H136">
        <v>82.637600142585043</v>
      </c>
    </row>
    <row r="137" spans="2:8">
      <c r="B137" t="s">
        <v>550</v>
      </c>
      <c r="C137">
        <v>20.584886838633903</v>
      </c>
      <c r="D137">
        <v>80.516222336466086</v>
      </c>
      <c r="F137" t="s">
        <v>1280</v>
      </c>
      <c r="G137">
        <v>20.584886838633903</v>
      </c>
      <c r="H137">
        <v>80.516222336466086</v>
      </c>
    </row>
    <row r="138" spans="2:8">
      <c r="B138" t="s">
        <v>551</v>
      </c>
      <c r="C138">
        <v>19.756636381724764</v>
      </c>
      <c r="D138">
        <v>82.149176502195019</v>
      </c>
      <c r="F138" t="s">
        <v>1281</v>
      </c>
      <c r="G138">
        <v>19.756636381724764</v>
      </c>
      <c r="H138">
        <v>82.149176502195019</v>
      </c>
    </row>
    <row r="139" spans="2:8">
      <c r="B139" t="s">
        <v>552</v>
      </c>
      <c r="C139">
        <v>19.438830274973892</v>
      </c>
      <c r="D139">
        <v>80.891659641023637</v>
      </c>
      <c r="F139" t="s">
        <v>1282</v>
      </c>
      <c r="G139">
        <v>19.438830274973892</v>
      </c>
      <c r="H139">
        <v>80.891659641023637</v>
      </c>
    </row>
    <row r="140" spans="2:8">
      <c r="B140" t="s">
        <v>553</v>
      </c>
      <c r="C140">
        <v>18.872991587453495</v>
      </c>
      <c r="D140">
        <v>79.418929272990141</v>
      </c>
      <c r="F140" t="s">
        <v>1283</v>
      </c>
      <c r="G140">
        <v>18.872991587453495</v>
      </c>
      <c r="H140">
        <v>79.418929272990141</v>
      </c>
    </row>
    <row r="141" spans="2:8">
      <c r="B141" t="s">
        <v>554</v>
      </c>
      <c r="C141">
        <v>18.174125661290759</v>
      </c>
      <c r="D141">
        <v>82.635336265935067</v>
      </c>
      <c r="F141" t="s">
        <v>1284</v>
      </c>
      <c r="G141">
        <v>18.174125661290759</v>
      </c>
      <c r="H141">
        <v>82.635336265935067</v>
      </c>
    </row>
    <row r="142" spans="2:8">
      <c r="B142" t="s">
        <v>555</v>
      </c>
      <c r="C142">
        <v>16.759686976849718</v>
      </c>
      <c r="D142">
        <v>80.645560412078879</v>
      </c>
      <c r="F142" t="s">
        <v>1285</v>
      </c>
      <c r="G142">
        <v>16.759686976849718</v>
      </c>
      <c r="H142">
        <v>80.645560412078879</v>
      </c>
    </row>
    <row r="143" spans="2:8">
      <c r="B143" t="s">
        <v>556</v>
      </c>
      <c r="C143">
        <v>20.881847083252055</v>
      </c>
      <c r="D143">
        <v>78.054043952850023</v>
      </c>
      <c r="F143" t="s">
        <v>1286</v>
      </c>
      <c r="G143">
        <v>20.881847083252055</v>
      </c>
      <c r="H143">
        <v>78.054043952850023</v>
      </c>
    </row>
    <row r="144" spans="2:8">
      <c r="B144" t="s">
        <v>557</v>
      </c>
      <c r="C144">
        <v>19.249214695470688</v>
      </c>
      <c r="D144">
        <v>74.3985216604095</v>
      </c>
      <c r="F144" t="s">
        <v>1287</v>
      </c>
      <c r="G144">
        <v>19.249214695470688</v>
      </c>
      <c r="H144">
        <v>74.3985216604095</v>
      </c>
    </row>
    <row r="145" spans="2:8">
      <c r="B145" t="s">
        <v>558</v>
      </c>
      <c r="C145">
        <v>20.86372113464547</v>
      </c>
      <c r="D145">
        <v>75.788587835847693</v>
      </c>
      <c r="F145" t="s">
        <v>1288</v>
      </c>
      <c r="G145">
        <v>20.86372113464547</v>
      </c>
      <c r="H145">
        <v>75.788587835847693</v>
      </c>
    </row>
    <row r="146" spans="2:8">
      <c r="B146" t="s">
        <v>559</v>
      </c>
      <c r="C146">
        <v>23.5941420811826</v>
      </c>
      <c r="D146">
        <v>69.824545682750013</v>
      </c>
      <c r="F146" t="s">
        <v>1289</v>
      </c>
      <c r="G146">
        <v>23.5941420811826</v>
      </c>
      <c r="H146">
        <v>69.824545682750013</v>
      </c>
    </row>
    <row r="147" spans="2:8">
      <c r="B147" t="s">
        <v>560</v>
      </c>
      <c r="C147">
        <v>20.235270343031932</v>
      </c>
      <c r="D147">
        <v>73.337739865270734</v>
      </c>
      <c r="F147" t="s">
        <v>1290</v>
      </c>
      <c r="G147">
        <v>20.235270343031932</v>
      </c>
      <c r="H147">
        <v>73.337739865270734</v>
      </c>
    </row>
    <row r="148" spans="2:8">
      <c r="B148" t="s">
        <v>561</v>
      </c>
      <c r="C148">
        <v>21.80206216257988</v>
      </c>
      <c r="D148">
        <v>71.893384906940284</v>
      </c>
      <c r="F148" t="s">
        <v>1291</v>
      </c>
      <c r="G148">
        <v>21.80206216257988</v>
      </c>
      <c r="H148">
        <v>71.893384906940284</v>
      </c>
    </row>
    <row r="149" spans="2:8">
      <c r="B149" t="s">
        <v>562</v>
      </c>
      <c r="C149">
        <v>23.32674238444476</v>
      </c>
      <c r="D149">
        <v>73.37335431911535</v>
      </c>
      <c r="F149" t="s">
        <v>1292</v>
      </c>
      <c r="G149">
        <v>23.32674238444476</v>
      </c>
      <c r="H149">
        <v>73.37335431911535</v>
      </c>
    </row>
    <row r="150" spans="2:8">
      <c r="B150" t="s">
        <v>563</v>
      </c>
      <c r="C150">
        <v>26.240745865894382</v>
      </c>
      <c r="D150">
        <v>72.528518996622296</v>
      </c>
      <c r="F150" t="s">
        <v>1293</v>
      </c>
      <c r="G150">
        <v>26.240745865894382</v>
      </c>
      <c r="H150">
        <v>72.528518996622296</v>
      </c>
    </row>
    <row r="151" spans="2:8">
      <c r="B151" t="s">
        <v>564</v>
      </c>
      <c r="C151">
        <v>24.67713122329895</v>
      </c>
      <c r="D151">
        <v>72.369344214168891</v>
      </c>
      <c r="F151" t="s">
        <v>1294</v>
      </c>
      <c r="G151">
        <v>24.67713122329895</v>
      </c>
      <c r="H151">
        <v>72.369344214168891</v>
      </c>
    </row>
    <row r="152" spans="2:8">
      <c r="B152" t="s">
        <v>565</v>
      </c>
      <c r="C152">
        <v>23.142033705221824</v>
      </c>
      <c r="D152">
        <v>78.852237496893508</v>
      </c>
      <c r="F152" t="s">
        <v>1295</v>
      </c>
      <c r="G152">
        <v>23.142033705221824</v>
      </c>
      <c r="H152">
        <v>78.852237496893508</v>
      </c>
    </row>
    <row r="153" spans="2:8">
      <c r="B153" t="s">
        <v>566</v>
      </c>
      <c r="C153">
        <v>22.842875167223085</v>
      </c>
      <c r="D153">
        <v>75.930739828686569</v>
      </c>
      <c r="F153" t="s">
        <v>1296</v>
      </c>
      <c r="G153">
        <v>22.842875167223085</v>
      </c>
      <c r="H153">
        <v>75.930739828686569</v>
      </c>
    </row>
    <row r="154" spans="2:8">
      <c r="B154" t="s">
        <v>567</v>
      </c>
      <c r="C154">
        <v>24.177340800618776</v>
      </c>
      <c r="D154">
        <v>76.262801612500425</v>
      </c>
      <c r="F154" t="s">
        <v>1297</v>
      </c>
      <c r="G154">
        <v>24.177340800618776</v>
      </c>
      <c r="H154">
        <v>76.262801612500425</v>
      </c>
    </row>
    <row r="155" spans="2:8">
      <c r="B155" t="s">
        <v>568</v>
      </c>
      <c r="C155">
        <v>25.796100801082744</v>
      </c>
      <c r="D155">
        <v>74.760560472840439</v>
      </c>
      <c r="F155" t="s">
        <v>1298</v>
      </c>
      <c r="G155">
        <v>25.796100801082744</v>
      </c>
      <c r="H155">
        <v>74.760560472840439</v>
      </c>
    </row>
    <row r="156" spans="2:8">
      <c r="B156" t="s">
        <v>569</v>
      </c>
      <c r="C156">
        <v>26.054525494784105</v>
      </c>
      <c r="D156">
        <v>76.348586020625035</v>
      </c>
      <c r="F156" t="s">
        <v>1299</v>
      </c>
      <c r="G156">
        <v>26.054525494784105</v>
      </c>
      <c r="H156">
        <v>76.348586020625035</v>
      </c>
    </row>
    <row r="157" spans="2:8">
      <c r="B157" t="s">
        <v>570</v>
      </c>
      <c r="C157">
        <v>25.61450482481651</v>
      </c>
      <c r="D157">
        <v>79.539005682974107</v>
      </c>
      <c r="F157" t="s">
        <v>1300</v>
      </c>
      <c r="G157">
        <v>25.61450482481651</v>
      </c>
      <c r="H157">
        <v>79.539005682974107</v>
      </c>
    </row>
    <row r="158" spans="2:8">
      <c r="B158" t="s">
        <v>571</v>
      </c>
      <c r="C158">
        <v>25.026982238537776</v>
      </c>
      <c r="D158">
        <v>78.328118769062314</v>
      </c>
      <c r="F158" t="s">
        <v>1301</v>
      </c>
      <c r="G158">
        <v>25.026982238537776</v>
      </c>
      <c r="H158">
        <v>78.328118769062314</v>
      </c>
    </row>
    <row r="159" spans="2:8">
      <c r="B159" t="s">
        <v>572</v>
      </c>
      <c r="C159">
        <v>29.938128170820484</v>
      </c>
      <c r="D159">
        <v>75.419785716757175</v>
      </c>
      <c r="F159" t="s">
        <v>1302</v>
      </c>
      <c r="G159">
        <v>29.938128170820484</v>
      </c>
      <c r="H159">
        <v>75.419785716757175</v>
      </c>
    </row>
    <row r="160" spans="2:8">
      <c r="B160" t="s">
        <v>573</v>
      </c>
      <c r="C160">
        <v>27.120371663022347</v>
      </c>
      <c r="D160">
        <v>76.848824901998555</v>
      </c>
      <c r="F160" t="s">
        <v>1303</v>
      </c>
      <c r="G160">
        <v>27.120371663022347</v>
      </c>
      <c r="H160">
        <v>76.848824901998555</v>
      </c>
    </row>
    <row r="161" spans="2:8">
      <c r="B161" t="s">
        <v>574</v>
      </c>
      <c r="C161">
        <v>28.744986231599484</v>
      </c>
      <c r="D161">
        <v>75.693889534677325</v>
      </c>
      <c r="F161" t="s">
        <v>1304</v>
      </c>
      <c r="G161">
        <v>28.744986231599484</v>
      </c>
      <c r="H161">
        <v>75.693889534677325</v>
      </c>
    </row>
    <row r="162" spans="2:8">
      <c r="B162" t="s">
        <v>575</v>
      </c>
      <c r="C162">
        <v>27.148922044684472</v>
      </c>
      <c r="D162">
        <v>70.588061700804118</v>
      </c>
      <c r="F162" t="s">
        <v>1305</v>
      </c>
      <c r="G162">
        <v>27.148922044684472</v>
      </c>
      <c r="H162">
        <v>70.588061700804118</v>
      </c>
    </row>
    <row r="163" spans="2:8">
      <c r="B163" t="s">
        <v>576</v>
      </c>
      <c r="C163">
        <v>29.159276273167201</v>
      </c>
      <c r="D163">
        <v>73.398080587990734</v>
      </c>
      <c r="F163" t="s">
        <v>1306</v>
      </c>
      <c r="G163">
        <v>29.159276273167201</v>
      </c>
      <c r="H163">
        <v>73.398080587990734</v>
      </c>
    </row>
    <row r="164" spans="2:8">
      <c r="B164" t="s">
        <v>577</v>
      </c>
      <c r="C164">
        <v>27.654611807505106</v>
      </c>
      <c r="D164">
        <v>75.126423964007387</v>
      </c>
      <c r="F164" t="s">
        <v>1307</v>
      </c>
      <c r="G164">
        <v>27.654611807505106</v>
      </c>
      <c r="H164">
        <v>75.126423964007387</v>
      </c>
    </row>
    <row r="165" spans="2:8">
      <c r="B165" t="s">
        <v>578</v>
      </c>
      <c r="C165">
        <v>27.576230136437641</v>
      </c>
      <c r="D165">
        <v>73.380891822506527</v>
      </c>
      <c r="F165" t="s">
        <v>1308</v>
      </c>
      <c r="G165">
        <v>27.576230136437641</v>
      </c>
      <c r="H165">
        <v>73.380891822506527</v>
      </c>
    </row>
    <row r="166" spans="2:8">
      <c r="B166" t="s">
        <v>579</v>
      </c>
      <c r="C166">
        <v>11.068898099656709</v>
      </c>
      <c r="D166">
        <v>71.842743304758585</v>
      </c>
      <c r="F166" t="s">
        <v>1309</v>
      </c>
      <c r="G166">
        <v>11.068898099656709</v>
      </c>
      <c r="H166">
        <v>71.842743304758585</v>
      </c>
    </row>
    <row r="167" spans="2:8">
      <c r="B167" t="s">
        <v>580</v>
      </c>
      <c r="C167">
        <v>12.890615551378485</v>
      </c>
      <c r="D167">
        <v>72.133385027577177</v>
      </c>
      <c r="F167" t="s">
        <v>1310</v>
      </c>
      <c r="G167">
        <v>12.890615551378485</v>
      </c>
      <c r="H167">
        <v>72.133385027577177</v>
      </c>
    </row>
    <row r="168" spans="2:8">
      <c r="B168" t="s">
        <v>581</v>
      </c>
      <c r="C168">
        <v>14.500870941812488</v>
      </c>
      <c r="D168">
        <v>73.301161934079801</v>
      </c>
      <c r="F168" t="s">
        <v>1311</v>
      </c>
      <c r="G168">
        <v>14.500870941812488</v>
      </c>
      <c r="H168">
        <v>73.301161934079801</v>
      </c>
    </row>
    <row r="169" spans="2:8">
      <c r="B169" t="s">
        <v>582</v>
      </c>
      <c r="C169">
        <v>16.937858360197275</v>
      </c>
      <c r="D169">
        <v>72.383149970196371</v>
      </c>
      <c r="F169" t="s">
        <v>1312</v>
      </c>
      <c r="G169">
        <v>16.937858360197275</v>
      </c>
      <c r="H169">
        <v>72.383149970196371</v>
      </c>
    </row>
    <row r="170" spans="2:8">
      <c r="B170" t="s">
        <v>583</v>
      </c>
      <c r="C170">
        <v>15.580799251375479</v>
      </c>
      <c r="D170">
        <v>72.885826415852506</v>
      </c>
      <c r="F170" t="s">
        <v>1313</v>
      </c>
      <c r="G170">
        <v>15.580799251375479</v>
      </c>
      <c r="H170">
        <v>72.885826415852506</v>
      </c>
    </row>
    <row r="171" spans="2:8">
      <c r="B171" t="s">
        <v>584</v>
      </c>
      <c r="C171">
        <v>22.564386597052057</v>
      </c>
      <c r="D171">
        <v>67.565303942781298</v>
      </c>
      <c r="F171" t="s">
        <v>1314</v>
      </c>
      <c r="G171">
        <v>22.564386597052057</v>
      </c>
      <c r="H171">
        <v>67.565303942781298</v>
      </c>
    </row>
    <row r="172" spans="2:8">
      <c r="B172" t="s">
        <v>585</v>
      </c>
      <c r="C172">
        <v>21.843450436836243</v>
      </c>
      <c r="D172">
        <v>68.369225508640312</v>
      </c>
      <c r="F172" t="s">
        <v>1315</v>
      </c>
      <c r="G172">
        <v>21.843450436836243</v>
      </c>
      <c r="H172">
        <v>68.369225508640312</v>
      </c>
    </row>
    <row r="173" spans="2:8">
      <c r="B173" t="s">
        <v>586</v>
      </c>
      <c r="C173">
        <v>18.362408966417828</v>
      </c>
      <c r="D173">
        <v>71.687323687255343</v>
      </c>
      <c r="F173" t="s">
        <v>1316</v>
      </c>
      <c r="G173">
        <v>18.362408966417828</v>
      </c>
      <c r="H173">
        <v>71.687323687255343</v>
      </c>
    </row>
    <row r="174" spans="2:8">
      <c r="B174" t="s">
        <v>587</v>
      </c>
      <c r="C174">
        <v>20.563098426100865</v>
      </c>
      <c r="D174">
        <v>69.523978949454545</v>
      </c>
      <c r="F174" t="s">
        <v>1317</v>
      </c>
      <c r="G174">
        <v>20.563098426100865</v>
      </c>
      <c r="H174">
        <v>69.523978949454545</v>
      </c>
    </row>
    <row r="175" spans="2:8">
      <c r="B175" t="s">
        <v>588</v>
      </c>
      <c r="C175">
        <v>19.444057687436462</v>
      </c>
      <c r="D175">
        <v>70.489223393236372</v>
      </c>
      <c r="F175" t="s">
        <v>1318</v>
      </c>
      <c r="G175">
        <v>19.444057687436462</v>
      </c>
      <c r="H175">
        <v>70.489223393236372</v>
      </c>
    </row>
    <row r="176" spans="2:8">
      <c r="B176" t="s">
        <v>589</v>
      </c>
      <c r="C176">
        <v>20.371266713121692</v>
      </c>
      <c r="D176">
        <v>70.585247722248056</v>
      </c>
      <c r="F176" t="s">
        <v>1319</v>
      </c>
      <c r="G176">
        <v>20.371266713121692</v>
      </c>
      <c r="H176">
        <v>70.585247722248056</v>
      </c>
    </row>
    <row r="177" spans="2:8">
      <c r="B177" t="s">
        <v>590</v>
      </c>
      <c r="C177">
        <v>19.498634613717769</v>
      </c>
      <c r="D177">
        <v>71.468485531282241</v>
      </c>
      <c r="F177" t="s">
        <v>1320</v>
      </c>
      <c r="G177">
        <v>19.498634613717769</v>
      </c>
      <c r="H177">
        <v>71.468485531282241</v>
      </c>
    </row>
    <row r="178" spans="2:8">
      <c r="B178" t="s">
        <v>591</v>
      </c>
      <c r="C178">
        <v>12.57199809549796</v>
      </c>
      <c r="D178">
        <v>80.504533392317782</v>
      </c>
      <c r="F178" t="s">
        <v>1321</v>
      </c>
      <c r="G178">
        <v>12.57199809549796</v>
      </c>
      <c r="H178">
        <v>80.504533392317782</v>
      </c>
    </row>
    <row r="179" spans="2:8">
      <c r="B179" t="s">
        <v>592</v>
      </c>
      <c r="C179">
        <v>10.58438967691929</v>
      </c>
      <c r="D179">
        <v>80.410720845682292</v>
      </c>
      <c r="F179" t="s">
        <v>1322</v>
      </c>
      <c r="G179">
        <v>10.58438967691929</v>
      </c>
      <c r="H179">
        <v>80.410720845682292</v>
      </c>
    </row>
    <row r="180" spans="2:8">
      <c r="B180" t="s">
        <v>593</v>
      </c>
      <c r="C180">
        <v>11.427190805917643</v>
      </c>
      <c r="D180">
        <v>79.947634935599766</v>
      </c>
      <c r="F180" t="s">
        <v>1323</v>
      </c>
      <c r="G180">
        <v>11.427190805917643</v>
      </c>
      <c r="H180">
        <v>79.947634935599766</v>
      </c>
    </row>
    <row r="181" spans="2:8">
      <c r="B181" t="s">
        <v>594</v>
      </c>
      <c r="C181">
        <v>8.5816869575851111</v>
      </c>
      <c r="D181">
        <v>78.91520492542935</v>
      </c>
      <c r="F181" t="s">
        <v>1324</v>
      </c>
      <c r="G181">
        <v>8.5816869575851111</v>
      </c>
      <c r="H181">
        <v>78.91520492542935</v>
      </c>
    </row>
    <row r="182" spans="2:8">
      <c r="B182" t="s">
        <v>595</v>
      </c>
      <c r="C182">
        <v>7.7966596562838326</v>
      </c>
      <c r="D182">
        <v>77.016592958785239</v>
      </c>
      <c r="F182" t="s">
        <v>1325</v>
      </c>
      <c r="G182">
        <v>7.7966596562838326</v>
      </c>
      <c r="H182">
        <v>77.016592958785239</v>
      </c>
    </row>
    <row r="183" spans="2:8">
      <c r="B183" t="s">
        <v>596</v>
      </c>
      <c r="C183">
        <v>7.3707188726535096</v>
      </c>
      <c r="D183">
        <v>77.418385659092905</v>
      </c>
      <c r="F183" t="s">
        <v>1326</v>
      </c>
      <c r="G183">
        <v>7.3707188726535096</v>
      </c>
      <c r="H183">
        <v>77.418385659092905</v>
      </c>
    </row>
    <row r="184" spans="2:8">
      <c r="B184" t="s">
        <v>597</v>
      </c>
      <c r="C184">
        <v>15.257020235184816</v>
      </c>
      <c r="D184">
        <v>80.712625172486895</v>
      </c>
      <c r="F184" t="s">
        <v>1327</v>
      </c>
      <c r="G184">
        <v>15.257020235184816</v>
      </c>
      <c r="H184">
        <v>80.712625172486895</v>
      </c>
    </row>
    <row r="185" spans="2:8">
      <c r="B185" t="s">
        <v>598</v>
      </c>
      <c r="C185">
        <v>17.854854322167657</v>
      </c>
      <c r="D185">
        <v>83.945608235027095</v>
      </c>
      <c r="F185" t="s">
        <v>1328</v>
      </c>
      <c r="G185">
        <v>17.854854322167657</v>
      </c>
      <c r="H185">
        <v>83.945608235027095</v>
      </c>
    </row>
    <row r="186" spans="2:8">
      <c r="B186" t="s">
        <v>599</v>
      </c>
      <c r="C186">
        <v>16.760193191518969</v>
      </c>
      <c r="D186">
        <v>82.735576508982589</v>
      </c>
      <c r="F186" t="s">
        <v>1329</v>
      </c>
      <c r="G186">
        <v>16.760193191518969</v>
      </c>
      <c r="H186">
        <v>82.735576508982589</v>
      </c>
    </row>
    <row r="187" spans="2:8">
      <c r="B187" t="s">
        <v>600</v>
      </c>
      <c r="C187">
        <v>20.60369682782548</v>
      </c>
      <c r="D187">
        <v>88.817161425025134</v>
      </c>
      <c r="F187" t="s">
        <v>1330</v>
      </c>
      <c r="G187">
        <v>20.60369682782548</v>
      </c>
      <c r="H187">
        <v>88.817161425025134</v>
      </c>
    </row>
    <row r="188" spans="2:8">
      <c r="B188" t="s">
        <v>601</v>
      </c>
      <c r="C188">
        <v>20.113583370257921</v>
      </c>
      <c r="D188">
        <v>87.205281355072941</v>
      </c>
      <c r="F188" t="s">
        <v>1331</v>
      </c>
      <c r="G188">
        <v>20.113583370257921</v>
      </c>
      <c r="H188">
        <v>87.205281355072941</v>
      </c>
    </row>
    <row r="189" spans="2:8">
      <c r="B189" t="s">
        <v>602</v>
      </c>
      <c r="C189">
        <v>18.969725043879009</v>
      </c>
      <c r="D189">
        <v>85.22771297280012</v>
      </c>
      <c r="F189" t="s">
        <v>1332</v>
      </c>
      <c r="G189">
        <v>18.969725043879009</v>
      </c>
      <c r="H189">
        <v>85.22771297280012</v>
      </c>
    </row>
    <row r="190" spans="2:8">
      <c r="B190" t="s">
        <v>603</v>
      </c>
      <c r="C190">
        <v>23.931427121075423</v>
      </c>
      <c r="D190">
        <v>72.000885126573536</v>
      </c>
      <c r="F190" t="s">
        <v>1333</v>
      </c>
      <c r="G190">
        <v>23.931427121075423</v>
      </c>
      <c r="H190">
        <v>72.000885126573536</v>
      </c>
    </row>
    <row r="191" spans="2:8">
      <c r="B191" t="s">
        <v>604</v>
      </c>
      <c r="C191">
        <v>25.753418713861461</v>
      </c>
      <c r="D191">
        <v>72.304499918689871</v>
      </c>
      <c r="F191" t="s">
        <v>1334</v>
      </c>
      <c r="G191">
        <v>25.753418713861461</v>
      </c>
      <c r="H191">
        <v>72.304499918689871</v>
      </c>
    </row>
    <row r="192" spans="2:8">
      <c r="B192" t="s">
        <v>605</v>
      </c>
      <c r="C192">
        <v>25.217231263056409</v>
      </c>
      <c r="D192">
        <v>74.973035893007605</v>
      </c>
      <c r="F192" t="s">
        <v>1335</v>
      </c>
      <c r="G192">
        <v>25.217231263056409</v>
      </c>
      <c r="H192">
        <v>74.973035893007605</v>
      </c>
    </row>
    <row r="193" spans="2:8">
      <c r="B193" t="s">
        <v>606</v>
      </c>
      <c r="C193">
        <v>22.109746050487548</v>
      </c>
      <c r="D193">
        <v>71.963198940895623</v>
      </c>
      <c r="F193" t="s">
        <v>1336</v>
      </c>
      <c r="G193">
        <v>22.109746050487548</v>
      </c>
      <c r="H193">
        <v>71.963198940895623</v>
      </c>
    </row>
    <row r="194" spans="2:8">
      <c r="B194" t="s">
        <v>607</v>
      </c>
      <c r="C194">
        <v>23.387906037898009</v>
      </c>
      <c r="D194">
        <v>73.747885153295655</v>
      </c>
      <c r="F194" t="s">
        <v>1337</v>
      </c>
      <c r="G194">
        <v>23.387906037898009</v>
      </c>
      <c r="H194">
        <v>73.747885153295655</v>
      </c>
    </row>
    <row r="195" spans="2:8">
      <c r="B195" t="s">
        <v>608</v>
      </c>
      <c r="C195">
        <v>19.571518580894782</v>
      </c>
      <c r="D195">
        <v>73.203719638889027</v>
      </c>
      <c r="F195" t="s">
        <v>1338</v>
      </c>
      <c r="G195">
        <v>19.571518580894782</v>
      </c>
      <c r="H195">
        <v>73.203719638889027</v>
      </c>
    </row>
    <row r="196" spans="2:8">
      <c r="B196" t="s">
        <v>609</v>
      </c>
      <c r="C196">
        <v>20.971138705825386</v>
      </c>
      <c r="D196">
        <v>74.65542864813078</v>
      </c>
      <c r="F196" t="s">
        <v>1339</v>
      </c>
      <c r="G196">
        <v>20.971138705825386</v>
      </c>
      <c r="H196">
        <v>74.65542864813078</v>
      </c>
    </row>
    <row r="197" spans="2:8">
      <c r="B197" t="s">
        <v>610</v>
      </c>
      <c r="C197">
        <v>21.29818552946513</v>
      </c>
      <c r="D197">
        <v>78.13277913899968</v>
      </c>
      <c r="F197" t="s">
        <v>1340</v>
      </c>
      <c r="G197">
        <v>21.29818552946513</v>
      </c>
      <c r="H197">
        <v>78.13277913899968</v>
      </c>
    </row>
    <row r="198" spans="2:8">
      <c r="B198" t="s">
        <v>611</v>
      </c>
      <c r="C198">
        <v>20.776397878674249</v>
      </c>
      <c r="D198">
        <v>76.323070237641801</v>
      </c>
      <c r="F198" t="s">
        <v>1341</v>
      </c>
      <c r="G198">
        <v>20.776397878674249</v>
      </c>
      <c r="H198">
        <v>76.323070237641801</v>
      </c>
    </row>
    <row r="199" spans="2:8">
      <c r="B199" t="s">
        <v>612</v>
      </c>
      <c r="C199">
        <v>23.246327515105623</v>
      </c>
      <c r="D199">
        <v>75.742963616746863</v>
      </c>
      <c r="F199" t="s">
        <v>1342</v>
      </c>
      <c r="G199">
        <v>23.246327515105623</v>
      </c>
      <c r="H199">
        <v>75.742963616746863</v>
      </c>
    </row>
    <row r="200" spans="2:8">
      <c r="B200" t="s">
        <v>613</v>
      </c>
      <c r="C200">
        <v>23.442375280262706</v>
      </c>
      <c r="D200">
        <v>77.538113384317967</v>
      </c>
      <c r="F200" t="s">
        <v>1343</v>
      </c>
      <c r="G200">
        <v>23.442375280262706</v>
      </c>
      <c r="H200">
        <v>77.538113384317967</v>
      </c>
    </row>
    <row r="201" spans="2:8">
      <c r="B201" t="s">
        <v>614</v>
      </c>
      <c r="C201">
        <v>29.455320882082859</v>
      </c>
      <c r="D201">
        <v>73.851931594257522</v>
      </c>
      <c r="F201" t="s">
        <v>1344</v>
      </c>
      <c r="G201">
        <v>29.455320882082859</v>
      </c>
      <c r="H201">
        <v>73.851931594257522</v>
      </c>
    </row>
    <row r="202" spans="2:8">
      <c r="B202" t="s">
        <v>615</v>
      </c>
      <c r="C202">
        <v>30.88191594327742</v>
      </c>
      <c r="D202">
        <v>74.995268125919566</v>
      </c>
      <c r="F202" t="s">
        <v>1345</v>
      </c>
      <c r="G202">
        <v>30.88191594327742</v>
      </c>
      <c r="H202">
        <v>74.995268125919566</v>
      </c>
    </row>
    <row r="203" spans="2:8">
      <c r="B203" t="s">
        <v>616</v>
      </c>
      <c r="C203">
        <v>27.710723031890343</v>
      </c>
      <c r="D203">
        <v>72.077292512300019</v>
      </c>
      <c r="F203" t="s">
        <v>1346</v>
      </c>
      <c r="G203">
        <v>27.710723031890343</v>
      </c>
      <c r="H203">
        <v>72.077292512300019</v>
      </c>
    </row>
    <row r="204" spans="2:8">
      <c r="B204" t="s">
        <v>617</v>
      </c>
      <c r="C204">
        <v>27.982237236880547</v>
      </c>
      <c r="D204">
        <v>74.742433825675406</v>
      </c>
      <c r="F204" t="s">
        <v>1347</v>
      </c>
      <c r="G204">
        <v>27.982237236880547</v>
      </c>
      <c r="H204">
        <v>74.742433825675406</v>
      </c>
    </row>
    <row r="205" spans="2:8">
      <c r="B205" t="s">
        <v>618</v>
      </c>
      <c r="C205">
        <v>32.369004546556781</v>
      </c>
      <c r="D205">
        <v>75.328108254891234</v>
      </c>
      <c r="F205" t="s">
        <v>1348</v>
      </c>
      <c r="G205">
        <v>32.369004546556781</v>
      </c>
      <c r="H205">
        <v>75.328108254891234</v>
      </c>
    </row>
    <row r="206" spans="2:8">
      <c r="B206" t="s">
        <v>619</v>
      </c>
      <c r="C206">
        <v>30.07907635050427</v>
      </c>
      <c r="D206">
        <v>77.135120623088795</v>
      </c>
      <c r="F206" t="s">
        <v>1349</v>
      </c>
      <c r="G206">
        <v>30.07907635050427</v>
      </c>
      <c r="H206">
        <v>77.135120623088795</v>
      </c>
    </row>
    <row r="207" spans="2:8">
      <c r="B207" t="s">
        <v>620</v>
      </c>
      <c r="C207">
        <v>25.349542136541825</v>
      </c>
      <c r="D207">
        <v>77.674925980837145</v>
      </c>
      <c r="F207" t="s">
        <v>1350</v>
      </c>
      <c r="G207">
        <v>25.349542136541825</v>
      </c>
      <c r="H207">
        <v>77.674925980837145</v>
      </c>
    </row>
    <row r="208" spans="2:8">
      <c r="B208" t="s">
        <v>621</v>
      </c>
      <c r="C208">
        <v>24.697210958875434</v>
      </c>
      <c r="D208">
        <v>79.915952812672174</v>
      </c>
      <c r="F208" t="s">
        <v>1351</v>
      </c>
      <c r="G208">
        <v>24.697210958875434</v>
      </c>
      <c r="H208">
        <v>79.915952812672174</v>
      </c>
    </row>
    <row r="209" spans="2:8">
      <c r="B209" t="s">
        <v>622</v>
      </c>
      <c r="C209">
        <v>26.470796972079576</v>
      </c>
      <c r="D209">
        <v>79.727061514778512</v>
      </c>
      <c r="F209" t="s">
        <v>1352</v>
      </c>
      <c r="G209">
        <v>26.470796972079576</v>
      </c>
      <c r="H209">
        <v>79.727061514778512</v>
      </c>
    </row>
    <row r="210" spans="2:8">
      <c r="B210" t="s">
        <v>623</v>
      </c>
      <c r="C210">
        <v>26.884831373651011</v>
      </c>
      <c r="D210">
        <v>76.380244916767225</v>
      </c>
      <c r="F210" t="s">
        <v>1353</v>
      </c>
      <c r="G210">
        <v>26.884831373651011</v>
      </c>
      <c r="H210">
        <v>76.380244916767225</v>
      </c>
    </row>
    <row r="211" spans="2:8">
      <c r="B211" t="s">
        <v>624</v>
      </c>
      <c r="C211">
        <v>28.173220543565517</v>
      </c>
      <c r="D211">
        <v>77.456348055131315</v>
      </c>
      <c r="F211" t="s">
        <v>1354</v>
      </c>
      <c r="G211">
        <v>28.173220543565517</v>
      </c>
      <c r="H211">
        <v>77.456348055131315</v>
      </c>
    </row>
    <row r="212" spans="2:8">
      <c r="B212" t="s">
        <v>625</v>
      </c>
      <c r="C212">
        <v>29.361165144135608</v>
      </c>
      <c r="D212">
        <v>79.629987429520412</v>
      </c>
      <c r="F212" t="s">
        <v>1355</v>
      </c>
      <c r="G212">
        <v>29.361165144135608</v>
      </c>
      <c r="H212">
        <v>79.629987429520412</v>
      </c>
    </row>
    <row r="213" spans="2:8">
      <c r="B213" t="s">
        <v>626</v>
      </c>
      <c r="C213">
        <v>28.206548334170499</v>
      </c>
      <c r="D213">
        <v>79.815696265825622</v>
      </c>
      <c r="F213" t="s">
        <v>1356</v>
      </c>
      <c r="G213">
        <v>28.206548334170499</v>
      </c>
      <c r="H213">
        <v>79.815696265825622</v>
      </c>
    </row>
    <row r="214" spans="2:8">
      <c r="B214" t="s">
        <v>627</v>
      </c>
      <c r="C214">
        <v>26.541810670920967</v>
      </c>
      <c r="D214">
        <v>84.907136241990585</v>
      </c>
      <c r="F214" t="s">
        <v>1357</v>
      </c>
      <c r="G214">
        <v>26.541810670920967</v>
      </c>
      <c r="H214">
        <v>84.907136241990585</v>
      </c>
    </row>
    <row r="215" spans="2:8">
      <c r="B215" t="s">
        <v>628</v>
      </c>
      <c r="C215">
        <v>27.41517482069526</v>
      </c>
      <c r="D215">
        <v>81.909407759136684</v>
      </c>
      <c r="F215" t="s">
        <v>1358</v>
      </c>
      <c r="G215">
        <v>27.41517482069526</v>
      </c>
      <c r="H215">
        <v>81.909407759136684</v>
      </c>
    </row>
    <row r="216" spans="2:8">
      <c r="B216" t="s">
        <v>629</v>
      </c>
      <c r="C216">
        <v>24.931220487711556</v>
      </c>
      <c r="D216">
        <v>82.060105072127527</v>
      </c>
      <c r="F216" t="s">
        <v>1359</v>
      </c>
      <c r="G216">
        <v>24.931220487711556</v>
      </c>
      <c r="H216">
        <v>82.060105072127527</v>
      </c>
    </row>
    <row r="217" spans="2:8">
      <c r="B217" t="s">
        <v>630</v>
      </c>
      <c r="C217">
        <v>25.56949013587445</v>
      </c>
      <c r="D217">
        <v>83.66506349660304</v>
      </c>
      <c r="F217" t="s">
        <v>1360</v>
      </c>
      <c r="G217">
        <v>25.56949013587445</v>
      </c>
      <c r="H217">
        <v>83.66506349660304</v>
      </c>
    </row>
    <row r="218" spans="2:8">
      <c r="B218" t="s">
        <v>631</v>
      </c>
      <c r="C218">
        <v>26.839731441306199</v>
      </c>
      <c r="D218">
        <v>70.257899600187997</v>
      </c>
      <c r="F218" t="s">
        <v>1361</v>
      </c>
      <c r="G218">
        <v>26.839731441306199</v>
      </c>
      <c r="H218">
        <v>70.257899600187997</v>
      </c>
    </row>
    <row r="219" spans="2:8">
      <c r="B219" t="s">
        <v>632</v>
      </c>
      <c r="C219">
        <v>23.965137866241449</v>
      </c>
      <c r="D219">
        <v>69.911687737615637</v>
      </c>
      <c r="F219" t="s">
        <v>1362</v>
      </c>
      <c r="G219">
        <v>23.965137866241449</v>
      </c>
      <c r="H219">
        <v>69.911687737615637</v>
      </c>
    </row>
    <row r="220" spans="2:8">
      <c r="B220" t="s">
        <v>633</v>
      </c>
      <c r="C220">
        <v>22.036552389113066</v>
      </c>
      <c r="D220">
        <v>70.316034529978864</v>
      </c>
      <c r="F220" t="s">
        <v>1363</v>
      </c>
      <c r="G220">
        <v>22.036552389113066</v>
      </c>
      <c r="H220">
        <v>70.316034529978864</v>
      </c>
    </row>
    <row r="221" spans="2:8">
      <c r="B221" t="s">
        <v>634</v>
      </c>
      <c r="C221">
        <v>22.183820516946177</v>
      </c>
      <c r="D221">
        <v>87.632700695571771</v>
      </c>
      <c r="F221" t="s">
        <v>1364</v>
      </c>
      <c r="G221">
        <v>22.183820516946177</v>
      </c>
      <c r="H221">
        <v>87.632700695571771</v>
      </c>
    </row>
    <row r="222" spans="2:8">
      <c r="B222" t="s">
        <v>635</v>
      </c>
      <c r="C222">
        <v>25.988720855905079</v>
      </c>
      <c r="D222">
        <v>87.79956699326786</v>
      </c>
      <c r="F222" t="s">
        <v>1365</v>
      </c>
      <c r="G222">
        <v>25.988720855905079</v>
      </c>
      <c r="H222">
        <v>87.79956699326786</v>
      </c>
    </row>
    <row r="223" spans="2:8">
      <c r="B223" t="s">
        <v>636</v>
      </c>
      <c r="C223">
        <v>24.751052079513439</v>
      </c>
      <c r="D223">
        <v>87.745690600468251</v>
      </c>
      <c r="F223" t="s">
        <v>1366</v>
      </c>
      <c r="G223">
        <v>24.751052079513439</v>
      </c>
      <c r="H223">
        <v>87.745690600468251</v>
      </c>
    </row>
    <row r="224" spans="2:8">
      <c r="B224" t="s">
        <v>637</v>
      </c>
      <c r="C224">
        <v>23.593267746235998</v>
      </c>
      <c r="D224">
        <v>87.50209368059393</v>
      </c>
      <c r="F224" t="s">
        <v>1367</v>
      </c>
      <c r="G224">
        <v>23.593267746235998</v>
      </c>
      <c r="H224">
        <v>87.50209368059393</v>
      </c>
    </row>
    <row r="225" spans="2:8">
      <c r="B225" t="s">
        <v>638</v>
      </c>
      <c r="C225">
        <v>24.450646852147571</v>
      </c>
      <c r="D225">
        <v>94.345871649004167</v>
      </c>
      <c r="F225" t="s">
        <v>1368</v>
      </c>
      <c r="G225">
        <v>24.450646852147571</v>
      </c>
      <c r="H225">
        <v>94.345871649004167</v>
      </c>
    </row>
    <row r="226" spans="2:8">
      <c r="B226" t="s">
        <v>639</v>
      </c>
      <c r="C226">
        <v>25.935542664011244</v>
      </c>
      <c r="D226">
        <v>94.266105714559259</v>
      </c>
      <c r="F226" t="s">
        <v>1369</v>
      </c>
      <c r="G226">
        <v>25.935542664011244</v>
      </c>
      <c r="H226">
        <v>94.266105714559259</v>
      </c>
    </row>
    <row r="227" spans="2:8">
      <c r="B227" t="s">
        <v>640</v>
      </c>
      <c r="C227">
        <v>25.37200536956054</v>
      </c>
      <c r="D227">
        <v>92.648526946107978</v>
      </c>
      <c r="F227" t="s">
        <v>1370</v>
      </c>
      <c r="G227">
        <v>25.37200536956054</v>
      </c>
      <c r="H227">
        <v>92.648526946107978</v>
      </c>
    </row>
    <row r="228" spans="2:8">
      <c r="B228" t="s">
        <v>641</v>
      </c>
      <c r="C228">
        <v>22.574172634664681</v>
      </c>
      <c r="D228">
        <v>92.548940553927579</v>
      </c>
      <c r="F228" t="s">
        <v>1371</v>
      </c>
      <c r="G228">
        <v>22.574172634664681</v>
      </c>
      <c r="H228">
        <v>92.548940553927579</v>
      </c>
    </row>
    <row r="229" spans="2:8">
      <c r="B229" t="s">
        <v>642</v>
      </c>
      <c r="C229">
        <v>23.774321968742331</v>
      </c>
      <c r="D229">
        <v>91.661036448345115</v>
      </c>
      <c r="F229" t="s">
        <v>1372</v>
      </c>
      <c r="G229">
        <v>23.774321968742331</v>
      </c>
      <c r="H229">
        <v>91.661036448345115</v>
      </c>
    </row>
    <row r="230" spans="2:8">
      <c r="B230" t="s">
        <v>643</v>
      </c>
      <c r="C230">
        <v>26.856046651632838</v>
      </c>
      <c r="D230">
        <v>93.711424243728118</v>
      </c>
      <c r="F230" t="s">
        <v>1373</v>
      </c>
      <c r="G230">
        <v>26.856046651632838</v>
      </c>
      <c r="H230">
        <v>93.711424243728118</v>
      </c>
    </row>
    <row r="231" spans="2:8">
      <c r="B231" t="s">
        <v>644</v>
      </c>
      <c r="C231">
        <v>27.576598719780904</v>
      </c>
      <c r="D231">
        <v>95.652286771158543</v>
      </c>
      <c r="F231" t="s">
        <v>1374</v>
      </c>
      <c r="G231">
        <v>27.576598719780904</v>
      </c>
      <c r="H231">
        <v>95.652286771158543</v>
      </c>
    </row>
    <row r="232" spans="2:8">
      <c r="B232" t="s">
        <v>645</v>
      </c>
      <c r="C232">
        <v>27.941184934802504</v>
      </c>
      <c r="D232">
        <v>95.289803206519821</v>
      </c>
      <c r="F232" t="s">
        <v>1375</v>
      </c>
      <c r="G232">
        <v>27.941184934802504</v>
      </c>
      <c r="H232">
        <v>95.289803206519821</v>
      </c>
    </row>
    <row r="233" spans="2:8">
      <c r="B233" t="s">
        <v>646</v>
      </c>
      <c r="C233">
        <v>25.715649200326965</v>
      </c>
      <c r="D233">
        <v>90.488276258695038</v>
      </c>
      <c r="F233" t="s">
        <v>1376</v>
      </c>
      <c r="G233">
        <v>25.715649200326965</v>
      </c>
      <c r="H233">
        <v>90.488276258695038</v>
      </c>
    </row>
    <row r="234" spans="2:8">
      <c r="B234" t="s">
        <v>647</v>
      </c>
      <c r="C234">
        <v>26.580998308586089</v>
      </c>
      <c r="D234">
        <v>88.899478842104784</v>
      </c>
      <c r="F234" t="s">
        <v>1377</v>
      </c>
      <c r="G234">
        <v>26.580998308586089</v>
      </c>
      <c r="H234">
        <v>88.899478842104784</v>
      </c>
    </row>
    <row r="235" spans="2:8">
      <c r="B235" t="s">
        <v>648</v>
      </c>
      <c r="C235">
        <v>26.58118329802992</v>
      </c>
      <c r="D235">
        <v>90.902380510161123</v>
      </c>
      <c r="F235" t="s">
        <v>1378</v>
      </c>
      <c r="G235">
        <v>26.58118329802992</v>
      </c>
      <c r="H235">
        <v>90.902380510161123</v>
      </c>
    </row>
    <row r="236" spans="2:8">
      <c r="B236" t="s">
        <v>649</v>
      </c>
      <c r="C236">
        <v>18.502464450699723</v>
      </c>
      <c r="D236">
        <v>83.873448591268229</v>
      </c>
      <c r="F236" t="s">
        <v>1379</v>
      </c>
      <c r="G236">
        <v>18.502464450699723</v>
      </c>
      <c r="H236">
        <v>83.873448591268229</v>
      </c>
    </row>
    <row r="237" spans="2:8">
      <c r="B237" t="s">
        <v>650</v>
      </c>
      <c r="C237">
        <v>20.089777308413325</v>
      </c>
      <c r="D237">
        <v>85.186866609138988</v>
      </c>
      <c r="F237" t="s">
        <v>1380</v>
      </c>
      <c r="G237">
        <v>20.089777308413325</v>
      </c>
      <c r="H237">
        <v>85.186866609138988</v>
      </c>
    </row>
    <row r="238" spans="2:8">
      <c r="B238" t="s">
        <v>651</v>
      </c>
      <c r="C238">
        <v>18.637541163247981</v>
      </c>
      <c r="D238">
        <v>80.487551981590883</v>
      </c>
      <c r="F238" t="s">
        <v>1381</v>
      </c>
      <c r="G238">
        <v>18.637541163247981</v>
      </c>
      <c r="H238">
        <v>80.487551981590883</v>
      </c>
    </row>
    <row r="239" spans="2:8">
      <c r="B239" t="s">
        <v>652</v>
      </c>
      <c r="C239">
        <v>18.66177221147521</v>
      </c>
      <c r="D239">
        <v>82.132674779759242</v>
      </c>
      <c r="F239" t="s">
        <v>1382</v>
      </c>
      <c r="G239">
        <v>18.66177221147521</v>
      </c>
      <c r="H239">
        <v>82.132674779759242</v>
      </c>
    </row>
    <row r="240" spans="2:8">
      <c r="B240" t="s">
        <v>653</v>
      </c>
      <c r="C240">
        <v>19.901993732495413</v>
      </c>
      <c r="D240">
        <v>82.251510049654811</v>
      </c>
      <c r="F240" t="s">
        <v>1383</v>
      </c>
      <c r="G240">
        <v>19.901993732495413</v>
      </c>
      <c r="H240">
        <v>82.251510049654811</v>
      </c>
    </row>
    <row r="241" spans="2:8">
      <c r="B241" t="s">
        <v>654</v>
      </c>
      <c r="C241">
        <v>22.704287145878435</v>
      </c>
      <c r="D241">
        <v>80.211223766587693</v>
      </c>
      <c r="F241" t="s">
        <v>1384</v>
      </c>
      <c r="G241">
        <v>22.704287145878435</v>
      </c>
      <c r="H241">
        <v>80.211223766587693</v>
      </c>
    </row>
    <row r="242" spans="2:8">
      <c r="B242" t="s">
        <v>655</v>
      </c>
      <c r="C242">
        <v>20.396401568270839</v>
      </c>
      <c r="D242">
        <v>79.945767312230316</v>
      </c>
      <c r="F242" t="s">
        <v>1385</v>
      </c>
      <c r="G242">
        <v>20.396401568270839</v>
      </c>
      <c r="H242">
        <v>79.945767312230316</v>
      </c>
    </row>
    <row r="243" spans="2:8">
      <c r="B243" t="s">
        <v>656</v>
      </c>
      <c r="C243">
        <v>21.386424282461689</v>
      </c>
      <c r="D243">
        <v>81.551877363621884</v>
      </c>
      <c r="F243" t="s">
        <v>1386</v>
      </c>
      <c r="G243">
        <v>21.386424282461689</v>
      </c>
      <c r="H243">
        <v>81.551877363621884</v>
      </c>
    </row>
    <row r="244" spans="2:8">
      <c r="B244" t="s">
        <v>657</v>
      </c>
      <c r="C244">
        <v>21.453054297066284</v>
      </c>
      <c r="D244">
        <v>83.487969448723632</v>
      </c>
      <c r="F244" t="s">
        <v>1387</v>
      </c>
      <c r="G244">
        <v>21.453054297066284</v>
      </c>
      <c r="H244">
        <v>83.487969448723632</v>
      </c>
    </row>
    <row r="245" spans="2:8">
      <c r="B245" t="s">
        <v>658</v>
      </c>
      <c r="C245">
        <v>22.183834567448372</v>
      </c>
      <c r="D245">
        <v>85.58395132399032</v>
      </c>
      <c r="F245" t="s">
        <v>1388</v>
      </c>
      <c r="G245">
        <v>22.183834567448372</v>
      </c>
      <c r="H245">
        <v>85.58395132399032</v>
      </c>
    </row>
    <row r="246" spans="2:8">
      <c r="B246" t="s">
        <v>659</v>
      </c>
      <c r="C246">
        <v>23.05734410682836</v>
      </c>
      <c r="D246">
        <v>82.955659441972941</v>
      </c>
      <c r="F246" t="s">
        <v>1389</v>
      </c>
      <c r="G246">
        <v>23.05734410682836</v>
      </c>
      <c r="H246">
        <v>82.955659441972941</v>
      </c>
    </row>
    <row r="247" spans="2:8">
      <c r="B247" t="s">
        <v>660</v>
      </c>
      <c r="C247">
        <v>24.190925164987739</v>
      </c>
      <c r="D247">
        <v>85.046844597741853</v>
      </c>
      <c r="F247" t="s">
        <v>1390</v>
      </c>
      <c r="G247">
        <v>24.190925164987739</v>
      </c>
      <c r="H247">
        <v>85.046844597741853</v>
      </c>
    </row>
    <row r="248" spans="2:8">
      <c r="B248" t="s">
        <v>661</v>
      </c>
      <c r="C248">
        <v>17.751573047353848</v>
      </c>
      <c r="D248">
        <v>76.464335565260001</v>
      </c>
      <c r="F248" t="s">
        <v>1391</v>
      </c>
      <c r="G248">
        <v>17.751573047353848</v>
      </c>
      <c r="H248">
        <v>76.464335565260001</v>
      </c>
    </row>
    <row r="249" spans="2:8">
      <c r="B249" t="s">
        <v>662</v>
      </c>
      <c r="C249">
        <v>18.269190473512133</v>
      </c>
      <c r="D249">
        <v>74.99487608449374</v>
      </c>
      <c r="F249" t="s">
        <v>1392</v>
      </c>
      <c r="G249">
        <v>18.269190473512133</v>
      </c>
      <c r="H249">
        <v>74.99487608449374</v>
      </c>
    </row>
    <row r="250" spans="2:8">
      <c r="B250" t="s">
        <v>663</v>
      </c>
      <c r="C250">
        <v>15.934562476950468</v>
      </c>
      <c r="D250">
        <v>74.177032818285426</v>
      </c>
      <c r="F250" t="s">
        <v>1393</v>
      </c>
      <c r="G250">
        <v>15.934562476950468</v>
      </c>
      <c r="H250">
        <v>74.177032818285426</v>
      </c>
    </row>
    <row r="251" spans="2:8">
      <c r="B251" t="s">
        <v>664</v>
      </c>
      <c r="C251">
        <v>15.559117118247908</v>
      </c>
      <c r="D251">
        <v>75.563817419656715</v>
      </c>
      <c r="F251" t="s">
        <v>1394</v>
      </c>
      <c r="G251">
        <v>15.559117118247908</v>
      </c>
      <c r="H251">
        <v>75.563817419656715</v>
      </c>
    </row>
    <row r="252" spans="2:8">
      <c r="B252" t="s">
        <v>665</v>
      </c>
      <c r="C252">
        <v>16.348144744518773</v>
      </c>
      <c r="D252">
        <v>77.507852679627348</v>
      </c>
      <c r="F252" t="s">
        <v>1395</v>
      </c>
      <c r="G252">
        <v>16.348144744518773</v>
      </c>
      <c r="H252">
        <v>77.507852679627348</v>
      </c>
    </row>
    <row r="253" spans="2:8">
      <c r="B253" t="s">
        <v>666</v>
      </c>
      <c r="C253">
        <v>18.659500201790191</v>
      </c>
      <c r="D253">
        <v>78.468439383951917</v>
      </c>
      <c r="F253" t="s">
        <v>1396</v>
      </c>
      <c r="G253">
        <v>18.659500201790191</v>
      </c>
      <c r="H253">
        <v>78.468439383951917</v>
      </c>
    </row>
    <row r="254" spans="2:8">
      <c r="B254" t="s">
        <v>667</v>
      </c>
      <c r="C254">
        <v>19.632879837667669</v>
      </c>
      <c r="D254">
        <v>77.494790107151658</v>
      </c>
      <c r="F254" t="s">
        <v>1397</v>
      </c>
      <c r="G254">
        <v>19.632879837667669</v>
      </c>
      <c r="H254">
        <v>77.494790107151658</v>
      </c>
    </row>
    <row r="255" spans="2:8">
      <c r="B255" t="s">
        <v>668</v>
      </c>
      <c r="C255">
        <v>16.80460611393751</v>
      </c>
      <c r="D255">
        <v>81.59485290073232</v>
      </c>
      <c r="F255" t="s">
        <v>1398</v>
      </c>
      <c r="G255">
        <v>16.80460611393751</v>
      </c>
      <c r="H255">
        <v>81.59485290073232</v>
      </c>
    </row>
    <row r="256" spans="2:8">
      <c r="B256" t="s">
        <v>669</v>
      </c>
      <c r="C256">
        <v>16.995337272312479</v>
      </c>
      <c r="D256">
        <v>79.954752560258882</v>
      </c>
      <c r="F256" t="s">
        <v>1399</v>
      </c>
      <c r="G256">
        <v>16.995337272312479</v>
      </c>
      <c r="H256">
        <v>79.954752560258882</v>
      </c>
    </row>
    <row r="257" spans="2:8">
      <c r="B257" t="s">
        <v>670</v>
      </c>
      <c r="C257">
        <v>12.66138130041668</v>
      </c>
      <c r="D257">
        <v>79.339036863047454</v>
      </c>
      <c r="F257" t="s">
        <v>1400</v>
      </c>
      <c r="G257">
        <v>12.66138130041668</v>
      </c>
      <c r="H257">
        <v>79.339036863047454</v>
      </c>
    </row>
    <row r="258" spans="2:8">
      <c r="B258" t="s">
        <v>671</v>
      </c>
      <c r="C258">
        <v>14.348626661776001</v>
      </c>
      <c r="D258">
        <v>78.240523867081279</v>
      </c>
      <c r="F258" t="s">
        <v>1401</v>
      </c>
      <c r="G258">
        <v>14.348626661776001</v>
      </c>
      <c r="H258">
        <v>78.240523867081279</v>
      </c>
    </row>
    <row r="259" spans="2:8">
      <c r="B259" t="s">
        <v>672</v>
      </c>
      <c r="C259">
        <v>14.603775341631737</v>
      </c>
      <c r="D259">
        <v>79.638387268383724</v>
      </c>
      <c r="F259" t="s">
        <v>1402</v>
      </c>
      <c r="G259">
        <v>14.603775341631737</v>
      </c>
      <c r="H259">
        <v>79.638387268383724</v>
      </c>
    </row>
    <row r="260" spans="2:8">
      <c r="B260" t="s">
        <v>673</v>
      </c>
      <c r="C260">
        <v>9.2193870506494804</v>
      </c>
      <c r="D260">
        <v>78.405332563652223</v>
      </c>
      <c r="F260" t="s">
        <v>1403</v>
      </c>
      <c r="G260">
        <v>9.2193870506494804</v>
      </c>
      <c r="H260">
        <v>78.405332563652223</v>
      </c>
    </row>
    <row r="261" spans="2:8">
      <c r="B261" t="s">
        <v>674</v>
      </c>
      <c r="C261">
        <v>10.922333980479198</v>
      </c>
      <c r="D261">
        <v>79.325108265285436</v>
      </c>
      <c r="F261" t="s">
        <v>1404</v>
      </c>
      <c r="G261">
        <v>10.922333980479198</v>
      </c>
      <c r="H261">
        <v>79.325108265285436</v>
      </c>
    </row>
    <row r="262" spans="2:8">
      <c r="B262" t="s">
        <v>675</v>
      </c>
      <c r="C262">
        <v>10.668823082465243</v>
      </c>
      <c r="D262">
        <v>78.211683060045985</v>
      </c>
      <c r="F262" t="s">
        <v>1405</v>
      </c>
      <c r="G262">
        <v>10.668823082465243</v>
      </c>
      <c r="H262">
        <v>78.211683060045985</v>
      </c>
    </row>
    <row r="263" spans="2:8">
      <c r="B263" t="s">
        <v>676</v>
      </c>
      <c r="C263">
        <v>11.070115191235828</v>
      </c>
      <c r="D263">
        <v>76.157908986276922</v>
      </c>
      <c r="F263" t="s">
        <v>1406</v>
      </c>
      <c r="G263">
        <v>11.070115191235828</v>
      </c>
      <c r="H263">
        <v>76.157908986276922</v>
      </c>
    </row>
    <row r="264" spans="2:8">
      <c r="B264" t="s">
        <v>677</v>
      </c>
      <c r="C264">
        <v>9.3600688231210807</v>
      </c>
      <c r="D264">
        <v>76.93827947717611</v>
      </c>
      <c r="F264" t="s">
        <v>1407</v>
      </c>
      <c r="G264">
        <v>9.3600688231210807</v>
      </c>
      <c r="H264">
        <v>76.93827947717611</v>
      </c>
    </row>
    <row r="265" spans="2:8">
      <c r="B265" t="s">
        <v>678</v>
      </c>
      <c r="C265">
        <v>13.273239323434302</v>
      </c>
      <c r="D265">
        <v>75.118577752242146</v>
      </c>
      <c r="F265" t="s">
        <v>1408</v>
      </c>
      <c r="G265">
        <v>13.273239323434302</v>
      </c>
      <c r="H265">
        <v>75.118577752242146</v>
      </c>
    </row>
    <row r="266" spans="2:8">
      <c r="B266" t="s">
        <v>679</v>
      </c>
      <c r="C266">
        <v>12.116252501169191</v>
      </c>
      <c r="D266">
        <v>77.420064634950847</v>
      </c>
      <c r="F266" t="s">
        <v>1409</v>
      </c>
      <c r="G266">
        <v>12.116252501169191</v>
      </c>
      <c r="H266">
        <v>77.420064634950847</v>
      </c>
    </row>
    <row r="267" spans="2:8">
      <c r="B267" t="s">
        <v>680</v>
      </c>
      <c r="C267">
        <v>13.263544409531432</v>
      </c>
      <c r="D267">
        <v>76.568999776210717</v>
      </c>
      <c r="F267" t="s">
        <v>1410</v>
      </c>
      <c r="G267">
        <v>13.263544409531432</v>
      </c>
      <c r="H267">
        <v>76.568999776210717</v>
      </c>
    </row>
    <row r="268" spans="2:8">
      <c r="B268" t="s">
        <v>681</v>
      </c>
      <c r="C268">
        <v>27.568646248158934</v>
      </c>
      <c r="D268">
        <v>80.530279009447071</v>
      </c>
      <c r="F268" t="s">
        <v>1411</v>
      </c>
      <c r="G268">
        <v>27.568646248158934</v>
      </c>
      <c r="H268">
        <v>80.530279009447071</v>
      </c>
    </row>
    <row r="269" spans="2:8">
      <c r="B269" t="s">
        <v>682</v>
      </c>
      <c r="C269">
        <v>27.145978538045068</v>
      </c>
      <c r="D269">
        <v>82.691638318475043</v>
      </c>
      <c r="F269" t="s">
        <v>1412</v>
      </c>
      <c r="G269">
        <v>27.145978538045068</v>
      </c>
      <c r="H269">
        <v>82.691638318475043</v>
      </c>
    </row>
    <row r="270" spans="2:8">
      <c r="B270" t="s">
        <v>683</v>
      </c>
      <c r="C270">
        <v>26.261782828491764</v>
      </c>
      <c r="D270">
        <v>81.894536080706928</v>
      </c>
      <c r="F270" t="s">
        <v>1413</v>
      </c>
      <c r="G270">
        <v>26.261782828491764</v>
      </c>
      <c r="H270">
        <v>81.894536080706928</v>
      </c>
    </row>
    <row r="271" spans="2:8">
      <c r="B271" t="s">
        <v>684</v>
      </c>
      <c r="C271">
        <v>28.793343383966917</v>
      </c>
      <c r="D271">
        <v>78.594686526388912</v>
      </c>
      <c r="F271" t="s">
        <v>1414</v>
      </c>
      <c r="G271">
        <v>28.793343383966917</v>
      </c>
      <c r="H271">
        <v>78.594686526388912</v>
      </c>
    </row>
    <row r="272" spans="2:8">
      <c r="B272" t="s">
        <v>685</v>
      </c>
      <c r="C272">
        <v>29.984016069110275</v>
      </c>
      <c r="D272">
        <v>76.91112272158604</v>
      </c>
      <c r="F272" t="s">
        <v>1415</v>
      </c>
      <c r="G272">
        <v>29.984016069110275</v>
      </c>
      <c r="H272">
        <v>76.91112272158604</v>
      </c>
    </row>
    <row r="273" spans="2:8">
      <c r="B273" t="s">
        <v>686</v>
      </c>
      <c r="C273">
        <v>27.08812509039273</v>
      </c>
      <c r="D273">
        <v>79.18419934082182</v>
      </c>
      <c r="F273" t="s">
        <v>1416</v>
      </c>
      <c r="G273">
        <v>27.08812509039273</v>
      </c>
      <c r="H273">
        <v>79.18419934082182</v>
      </c>
    </row>
    <row r="274" spans="2:8">
      <c r="B274" t="s">
        <v>687</v>
      </c>
      <c r="C274">
        <v>26.91880842422681</v>
      </c>
      <c r="D274">
        <v>78.186541293088169</v>
      </c>
      <c r="F274" t="s">
        <v>1417</v>
      </c>
      <c r="G274">
        <v>26.91880842422681</v>
      </c>
      <c r="H274">
        <v>78.186541293088169</v>
      </c>
    </row>
    <row r="275" spans="2:8">
      <c r="B275" t="s">
        <v>688</v>
      </c>
      <c r="C275">
        <v>28.675336697419748</v>
      </c>
      <c r="D275">
        <v>77.206378475969643</v>
      </c>
      <c r="F275" t="s">
        <v>1418</v>
      </c>
      <c r="G275">
        <v>28.675336697419748</v>
      </c>
      <c r="H275">
        <v>77.206378475969643</v>
      </c>
    </row>
    <row r="276" spans="2:8">
      <c r="B276" t="s">
        <v>689</v>
      </c>
      <c r="C276">
        <v>23.434164569737867</v>
      </c>
      <c r="D276">
        <v>91.364697610929326</v>
      </c>
      <c r="F276" t="s">
        <v>1419</v>
      </c>
      <c r="G276">
        <v>23.434164569737867</v>
      </c>
      <c r="H276">
        <v>91.364697610929326</v>
      </c>
    </row>
    <row r="277" spans="2:8">
      <c r="B277" t="s">
        <v>690</v>
      </c>
      <c r="C277">
        <v>22.634024681322742</v>
      </c>
      <c r="D277">
        <v>88.276459531453753</v>
      </c>
      <c r="F277" t="s">
        <v>1420</v>
      </c>
      <c r="G277">
        <v>22.634024681322742</v>
      </c>
      <c r="H277">
        <v>88.276459531453753</v>
      </c>
    </row>
    <row r="278" spans="2:8">
      <c r="B278" t="s">
        <v>691</v>
      </c>
      <c r="C278">
        <v>20.106235602515724</v>
      </c>
      <c r="D278">
        <v>85.800052197183547</v>
      </c>
      <c r="F278" t="s">
        <v>1421</v>
      </c>
      <c r="G278">
        <v>20.106235602515724</v>
      </c>
      <c r="H278">
        <v>85.800052197183547</v>
      </c>
    </row>
    <row r="279" spans="2:8">
      <c r="B279" t="s">
        <v>692</v>
      </c>
      <c r="C279">
        <v>23.186798131460439</v>
      </c>
      <c r="D279">
        <v>87.097363310443356</v>
      </c>
      <c r="F279" t="s">
        <v>1422</v>
      </c>
      <c r="G279">
        <v>23.186798131460439</v>
      </c>
      <c r="H279">
        <v>87.097363310443356</v>
      </c>
    </row>
    <row r="280" spans="2:8">
      <c r="B280" t="s">
        <v>693</v>
      </c>
      <c r="C280">
        <v>24.413894232513851</v>
      </c>
      <c r="D280">
        <v>87.713139076831325</v>
      </c>
      <c r="F280" t="s">
        <v>1423</v>
      </c>
      <c r="G280">
        <v>24.413894232513851</v>
      </c>
      <c r="H280">
        <v>87.713139076831325</v>
      </c>
    </row>
    <row r="281" spans="2:8">
      <c r="B281" t="s">
        <v>694</v>
      </c>
      <c r="C281">
        <v>26.066552421403856</v>
      </c>
      <c r="D281">
        <v>86.742517984861067</v>
      </c>
      <c r="F281" t="s">
        <v>1424</v>
      </c>
      <c r="G281">
        <v>26.066552421403856</v>
      </c>
      <c r="H281">
        <v>86.742517984861067</v>
      </c>
    </row>
    <row r="282" spans="2:8">
      <c r="B282" t="s">
        <v>695</v>
      </c>
      <c r="C282">
        <v>25.36439741125924</v>
      </c>
      <c r="D282">
        <v>88.519468667917849</v>
      </c>
      <c r="F282" t="s">
        <v>1425</v>
      </c>
      <c r="G282">
        <v>25.36439741125924</v>
      </c>
      <c r="H282">
        <v>88.519468667917849</v>
      </c>
    </row>
    <row r="283" spans="2:8">
      <c r="B283" t="s">
        <v>696</v>
      </c>
      <c r="C283">
        <v>23.74652281159376</v>
      </c>
      <c r="D283">
        <v>80.311440502453877</v>
      </c>
      <c r="F283" t="s">
        <v>1426</v>
      </c>
      <c r="G283">
        <v>23.74652281159376</v>
      </c>
      <c r="H283">
        <v>80.311440502453877</v>
      </c>
    </row>
    <row r="284" spans="2:8">
      <c r="B284" t="s">
        <v>697</v>
      </c>
      <c r="C284">
        <v>23.069873841603343</v>
      </c>
      <c r="D284">
        <v>81.66199114710119</v>
      </c>
      <c r="F284" t="s">
        <v>1427</v>
      </c>
      <c r="G284">
        <v>23.069873841603343</v>
      </c>
      <c r="H284">
        <v>81.66199114710119</v>
      </c>
    </row>
    <row r="285" spans="2:8">
      <c r="B285" t="s">
        <v>698</v>
      </c>
      <c r="C285">
        <v>24.403260639081125</v>
      </c>
      <c r="D285">
        <v>81.745172086474199</v>
      </c>
      <c r="F285" t="s">
        <v>1428</v>
      </c>
      <c r="G285">
        <v>24.403260639081125</v>
      </c>
      <c r="H285">
        <v>81.745172086474199</v>
      </c>
    </row>
    <row r="286" spans="2:8">
      <c r="B286" t="s">
        <v>699</v>
      </c>
      <c r="C286">
        <v>26.444177635438987</v>
      </c>
      <c r="D286">
        <v>84.814362991919268</v>
      </c>
      <c r="F286" t="s">
        <v>1429</v>
      </c>
      <c r="G286">
        <v>26.444177635438987</v>
      </c>
      <c r="H286">
        <v>84.814362991919268</v>
      </c>
    </row>
    <row r="287" spans="2:8">
      <c r="B287" t="s">
        <v>700</v>
      </c>
      <c r="C287">
        <v>25.688543313501697</v>
      </c>
      <c r="D287">
        <v>84.574649631813244</v>
      </c>
      <c r="F287" t="s">
        <v>1430</v>
      </c>
      <c r="G287">
        <v>25.688543313501697</v>
      </c>
      <c r="H287">
        <v>84.574649631813244</v>
      </c>
    </row>
    <row r="288" spans="2:8">
      <c r="B288" t="s">
        <v>701</v>
      </c>
      <c r="C288">
        <v>25.176779052265061</v>
      </c>
      <c r="D288">
        <v>83.11457356291433</v>
      </c>
      <c r="F288" t="s">
        <v>1431</v>
      </c>
      <c r="G288">
        <v>25.176779052265061</v>
      </c>
      <c r="H288">
        <v>83.11457356291433</v>
      </c>
    </row>
    <row r="289" spans="2:8">
      <c r="B289" t="s">
        <v>702</v>
      </c>
      <c r="C289">
        <v>22.925991025423496</v>
      </c>
      <c r="D289">
        <v>84.863533005125817</v>
      </c>
      <c r="F289" t="s">
        <v>1432</v>
      </c>
      <c r="G289">
        <v>22.925991025423496</v>
      </c>
      <c r="H289">
        <v>84.863533005125817</v>
      </c>
    </row>
    <row r="290" spans="2:8">
      <c r="B290" t="s">
        <v>703</v>
      </c>
      <c r="C290">
        <v>24.007936862023762</v>
      </c>
      <c r="D290">
        <v>85.627333145059907</v>
      </c>
      <c r="F290" t="s">
        <v>1433</v>
      </c>
      <c r="G290">
        <v>24.007936862023762</v>
      </c>
      <c r="H290">
        <v>85.627333145059907</v>
      </c>
    </row>
    <row r="291" spans="2:8">
      <c r="B291" t="s">
        <v>704</v>
      </c>
      <c r="C291">
        <v>11.298652419565665</v>
      </c>
      <c r="D291">
        <v>79.163741589814492</v>
      </c>
      <c r="F291" t="s">
        <v>1434</v>
      </c>
      <c r="G291">
        <v>11.298652419565665</v>
      </c>
      <c r="H291">
        <v>79.163741589814492</v>
      </c>
    </row>
    <row r="292" spans="2:8">
      <c r="B292" t="s">
        <v>705</v>
      </c>
      <c r="C292">
        <v>9.5394683595401002</v>
      </c>
      <c r="D292">
        <v>78.612449518146647</v>
      </c>
      <c r="F292" t="s">
        <v>1435</v>
      </c>
      <c r="G292">
        <v>9.5394683595401002</v>
      </c>
      <c r="H292">
        <v>78.612449518146647</v>
      </c>
    </row>
    <row r="293" spans="2:8">
      <c r="B293" t="s">
        <v>706</v>
      </c>
      <c r="C293">
        <v>16.70200097522109</v>
      </c>
      <c r="D293">
        <v>82.053389598245431</v>
      </c>
      <c r="F293" t="s">
        <v>1436</v>
      </c>
      <c r="G293">
        <v>16.70200097522109</v>
      </c>
      <c r="H293">
        <v>82.053389598245431</v>
      </c>
    </row>
    <row r="294" spans="2:8">
      <c r="B294" t="s">
        <v>707</v>
      </c>
      <c r="C294">
        <v>13.626330459664343</v>
      </c>
      <c r="D294">
        <v>79.893865863312783</v>
      </c>
      <c r="F294" t="s">
        <v>1437</v>
      </c>
      <c r="G294">
        <v>13.626330459664343</v>
      </c>
      <c r="H294">
        <v>79.893865863312783</v>
      </c>
    </row>
    <row r="295" spans="2:8">
      <c r="B295" t="s">
        <v>708</v>
      </c>
      <c r="C295">
        <v>15.175017477351536</v>
      </c>
      <c r="D295">
        <v>79.103424620580029</v>
      </c>
      <c r="F295" t="s">
        <v>1438</v>
      </c>
      <c r="G295">
        <v>15.175017477351536</v>
      </c>
      <c r="H295">
        <v>79.103424620580029</v>
      </c>
    </row>
    <row r="296" spans="2:8">
      <c r="B296" t="s">
        <v>709</v>
      </c>
      <c r="C296">
        <v>12.277075099710432</v>
      </c>
      <c r="D296">
        <v>78.702885142906695</v>
      </c>
      <c r="F296" t="s">
        <v>1439</v>
      </c>
      <c r="G296">
        <v>12.277075099710432</v>
      </c>
      <c r="H296">
        <v>78.702885142906695</v>
      </c>
    </row>
    <row r="297" spans="2:8">
      <c r="B297" t="s">
        <v>710</v>
      </c>
      <c r="C297">
        <v>17.957987788631229</v>
      </c>
      <c r="D297">
        <v>78.19226601345288</v>
      </c>
      <c r="F297" t="s">
        <v>1440</v>
      </c>
      <c r="G297">
        <v>17.957987788631229</v>
      </c>
      <c r="H297">
        <v>78.19226601345288</v>
      </c>
    </row>
    <row r="298" spans="2:8">
      <c r="B298" t="s">
        <v>711</v>
      </c>
      <c r="C298">
        <v>17.291767177783388</v>
      </c>
      <c r="D298">
        <v>76.373938525622748</v>
      </c>
      <c r="F298" t="s">
        <v>1441</v>
      </c>
      <c r="G298">
        <v>17.291767177783388</v>
      </c>
      <c r="H298">
        <v>76.373938525622748</v>
      </c>
    </row>
    <row r="299" spans="2:8">
      <c r="B299" t="s">
        <v>712</v>
      </c>
      <c r="C299">
        <v>14.698015606886996</v>
      </c>
      <c r="D299">
        <v>77.631076241732018</v>
      </c>
      <c r="F299" t="s">
        <v>1442</v>
      </c>
      <c r="G299">
        <v>14.698015606886996</v>
      </c>
      <c r="H299">
        <v>77.631076241732018</v>
      </c>
    </row>
    <row r="300" spans="2:8">
      <c r="B300" t="s">
        <v>713</v>
      </c>
      <c r="C300">
        <v>16.703655114097781</v>
      </c>
      <c r="D300">
        <v>73.877758449181897</v>
      </c>
      <c r="F300" t="s">
        <v>1443</v>
      </c>
      <c r="G300">
        <v>16.703655114097781</v>
      </c>
      <c r="H300">
        <v>73.877758449181897</v>
      </c>
    </row>
    <row r="301" spans="2:8">
      <c r="B301" t="s">
        <v>714</v>
      </c>
      <c r="C301">
        <v>10.110288006443074</v>
      </c>
      <c r="D301">
        <v>77.38777743510704</v>
      </c>
      <c r="F301" t="s">
        <v>1444</v>
      </c>
      <c r="G301">
        <v>10.110288006443074</v>
      </c>
      <c r="H301">
        <v>77.38777743510704</v>
      </c>
    </row>
    <row r="302" spans="2:8">
      <c r="B302" t="s">
        <v>715</v>
      </c>
      <c r="C302">
        <v>12.84551431602136</v>
      </c>
      <c r="D302">
        <v>76.611253377964374</v>
      </c>
      <c r="F302" t="s">
        <v>1445</v>
      </c>
      <c r="G302">
        <v>12.84551431602136</v>
      </c>
      <c r="H302">
        <v>76.611253377964374</v>
      </c>
    </row>
    <row r="303" spans="2:8">
      <c r="B303" t="s">
        <v>716</v>
      </c>
      <c r="C303">
        <v>15.462309157290116</v>
      </c>
      <c r="D303">
        <v>75.339251045373587</v>
      </c>
      <c r="F303" t="s">
        <v>1446</v>
      </c>
      <c r="G303">
        <v>15.462309157290116</v>
      </c>
      <c r="H303">
        <v>75.339251045373587</v>
      </c>
    </row>
    <row r="304" spans="2:8">
      <c r="B304" t="s">
        <v>717</v>
      </c>
      <c r="C304">
        <v>21.774141512260048</v>
      </c>
      <c r="D304">
        <v>79.63358406822141</v>
      </c>
      <c r="F304" t="s">
        <v>1447</v>
      </c>
      <c r="G304">
        <v>21.774141512260048</v>
      </c>
      <c r="H304">
        <v>79.63358406822141</v>
      </c>
    </row>
    <row r="305" spans="2:8">
      <c r="B305" t="s">
        <v>718</v>
      </c>
      <c r="C305">
        <v>20.962799621758052</v>
      </c>
      <c r="D305">
        <v>82.637600142585043</v>
      </c>
      <c r="F305" t="s">
        <v>1448</v>
      </c>
      <c r="G305">
        <v>20.962799621758052</v>
      </c>
      <c r="H305">
        <v>82.637600142585043</v>
      </c>
    </row>
    <row r="306" spans="2:8">
      <c r="B306" t="s">
        <v>719</v>
      </c>
      <c r="C306">
        <v>20.584886838633903</v>
      </c>
      <c r="D306">
        <v>80.516222336466086</v>
      </c>
      <c r="F306" t="s">
        <v>1449</v>
      </c>
      <c r="G306">
        <v>20.584886838633903</v>
      </c>
      <c r="H306">
        <v>80.516222336466086</v>
      </c>
    </row>
    <row r="307" spans="2:8">
      <c r="B307" t="s">
        <v>720</v>
      </c>
      <c r="C307">
        <v>19.756636381724764</v>
      </c>
      <c r="D307">
        <v>82.149176502195019</v>
      </c>
      <c r="F307" t="s">
        <v>1450</v>
      </c>
      <c r="G307">
        <v>19.756636381724764</v>
      </c>
      <c r="H307">
        <v>82.149176502195019</v>
      </c>
    </row>
    <row r="308" spans="2:8">
      <c r="B308" t="s">
        <v>721</v>
      </c>
      <c r="C308">
        <v>19.438830274973892</v>
      </c>
      <c r="D308">
        <v>80.891659641023637</v>
      </c>
      <c r="F308" t="s">
        <v>1451</v>
      </c>
      <c r="G308">
        <v>19.438830274973892</v>
      </c>
      <c r="H308">
        <v>80.891659641023637</v>
      </c>
    </row>
    <row r="309" spans="2:8">
      <c r="B309" t="s">
        <v>722</v>
      </c>
      <c r="C309">
        <v>18.872991587453495</v>
      </c>
      <c r="D309">
        <v>79.418929272990141</v>
      </c>
      <c r="F309" t="s">
        <v>1452</v>
      </c>
      <c r="G309">
        <v>18.872991587453495</v>
      </c>
      <c r="H309">
        <v>79.418929272990141</v>
      </c>
    </row>
    <row r="310" spans="2:8">
      <c r="B310" t="s">
        <v>723</v>
      </c>
      <c r="C310">
        <v>18.174125661290759</v>
      </c>
      <c r="D310">
        <v>82.635336265935067</v>
      </c>
      <c r="F310" t="s">
        <v>1453</v>
      </c>
      <c r="G310">
        <v>18.174125661290759</v>
      </c>
      <c r="H310">
        <v>82.635336265935067</v>
      </c>
    </row>
    <row r="311" spans="2:8">
      <c r="B311" t="s">
        <v>724</v>
      </c>
      <c r="C311">
        <v>16.759686976849718</v>
      </c>
      <c r="D311">
        <v>80.645560412078879</v>
      </c>
      <c r="F311" t="s">
        <v>1454</v>
      </c>
      <c r="G311">
        <v>16.759686976849718</v>
      </c>
      <c r="H311">
        <v>80.645560412078879</v>
      </c>
    </row>
    <row r="312" spans="2:8">
      <c r="B312" t="s">
        <v>725</v>
      </c>
      <c r="C312">
        <v>20.881847083252055</v>
      </c>
      <c r="D312">
        <v>78.054043952850023</v>
      </c>
      <c r="F312" t="s">
        <v>1455</v>
      </c>
      <c r="G312">
        <v>20.881847083252055</v>
      </c>
      <c r="H312">
        <v>78.054043952850023</v>
      </c>
    </row>
    <row r="313" spans="2:8">
      <c r="B313" t="s">
        <v>726</v>
      </c>
      <c r="C313">
        <v>19.249214695470688</v>
      </c>
      <c r="D313">
        <v>74.3985216604095</v>
      </c>
      <c r="F313" t="s">
        <v>1456</v>
      </c>
      <c r="G313">
        <v>19.249214695470688</v>
      </c>
      <c r="H313">
        <v>74.3985216604095</v>
      </c>
    </row>
    <row r="314" spans="2:8">
      <c r="B314" t="s">
        <v>727</v>
      </c>
      <c r="C314">
        <v>20.86372113464547</v>
      </c>
      <c r="D314">
        <v>75.788587835847693</v>
      </c>
      <c r="F314" t="s">
        <v>1457</v>
      </c>
      <c r="G314">
        <v>20.86372113464547</v>
      </c>
      <c r="H314">
        <v>75.788587835847693</v>
      </c>
    </row>
    <row r="315" spans="2:8">
      <c r="B315" t="s">
        <v>728</v>
      </c>
      <c r="C315">
        <v>23.5941420811826</v>
      </c>
      <c r="D315">
        <v>69.824545682750013</v>
      </c>
      <c r="F315" t="s">
        <v>1458</v>
      </c>
      <c r="G315">
        <v>23.5941420811826</v>
      </c>
      <c r="H315">
        <v>69.824545682750013</v>
      </c>
    </row>
    <row r="316" spans="2:8">
      <c r="B316" t="s">
        <v>729</v>
      </c>
      <c r="C316">
        <v>20.235270343031932</v>
      </c>
      <c r="D316">
        <v>73.337739865270734</v>
      </c>
      <c r="F316" t="s">
        <v>1459</v>
      </c>
      <c r="G316">
        <v>20.235270343031932</v>
      </c>
      <c r="H316">
        <v>73.337739865270734</v>
      </c>
    </row>
    <row r="317" spans="2:8">
      <c r="B317" t="s">
        <v>730</v>
      </c>
      <c r="C317">
        <v>21.80206216257988</v>
      </c>
      <c r="D317">
        <v>71.893384906940284</v>
      </c>
      <c r="F317" t="s">
        <v>1460</v>
      </c>
      <c r="G317">
        <v>21.80206216257988</v>
      </c>
      <c r="H317">
        <v>71.893384906940284</v>
      </c>
    </row>
    <row r="318" spans="2:8">
      <c r="B318" t="s">
        <v>731</v>
      </c>
      <c r="C318">
        <v>23.32674238444476</v>
      </c>
      <c r="D318">
        <v>73.37335431911535</v>
      </c>
      <c r="F318" t="s">
        <v>1461</v>
      </c>
      <c r="G318">
        <v>23.32674238444476</v>
      </c>
      <c r="H318">
        <v>73.37335431911535</v>
      </c>
    </row>
    <row r="319" spans="2:8">
      <c r="B319" t="s">
        <v>732</v>
      </c>
      <c r="C319">
        <v>26.240745865894382</v>
      </c>
      <c r="D319">
        <v>72.528518996622296</v>
      </c>
      <c r="F319" t="s">
        <v>1462</v>
      </c>
      <c r="G319">
        <v>26.240745865894382</v>
      </c>
      <c r="H319">
        <v>72.528518996622296</v>
      </c>
    </row>
    <row r="320" spans="2:8">
      <c r="B320" t="s">
        <v>733</v>
      </c>
      <c r="C320">
        <v>24.67713122329895</v>
      </c>
      <c r="D320">
        <v>72.369344214168891</v>
      </c>
      <c r="F320" t="s">
        <v>1463</v>
      </c>
      <c r="G320">
        <v>24.67713122329895</v>
      </c>
      <c r="H320">
        <v>72.369344214168891</v>
      </c>
    </row>
    <row r="321" spans="2:8">
      <c r="B321" t="s">
        <v>734</v>
      </c>
      <c r="C321">
        <v>23.142033705221824</v>
      </c>
      <c r="D321">
        <v>78.852237496893508</v>
      </c>
      <c r="F321" t="s">
        <v>1464</v>
      </c>
      <c r="G321">
        <v>23.142033705221824</v>
      </c>
      <c r="H321">
        <v>78.852237496893508</v>
      </c>
    </row>
    <row r="322" spans="2:8">
      <c r="B322" t="s">
        <v>735</v>
      </c>
      <c r="C322">
        <v>22.842875167223085</v>
      </c>
      <c r="D322">
        <v>75.930739828686569</v>
      </c>
      <c r="F322" t="s">
        <v>1465</v>
      </c>
      <c r="G322">
        <v>22.842875167223085</v>
      </c>
      <c r="H322">
        <v>75.930739828686569</v>
      </c>
    </row>
    <row r="323" spans="2:8">
      <c r="B323" t="s">
        <v>736</v>
      </c>
      <c r="C323">
        <v>24.177340800618776</v>
      </c>
      <c r="D323">
        <v>76.262801612500425</v>
      </c>
      <c r="F323" t="s">
        <v>1466</v>
      </c>
      <c r="G323">
        <v>24.177340800618776</v>
      </c>
      <c r="H323">
        <v>76.262801612500425</v>
      </c>
    </row>
    <row r="324" spans="2:8">
      <c r="B324" t="s">
        <v>737</v>
      </c>
      <c r="C324">
        <v>25.796100801082744</v>
      </c>
      <c r="D324">
        <v>74.760560472840439</v>
      </c>
      <c r="F324" t="s">
        <v>1467</v>
      </c>
      <c r="G324">
        <v>25.796100801082744</v>
      </c>
      <c r="H324">
        <v>74.760560472840439</v>
      </c>
    </row>
    <row r="325" spans="2:8">
      <c r="B325" t="s">
        <v>738</v>
      </c>
      <c r="C325">
        <v>26.054525494784105</v>
      </c>
      <c r="D325">
        <v>76.348586020625035</v>
      </c>
      <c r="F325" t="s">
        <v>1468</v>
      </c>
      <c r="G325">
        <v>26.054525494784105</v>
      </c>
      <c r="H325">
        <v>76.348586020625035</v>
      </c>
    </row>
    <row r="326" spans="2:8">
      <c r="B326" t="s">
        <v>739</v>
      </c>
      <c r="C326">
        <v>25.61450482481651</v>
      </c>
      <c r="D326">
        <v>79.539005682974107</v>
      </c>
      <c r="F326" t="s">
        <v>1469</v>
      </c>
      <c r="G326">
        <v>25.61450482481651</v>
      </c>
      <c r="H326">
        <v>79.539005682974107</v>
      </c>
    </row>
    <row r="327" spans="2:8">
      <c r="B327" t="s">
        <v>740</v>
      </c>
      <c r="C327">
        <v>25.026982238537776</v>
      </c>
      <c r="D327">
        <v>78.328118769062314</v>
      </c>
      <c r="F327" t="s">
        <v>1470</v>
      </c>
      <c r="G327">
        <v>25.026982238537776</v>
      </c>
      <c r="H327">
        <v>78.328118769062314</v>
      </c>
    </row>
    <row r="328" spans="2:8">
      <c r="B328" t="s">
        <v>741</v>
      </c>
      <c r="C328">
        <v>29.938128170820484</v>
      </c>
      <c r="D328">
        <v>75.419785716757175</v>
      </c>
      <c r="F328" t="s">
        <v>1471</v>
      </c>
      <c r="G328">
        <v>29.938128170820484</v>
      </c>
      <c r="H328">
        <v>75.419785716757175</v>
      </c>
    </row>
    <row r="329" spans="2:8">
      <c r="B329" t="s">
        <v>742</v>
      </c>
      <c r="C329">
        <v>27.120371663022347</v>
      </c>
      <c r="D329">
        <v>76.848824901998555</v>
      </c>
      <c r="F329" t="s">
        <v>1472</v>
      </c>
      <c r="G329">
        <v>27.120371663022347</v>
      </c>
      <c r="H329">
        <v>76.848824901998555</v>
      </c>
    </row>
    <row r="330" spans="2:8">
      <c r="B330" t="s">
        <v>743</v>
      </c>
      <c r="C330">
        <v>28.744986231599484</v>
      </c>
      <c r="D330">
        <v>75.693889534677325</v>
      </c>
      <c r="F330" t="s">
        <v>1473</v>
      </c>
      <c r="G330">
        <v>28.744986231599484</v>
      </c>
      <c r="H330">
        <v>75.693889534677325</v>
      </c>
    </row>
    <row r="331" spans="2:8">
      <c r="B331" t="s">
        <v>744</v>
      </c>
      <c r="C331">
        <v>27.148922044684472</v>
      </c>
      <c r="D331">
        <v>70.588061700804118</v>
      </c>
      <c r="F331" t="s">
        <v>1474</v>
      </c>
      <c r="G331">
        <v>27.148922044684472</v>
      </c>
      <c r="H331">
        <v>70.588061700804118</v>
      </c>
    </row>
    <row r="332" spans="2:8">
      <c r="B332" t="s">
        <v>745</v>
      </c>
      <c r="C332">
        <v>29.159276273167201</v>
      </c>
      <c r="D332">
        <v>73.398080587990734</v>
      </c>
      <c r="F332" t="s">
        <v>1475</v>
      </c>
      <c r="G332">
        <v>29.159276273167201</v>
      </c>
      <c r="H332">
        <v>73.398080587990734</v>
      </c>
    </row>
    <row r="333" spans="2:8">
      <c r="B333" t="s">
        <v>746</v>
      </c>
      <c r="C333">
        <v>27.654611807505106</v>
      </c>
      <c r="D333">
        <v>75.126423964007387</v>
      </c>
      <c r="F333" t="s">
        <v>1476</v>
      </c>
      <c r="G333">
        <v>27.654611807505106</v>
      </c>
      <c r="H333">
        <v>75.126423964007387</v>
      </c>
    </row>
    <row r="334" spans="2:8">
      <c r="B334" t="s">
        <v>747</v>
      </c>
      <c r="C334">
        <v>27.576230136437641</v>
      </c>
      <c r="D334">
        <v>73.380891822506527</v>
      </c>
      <c r="F334" t="s">
        <v>1477</v>
      </c>
      <c r="G334">
        <v>27.576230136437641</v>
      </c>
      <c r="H334">
        <v>73.380891822506527</v>
      </c>
    </row>
    <row r="335" spans="2:8">
      <c r="B335" t="s">
        <v>748</v>
      </c>
      <c r="C335">
        <v>11.068898099656709</v>
      </c>
      <c r="D335">
        <v>71.842743304758585</v>
      </c>
      <c r="F335" t="s">
        <v>1478</v>
      </c>
      <c r="G335">
        <v>11.068898099656709</v>
      </c>
      <c r="H335">
        <v>71.842743304758585</v>
      </c>
    </row>
    <row r="336" spans="2:8">
      <c r="B336" t="s">
        <v>749</v>
      </c>
      <c r="C336">
        <v>12.890615551378485</v>
      </c>
      <c r="D336">
        <v>72.133385027577177</v>
      </c>
      <c r="F336" t="s">
        <v>1479</v>
      </c>
      <c r="G336">
        <v>12.890615551378485</v>
      </c>
      <c r="H336">
        <v>72.133385027577177</v>
      </c>
    </row>
    <row r="337" spans="2:8">
      <c r="B337" t="s">
        <v>750</v>
      </c>
      <c r="C337">
        <v>14.500870941812488</v>
      </c>
      <c r="D337">
        <v>73.301161934079801</v>
      </c>
      <c r="F337" t="s">
        <v>1480</v>
      </c>
      <c r="G337">
        <v>14.500870941812488</v>
      </c>
      <c r="H337">
        <v>73.301161934079801</v>
      </c>
    </row>
    <row r="338" spans="2:8">
      <c r="B338" t="s">
        <v>751</v>
      </c>
      <c r="C338">
        <v>16.937858360197275</v>
      </c>
      <c r="D338">
        <v>72.383149970196371</v>
      </c>
      <c r="F338" t="s">
        <v>1481</v>
      </c>
      <c r="G338">
        <v>16.937858360197275</v>
      </c>
      <c r="H338">
        <v>72.383149970196371</v>
      </c>
    </row>
    <row r="339" spans="2:8">
      <c r="B339" t="s">
        <v>752</v>
      </c>
      <c r="C339">
        <v>15.580799251375479</v>
      </c>
      <c r="D339">
        <v>72.885826415852506</v>
      </c>
      <c r="F339" t="s">
        <v>1482</v>
      </c>
      <c r="G339">
        <v>15.580799251375479</v>
      </c>
      <c r="H339">
        <v>72.885826415852506</v>
      </c>
    </row>
    <row r="340" spans="2:8">
      <c r="B340" t="s">
        <v>753</v>
      </c>
      <c r="C340">
        <v>22.564386597052057</v>
      </c>
      <c r="D340">
        <v>67.565303942781298</v>
      </c>
      <c r="F340" t="s">
        <v>1483</v>
      </c>
      <c r="G340">
        <v>22.564386597052057</v>
      </c>
      <c r="H340">
        <v>67.565303942781298</v>
      </c>
    </row>
    <row r="341" spans="2:8">
      <c r="B341" t="s">
        <v>754</v>
      </c>
      <c r="C341">
        <v>21.843450436836243</v>
      </c>
      <c r="D341">
        <v>68.369225508640312</v>
      </c>
      <c r="F341" t="s">
        <v>1484</v>
      </c>
      <c r="G341">
        <v>21.843450436836243</v>
      </c>
      <c r="H341">
        <v>68.369225508640312</v>
      </c>
    </row>
    <row r="342" spans="2:8">
      <c r="B342" t="s">
        <v>755</v>
      </c>
      <c r="C342">
        <v>18.362408966417828</v>
      </c>
      <c r="D342">
        <v>71.687323687255343</v>
      </c>
      <c r="F342" t="s">
        <v>1485</v>
      </c>
      <c r="G342">
        <v>18.362408966417828</v>
      </c>
      <c r="H342">
        <v>71.687323687255343</v>
      </c>
    </row>
    <row r="343" spans="2:8">
      <c r="B343" t="s">
        <v>756</v>
      </c>
      <c r="C343">
        <v>20.563098426100865</v>
      </c>
      <c r="D343">
        <v>69.523978949454545</v>
      </c>
      <c r="F343" t="s">
        <v>1486</v>
      </c>
      <c r="G343">
        <v>20.563098426100865</v>
      </c>
      <c r="H343">
        <v>69.523978949454545</v>
      </c>
    </row>
    <row r="344" spans="2:8">
      <c r="B344" t="s">
        <v>757</v>
      </c>
      <c r="C344">
        <v>19.444057687436462</v>
      </c>
      <c r="D344">
        <v>70.489223393236372</v>
      </c>
      <c r="F344" t="s">
        <v>1487</v>
      </c>
      <c r="G344">
        <v>19.444057687436462</v>
      </c>
      <c r="H344">
        <v>70.489223393236372</v>
      </c>
    </row>
    <row r="345" spans="2:8">
      <c r="B345" t="s">
        <v>758</v>
      </c>
      <c r="C345">
        <v>20.371266713121692</v>
      </c>
      <c r="D345">
        <v>70.585247722248056</v>
      </c>
      <c r="F345" t="s">
        <v>1488</v>
      </c>
      <c r="G345">
        <v>20.371266713121692</v>
      </c>
      <c r="H345">
        <v>70.585247722248056</v>
      </c>
    </row>
    <row r="346" spans="2:8">
      <c r="B346" t="s">
        <v>759</v>
      </c>
      <c r="C346">
        <v>19.498634613717769</v>
      </c>
      <c r="D346">
        <v>71.468485531282241</v>
      </c>
      <c r="F346" t="s">
        <v>1489</v>
      </c>
      <c r="G346">
        <v>19.498634613717769</v>
      </c>
      <c r="H346">
        <v>71.468485531282241</v>
      </c>
    </row>
    <row r="347" spans="2:8">
      <c r="B347" t="s">
        <v>760</v>
      </c>
      <c r="C347">
        <v>12.57199809549796</v>
      </c>
      <c r="D347">
        <v>80.504533392317782</v>
      </c>
      <c r="F347" t="s">
        <v>1490</v>
      </c>
      <c r="G347">
        <v>12.57199809549796</v>
      </c>
      <c r="H347">
        <v>80.504533392317782</v>
      </c>
    </row>
    <row r="348" spans="2:8">
      <c r="B348" t="s">
        <v>761</v>
      </c>
      <c r="C348">
        <v>10.58438967691929</v>
      </c>
      <c r="D348">
        <v>80.410720845682292</v>
      </c>
      <c r="F348" t="s">
        <v>1491</v>
      </c>
      <c r="G348">
        <v>10.58438967691929</v>
      </c>
      <c r="H348">
        <v>80.410720845682292</v>
      </c>
    </row>
    <row r="349" spans="2:8">
      <c r="B349" t="s">
        <v>762</v>
      </c>
      <c r="C349">
        <v>11.427190805917643</v>
      </c>
      <c r="D349">
        <v>79.947634935599766</v>
      </c>
      <c r="F349" t="s">
        <v>1492</v>
      </c>
      <c r="G349">
        <v>11.427190805917643</v>
      </c>
      <c r="H349">
        <v>79.947634935599766</v>
      </c>
    </row>
    <row r="350" spans="2:8">
      <c r="B350" t="s">
        <v>763</v>
      </c>
      <c r="C350">
        <v>8.5816869575851111</v>
      </c>
      <c r="D350">
        <v>78.91520492542935</v>
      </c>
      <c r="F350" t="s">
        <v>1493</v>
      </c>
      <c r="G350">
        <v>8.5816869575851111</v>
      </c>
      <c r="H350">
        <v>78.91520492542935</v>
      </c>
    </row>
    <row r="351" spans="2:8">
      <c r="B351" t="s">
        <v>764</v>
      </c>
      <c r="C351">
        <v>7.7966596562838326</v>
      </c>
      <c r="D351">
        <v>77.016592958785239</v>
      </c>
      <c r="F351" t="s">
        <v>1494</v>
      </c>
      <c r="G351">
        <v>7.7966596562838326</v>
      </c>
      <c r="H351">
        <v>77.016592958785239</v>
      </c>
    </row>
    <row r="352" spans="2:8">
      <c r="B352" t="s">
        <v>765</v>
      </c>
      <c r="C352">
        <v>7.3707188726535096</v>
      </c>
      <c r="D352">
        <v>77.418385659092905</v>
      </c>
      <c r="F352" t="s">
        <v>1495</v>
      </c>
      <c r="G352">
        <v>7.3707188726535096</v>
      </c>
      <c r="H352">
        <v>77.418385659092905</v>
      </c>
    </row>
    <row r="353" spans="2:8">
      <c r="B353" t="s">
        <v>766</v>
      </c>
      <c r="C353">
        <v>15.257020235184816</v>
      </c>
      <c r="D353">
        <v>80.712625172486895</v>
      </c>
      <c r="F353" t="s">
        <v>1496</v>
      </c>
      <c r="G353">
        <v>15.257020235184816</v>
      </c>
      <c r="H353">
        <v>80.712625172486895</v>
      </c>
    </row>
    <row r="354" spans="2:8">
      <c r="B354" t="s">
        <v>767</v>
      </c>
      <c r="C354">
        <v>17.854854322167657</v>
      </c>
      <c r="D354">
        <v>83.945608235027095</v>
      </c>
      <c r="F354" t="s">
        <v>1497</v>
      </c>
      <c r="G354">
        <v>17.854854322167657</v>
      </c>
      <c r="H354">
        <v>83.945608235027095</v>
      </c>
    </row>
    <row r="355" spans="2:8">
      <c r="B355" t="s">
        <v>768</v>
      </c>
      <c r="C355">
        <v>16.760193191518969</v>
      </c>
      <c r="D355">
        <v>82.735576508982589</v>
      </c>
      <c r="F355" t="s">
        <v>1498</v>
      </c>
      <c r="G355">
        <v>16.760193191518969</v>
      </c>
      <c r="H355">
        <v>82.735576508982589</v>
      </c>
    </row>
    <row r="356" spans="2:8">
      <c r="B356" t="s">
        <v>769</v>
      </c>
      <c r="C356">
        <v>20.60369682782548</v>
      </c>
      <c r="D356">
        <v>88.817161425025134</v>
      </c>
      <c r="F356" t="s">
        <v>1499</v>
      </c>
      <c r="G356">
        <v>20.60369682782548</v>
      </c>
      <c r="H356">
        <v>88.817161425025134</v>
      </c>
    </row>
    <row r="357" spans="2:8">
      <c r="B357" t="s">
        <v>770</v>
      </c>
      <c r="C357">
        <v>20.113583370257921</v>
      </c>
      <c r="D357">
        <v>87.205281355072941</v>
      </c>
      <c r="F357" t="s">
        <v>1500</v>
      </c>
      <c r="G357">
        <v>20.113583370257921</v>
      </c>
      <c r="H357">
        <v>87.205281355072941</v>
      </c>
    </row>
    <row r="358" spans="2:8">
      <c r="B358" t="s">
        <v>771</v>
      </c>
      <c r="C358">
        <v>18.969725043879009</v>
      </c>
      <c r="D358">
        <v>85.22771297280012</v>
      </c>
      <c r="F358" t="s">
        <v>1501</v>
      </c>
      <c r="G358">
        <v>18.969725043879009</v>
      </c>
      <c r="H358">
        <v>85.22771297280012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D0A4-6608-41C4-B372-6ED8F2A1986C}">
  <dimension ref="B9:L358"/>
  <sheetViews>
    <sheetView workbookViewId="0"/>
  </sheetViews>
  <sheetFormatPr defaultRowHeight="14.25"/>
  <sheetData>
    <row r="9" spans="2:12">
      <c r="B9" t="s">
        <v>64</v>
      </c>
      <c r="F9" t="s">
        <v>64</v>
      </c>
      <c r="J9" t="s">
        <v>73</v>
      </c>
    </row>
    <row r="10" spans="2:12">
      <c r="B10" t="s">
        <v>53</v>
      </c>
      <c r="C10" t="s">
        <v>55</v>
      </c>
      <c r="D10" t="s">
        <v>65</v>
      </c>
      <c r="F10" t="s">
        <v>65</v>
      </c>
      <c r="G10" t="s">
        <v>53</v>
      </c>
      <c r="H10" t="s">
        <v>55</v>
      </c>
      <c r="J10" t="s">
        <v>53</v>
      </c>
      <c r="K10" t="s">
        <v>54</v>
      </c>
      <c r="L10" t="s">
        <v>55</v>
      </c>
    </row>
    <row r="11" spans="2:12">
      <c r="B11" t="s">
        <v>423</v>
      </c>
      <c r="C11" t="s">
        <v>424</v>
      </c>
      <c r="D11" t="s">
        <v>424</v>
      </c>
      <c r="F11" t="s">
        <v>424</v>
      </c>
      <c r="G11" t="s">
        <v>772</v>
      </c>
      <c r="H11" t="s">
        <v>773</v>
      </c>
      <c r="J11" t="s">
        <v>801</v>
      </c>
      <c r="K11" t="s">
        <v>802</v>
      </c>
      <c r="L11" t="s">
        <v>802</v>
      </c>
    </row>
    <row r="12" spans="2:12">
      <c r="B12" t="s">
        <v>423</v>
      </c>
      <c r="C12" t="s">
        <v>425</v>
      </c>
      <c r="D12" t="s">
        <v>425</v>
      </c>
      <c r="F12" t="s">
        <v>425</v>
      </c>
      <c r="G12" t="s">
        <v>772</v>
      </c>
      <c r="H12" t="s">
        <v>774</v>
      </c>
      <c r="J12" t="s">
        <v>801</v>
      </c>
      <c r="K12" t="s">
        <v>803</v>
      </c>
      <c r="L12" t="s">
        <v>803</v>
      </c>
    </row>
    <row r="13" spans="2:12">
      <c r="B13" t="s">
        <v>423</v>
      </c>
      <c r="C13" t="s">
        <v>426</v>
      </c>
      <c r="D13" t="s">
        <v>426</v>
      </c>
      <c r="F13" t="s">
        <v>426</v>
      </c>
      <c r="G13" t="s">
        <v>772</v>
      </c>
      <c r="H13" t="s">
        <v>775</v>
      </c>
      <c r="J13" t="s">
        <v>801</v>
      </c>
      <c r="K13" t="s">
        <v>804</v>
      </c>
      <c r="L13" t="s">
        <v>804</v>
      </c>
    </row>
    <row r="14" spans="2:12">
      <c r="B14" t="s">
        <v>423</v>
      </c>
      <c r="C14" t="s">
        <v>427</v>
      </c>
      <c r="D14" t="s">
        <v>427</v>
      </c>
      <c r="F14" t="s">
        <v>427</v>
      </c>
      <c r="G14" t="s">
        <v>772</v>
      </c>
      <c r="H14" t="s">
        <v>776</v>
      </c>
      <c r="J14" t="s">
        <v>801</v>
      </c>
      <c r="K14" t="s">
        <v>805</v>
      </c>
      <c r="L14" t="s">
        <v>805</v>
      </c>
    </row>
    <row r="15" spans="2:12">
      <c r="B15" t="s">
        <v>423</v>
      </c>
      <c r="C15" t="s">
        <v>428</v>
      </c>
      <c r="D15" t="s">
        <v>428</v>
      </c>
      <c r="F15" t="s">
        <v>428</v>
      </c>
      <c r="G15" t="s">
        <v>772</v>
      </c>
      <c r="H15" t="s">
        <v>777</v>
      </c>
      <c r="J15" t="s">
        <v>801</v>
      </c>
      <c r="K15" t="s">
        <v>806</v>
      </c>
      <c r="L15" t="s">
        <v>806</v>
      </c>
    </row>
    <row r="16" spans="2:12">
      <c r="B16" t="s">
        <v>423</v>
      </c>
      <c r="C16" t="s">
        <v>429</v>
      </c>
      <c r="D16" t="s">
        <v>429</v>
      </c>
      <c r="F16" t="s">
        <v>429</v>
      </c>
      <c r="G16" t="s">
        <v>772</v>
      </c>
      <c r="H16" t="s">
        <v>778</v>
      </c>
      <c r="J16" t="s">
        <v>801</v>
      </c>
      <c r="K16" t="s">
        <v>807</v>
      </c>
      <c r="L16" t="s">
        <v>807</v>
      </c>
    </row>
    <row r="17" spans="2:12">
      <c r="B17" t="s">
        <v>423</v>
      </c>
      <c r="C17" t="s">
        <v>430</v>
      </c>
      <c r="D17" t="s">
        <v>430</v>
      </c>
      <c r="F17" t="s">
        <v>430</v>
      </c>
      <c r="G17" t="s">
        <v>772</v>
      </c>
      <c r="H17" t="s">
        <v>779</v>
      </c>
      <c r="J17" t="s">
        <v>801</v>
      </c>
      <c r="K17" t="s">
        <v>808</v>
      </c>
      <c r="L17" t="s">
        <v>808</v>
      </c>
    </row>
    <row r="18" spans="2:12">
      <c r="B18" t="s">
        <v>423</v>
      </c>
      <c r="C18" t="s">
        <v>431</v>
      </c>
      <c r="D18" t="s">
        <v>431</v>
      </c>
      <c r="F18" t="s">
        <v>431</v>
      </c>
      <c r="G18" t="s">
        <v>772</v>
      </c>
      <c r="H18" t="s">
        <v>780</v>
      </c>
      <c r="J18" t="s">
        <v>801</v>
      </c>
      <c r="K18" t="s">
        <v>809</v>
      </c>
      <c r="L18" t="s">
        <v>809</v>
      </c>
    </row>
    <row r="19" spans="2:12">
      <c r="B19" t="s">
        <v>423</v>
      </c>
      <c r="C19" t="s">
        <v>432</v>
      </c>
      <c r="D19" t="s">
        <v>432</v>
      </c>
      <c r="F19" t="s">
        <v>432</v>
      </c>
      <c r="G19" t="s">
        <v>772</v>
      </c>
      <c r="H19" t="s">
        <v>781</v>
      </c>
      <c r="J19" t="s">
        <v>801</v>
      </c>
      <c r="K19" t="s">
        <v>810</v>
      </c>
      <c r="L19" t="s">
        <v>810</v>
      </c>
    </row>
    <row r="20" spans="2:12">
      <c r="B20" t="s">
        <v>423</v>
      </c>
      <c r="C20" t="s">
        <v>433</v>
      </c>
      <c r="D20" t="s">
        <v>433</v>
      </c>
      <c r="F20" t="s">
        <v>433</v>
      </c>
      <c r="G20" t="s">
        <v>772</v>
      </c>
      <c r="H20" t="s">
        <v>773</v>
      </c>
      <c r="J20" t="s">
        <v>801</v>
      </c>
      <c r="K20" t="s">
        <v>811</v>
      </c>
      <c r="L20" t="s">
        <v>811</v>
      </c>
    </row>
    <row r="21" spans="2:12">
      <c r="B21" t="s">
        <v>423</v>
      </c>
      <c r="C21" t="s">
        <v>434</v>
      </c>
      <c r="D21" t="s">
        <v>434</v>
      </c>
      <c r="F21" t="s">
        <v>434</v>
      </c>
      <c r="G21" t="s">
        <v>772</v>
      </c>
      <c r="H21" t="s">
        <v>779</v>
      </c>
      <c r="J21" t="s">
        <v>801</v>
      </c>
      <c r="K21" t="s">
        <v>812</v>
      </c>
      <c r="L21" t="s">
        <v>812</v>
      </c>
    </row>
    <row r="22" spans="2:12">
      <c r="B22" t="s">
        <v>423</v>
      </c>
      <c r="C22" t="s">
        <v>435</v>
      </c>
      <c r="D22" t="s">
        <v>435</v>
      </c>
      <c r="F22" t="s">
        <v>435</v>
      </c>
      <c r="G22" t="s">
        <v>772</v>
      </c>
      <c r="H22" t="s">
        <v>782</v>
      </c>
      <c r="J22" t="s">
        <v>801</v>
      </c>
      <c r="K22" t="s">
        <v>813</v>
      </c>
      <c r="L22" t="s">
        <v>813</v>
      </c>
    </row>
    <row r="23" spans="2:12">
      <c r="B23" t="s">
        <v>423</v>
      </c>
      <c r="C23" t="s">
        <v>436</v>
      </c>
      <c r="D23" t="s">
        <v>436</v>
      </c>
      <c r="F23" t="s">
        <v>436</v>
      </c>
      <c r="G23" t="s">
        <v>772</v>
      </c>
      <c r="H23" t="s">
        <v>782</v>
      </c>
      <c r="J23" t="s">
        <v>801</v>
      </c>
      <c r="K23" t="s">
        <v>814</v>
      </c>
      <c r="L23" t="s">
        <v>814</v>
      </c>
    </row>
    <row r="24" spans="2:12">
      <c r="B24" t="s">
        <v>423</v>
      </c>
      <c r="C24" t="s">
        <v>437</v>
      </c>
      <c r="D24" t="s">
        <v>437</v>
      </c>
      <c r="F24" t="s">
        <v>437</v>
      </c>
      <c r="G24" t="s">
        <v>772</v>
      </c>
      <c r="H24" t="s">
        <v>779</v>
      </c>
      <c r="J24" t="s">
        <v>801</v>
      </c>
      <c r="K24" t="s">
        <v>815</v>
      </c>
      <c r="L24" t="s">
        <v>815</v>
      </c>
    </row>
    <row r="25" spans="2:12">
      <c r="B25" t="s">
        <v>423</v>
      </c>
      <c r="C25" t="s">
        <v>438</v>
      </c>
      <c r="D25" t="s">
        <v>438</v>
      </c>
      <c r="F25" t="s">
        <v>438</v>
      </c>
      <c r="G25" t="s">
        <v>772</v>
      </c>
      <c r="H25" t="s">
        <v>779</v>
      </c>
      <c r="J25" t="s">
        <v>801</v>
      </c>
      <c r="K25" t="s">
        <v>816</v>
      </c>
      <c r="L25" t="s">
        <v>816</v>
      </c>
    </row>
    <row r="26" spans="2:12">
      <c r="B26" t="s">
        <v>423</v>
      </c>
      <c r="C26" t="s">
        <v>439</v>
      </c>
      <c r="D26" t="s">
        <v>439</v>
      </c>
      <c r="F26" t="s">
        <v>439</v>
      </c>
      <c r="G26" t="s">
        <v>772</v>
      </c>
      <c r="H26" t="s">
        <v>783</v>
      </c>
      <c r="J26" t="s">
        <v>801</v>
      </c>
      <c r="K26" t="s">
        <v>817</v>
      </c>
      <c r="L26" t="s">
        <v>817</v>
      </c>
    </row>
    <row r="27" spans="2:12">
      <c r="B27" t="s">
        <v>423</v>
      </c>
      <c r="C27" t="s">
        <v>440</v>
      </c>
      <c r="D27" t="s">
        <v>440</v>
      </c>
      <c r="F27" t="s">
        <v>440</v>
      </c>
      <c r="G27" t="s">
        <v>772</v>
      </c>
      <c r="H27" t="s">
        <v>783</v>
      </c>
      <c r="J27" t="s">
        <v>801</v>
      </c>
      <c r="K27" t="s">
        <v>818</v>
      </c>
      <c r="L27" t="s">
        <v>818</v>
      </c>
    </row>
    <row r="28" spans="2:12">
      <c r="B28" t="s">
        <v>423</v>
      </c>
      <c r="C28" t="s">
        <v>441</v>
      </c>
      <c r="D28" t="s">
        <v>441</v>
      </c>
      <c r="F28" t="s">
        <v>441</v>
      </c>
      <c r="G28" t="s">
        <v>772</v>
      </c>
      <c r="H28" t="s">
        <v>783</v>
      </c>
      <c r="J28" t="s">
        <v>801</v>
      </c>
      <c r="K28" t="s">
        <v>819</v>
      </c>
      <c r="L28" t="s">
        <v>819</v>
      </c>
    </row>
    <row r="29" spans="2:12">
      <c r="B29" t="s">
        <v>423</v>
      </c>
      <c r="C29" t="s">
        <v>442</v>
      </c>
      <c r="D29" t="s">
        <v>442</v>
      </c>
      <c r="F29" t="s">
        <v>442</v>
      </c>
      <c r="G29" t="s">
        <v>772</v>
      </c>
      <c r="H29" t="s">
        <v>783</v>
      </c>
      <c r="J29" t="s">
        <v>801</v>
      </c>
      <c r="K29" t="s">
        <v>820</v>
      </c>
      <c r="L29" t="s">
        <v>820</v>
      </c>
    </row>
    <row r="30" spans="2:12">
      <c r="B30" t="s">
        <v>423</v>
      </c>
      <c r="C30" t="s">
        <v>443</v>
      </c>
      <c r="D30" t="s">
        <v>443</v>
      </c>
      <c r="F30" t="s">
        <v>443</v>
      </c>
      <c r="G30" t="s">
        <v>772</v>
      </c>
      <c r="H30" t="s">
        <v>774</v>
      </c>
      <c r="J30" t="s">
        <v>801</v>
      </c>
      <c r="K30" t="s">
        <v>821</v>
      </c>
      <c r="L30" t="s">
        <v>821</v>
      </c>
    </row>
    <row r="31" spans="2:12">
      <c r="B31" t="s">
        <v>423</v>
      </c>
      <c r="C31" t="s">
        <v>444</v>
      </c>
      <c r="D31" t="s">
        <v>444</v>
      </c>
      <c r="F31" t="s">
        <v>444</v>
      </c>
      <c r="G31" t="s">
        <v>772</v>
      </c>
      <c r="H31" t="s">
        <v>774</v>
      </c>
      <c r="J31" t="s">
        <v>801</v>
      </c>
      <c r="K31" t="s">
        <v>822</v>
      </c>
      <c r="L31" t="s">
        <v>822</v>
      </c>
    </row>
    <row r="32" spans="2:12">
      <c r="B32" t="s">
        <v>423</v>
      </c>
      <c r="C32" t="s">
        <v>445</v>
      </c>
      <c r="D32" t="s">
        <v>445</v>
      </c>
      <c r="F32" t="s">
        <v>445</v>
      </c>
      <c r="G32" t="s">
        <v>772</v>
      </c>
      <c r="H32" t="s">
        <v>782</v>
      </c>
      <c r="J32" t="s">
        <v>801</v>
      </c>
      <c r="K32" t="s">
        <v>823</v>
      </c>
      <c r="L32" t="s">
        <v>823</v>
      </c>
    </row>
    <row r="33" spans="2:12">
      <c r="B33" t="s">
        <v>423</v>
      </c>
      <c r="C33" t="s">
        <v>446</v>
      </c>
      <c r="D33" t="s">
        <v>446</v>
      </c>
      <c r="F33" t="s">
        <v>446</v>
      </c>
      <c r="G33" t="s">
        <v>772</v>
      </c>
      <c r="H33" t="s">
        <v>784</v>
      </c>
      <c r="J33" t="s">
        <v>801</v>
      </c>
      <c r="K33" t="s">
        <v>824</v>
      </c>
      <c r="L33" t="s">
        <v>824</v>
      </c>
    </row>
    <row r="34" spans="2:12">
      <c r="B34" t="s">
        <v>423</v>
      </c>
      <c r="C34" t="s">
        <v>447</v>
      </c>
      <c r="D34" t="s">
        <v>447</v>
      </c>
      <c r="F34" t="s">
        <v>447</v>
      </c>
      <c r="G34" t="s">
        <v>772</v>
      </c>
      <c r="H34" t="s">
        <v>782</v>
      </c>
      <c r="J34" t="s">
        <v>801</v>
      </c>
      <c r="K34" t="s">
        <v>825</v>
      </c>
      <c r="L34" t="s">
        <v>825</v>
      </c>
    </row>
    <row r="35" spans="2:12">
      <c r="B35" t="s">
        <v>423</v>
      </c>
      <c r="C35" t="s">
        <v>448</v>
      </c>
      <c r="D35" t="s">
        <v>448</v>
      </c>
      <c r="F35" t="s">
        <v>448</v>
      </c>
      <c r="G35" t="s">
        <v>772</v>
      </c>
      <c r="H35" t="s">
        <v>782</v>
      </c>
      <c r="J35" t="s">
        <v>801</v>
      </c>
      <c r="K35" t="s">
        <v>826</v>
      </c>
      <c r="L35" t="s">
        <v>826</v>
      </c>
    </row>
    <row r="36" spans="2:12">
      <c r="B36" t="s">
        <v>423</v>
      </c>
      <c r="C36" t="s">
        <v>449</v>
      </c>
      <c r="D36" t="s">
        <v>449</v>
      </c>
      <c r="F36" t="s">
        <v>449</v>
      </c>
      <c r="G36" t="s">
        <v>772</v>
      </c>
      <c r="H36" t="s">
        <v>785</v>
      </c>
      <c r="J36" t="s">
        <v>801</v>
      </c>
      <c r="K36" t="s">
        <v>827</v>
      </c>
      <c r="L36" t="s">
        <v>827</v>
      </c>
    </row>
    <row r="37" spans="2:12">
      <c r="B37" t="s">
        <v>423</v>
      </c>
      <c r="C37" t="s">
        <v>450</v>
      </c>
      <c r="D37" t="s">
        <v>450</v>
      </c>
      <c r="F37" t="s">
        <v>450</v>
      </c>
      <c r="G37" t="s">
        <v>772</v>
      </c>
      <c r="H37" t="s">
        <v>773</v>
      </c>
      <c r="J37" t="s">
        <v>801</v>
      </c>
      <c r="K37" t="s">
        <v>828</v>
      </c>
      <c r="L37" t="s">
        <v>828</v>
      </c>
    </row>
    <row r="38" spans="2:12">
      <c r="B38" t="s">
        <v>423</v>
      </c>
      <c r="C38" t="s">
        <v>451</v>
      </c>
      <c r="D38" t="s">
        <v>451</v>
      </c>
      <c r="F38" t="s">
        <v>451</v>
      </c>
      <c r="G38" t="s">
        <v>772</v>
      </c>
      <c r="H38" t="s">
        <v>774</v>
      </c>
      <c r="J38" t="s">
        <v>801</v>
      </c>
      <c r="K38" t="s">
        <v>829</v>
      </c>
      <c r="L38" t="s">
        <v>829</v>
      </c>
    </row>
    <row r="39" spans="2:12">
      <c r="B39" t="s">
        <v>423</v>
      </c>
      <c r="C39" t="s">
        <v>452</v>
      </c>
      <c r="D39" t="s">
        <v>452</v>
      </c>
      <c r="F39" t="s">
        <v>452</v>
      </c>
      <c r="G39" t="s">
        <v>772</v>
      </c>
      <c r="H39" t="s">
        <v>774</v>
      </c>
      <c r="J39" t="s">
        <v>801</v>
      </c>
      <c r="K39" t="s">
        <v>830</v>
      </c>
      <c r="L39" t="s">
        <v>830</v>
      </c>
    </row>
    <row r="40" spans="2:12">
      <c r="B40" t="s">
        <v>423</v>
      </c>
      <c r="C40" t="s">
        <v>453</v>
      </c>
      <c r="D40" t="s">
        <v>453</v>
      </c>
      <c r="F40" t="s">
        <v>453</v>
      </c>
      <c r="G40" t="s">
        <v>772</v>
      </c>
      <c r="H40" t="s">
        <v>786</v>
      </c>
      <c r="J40" t="s">
        <v>801</v>
      </c>
      <c r="K40" t="s">
        <v>831</v>
      </c>
      <c r="L40" t="s">
        <v>831</v>
      </c>
    </row>
    <row r="41" spans="2:12">
      <c r="B41" t="s">
        <v>423</v>
      </c>
      <c r="C41" t="s">
        <v>454</v>
      </c>
      <c r="D41" t="s">
        <v>454</v>
      </c>
      <c r="F41" t="s">
        <v>454</v>
      </c>
      <c r="G41" t="s">
        <v>772</v>
      </c>
      <c r="H41" t="s">
        <v>782</v>
      </c>
      <c r="J41" t="s">
        <v>801</v>
      </c>
      <c r="K41" t="s">
        <v>832</v>
      </c>
      <c r="L41" t="s">
        <v>832</v>
      </c>
    </row>
    <row r="42" spans="2:12">
      <c r="B42" t="s">
        <v>423</v>
      </c>
      <c r="C42" t="s">
        <v>455</v>
      </c>
      <c r="D42" t="s">
        <v>455</v>
      </c>
      <c r="F42" t="s">
        <v>455</v>
      </c>
      <c r="G42" t="s">
        <v>772</v>
      </c>
      <c r="H42" t="s">
        <v>773</v>
      </c>
      <c r="J42" t="s">
        <v>801</v>
      </c>
      <c r="K42" t="s">
        <v>833</v>
      </c>
      <c r="L42" t="s">
        <v>833</v>
      </c>
    </row>
    <row r="43" spans="2:12">
      <c r="B43" t="s">
        <v>423</v>
      </c>
      <c r="C43" t="s">
        <v>456</v>
      </c>
      <c r="D43" t="s">
        <v>456</v>
      </c>
      <c r="F43" t="s">
        <v>456</v>
      </c>
      <c r="G43" t="s">
        <v>772</v>
      </c>
      <c r="H43" t="s">
        <v>787</v>
      </c>
      <c r="J43" t="s">
        <v>801</v>
      </c>
      <c r="K43" t="s">
        <v>834</v>
      </c>
      <c r="L43" t="s">
        <v>834</v>
      </c>
    </row>
    <row r="44" spans="2:12">
      <c r="B44" t="s">
        <v>423</v>
      </c>
      <c r="C44" t="s">
        <v>457</v>
      </c>
      <c r="D44" t="s">
        <v>457</v>
      </c>
      <c r="F44" t="s">
        <v>457</v>
      </c>
      <c r="G44" t="s">
        <v>772</v>
      </c>
      <c r="H44" t="s">
        <v>786</v>
      </c>
      <c r="J44" t="s">
        <v>801</v>
      </c>
      <c r="K44" t="s">
        <v>835</v>
      </c>
      <c r="L44" t="s">
        <v>835</v>
      </c>
    </row>
    <row r="45" spans="2:12">
      <c r="B45" t="s">
        <v>423</v>
      </c>
      <c r="C45" t="s">
        <v>458</v>
      </c>
      <c r="D45" t="s">
        <v>458</v>
      </c>
      <c r="F45" t="s">
        <v>458</v>
      </c>
      <c r="G45" t="s">
        <v>772</v>
      </c>
      <c r="H45" t="s">
        <v>775</v>
      </c>
      <c r="J45" t="s">
        <v>801</v>
      </c>
      <c r="K45" t="s">
        <v>836</v>
      </c>
      <c r="L45" t="s">
        <v>836</v>
      </c>
    </row>
    <row r="46" spans="2:12">
      <c r="B46" t="s">
        <v>423</v>
      </c>
      <c r="C46" t="s">
        <v>459</v>
      </c>
      <c r="D46" t="s">
        <v>459</v>
      </c>
      <c r="F46" t="s">
        <v>459</v>
      </c>
      <c r="G46" t="s">
        <v>772</v>
      </c>
      <c r="H46" t="s">
        <v>786</v>
      </c>
      <c r="J46" t="s">
        <v>801</v>
      </c>
      <c r="K46" t="s">
        <v>837</v>
      </c>
      <c r="L46" t="s">
        <v>837</v>
      </c>
    </row>
    <row r="47" spans="2:12">
      <c r="B47" t="s">
        <v>423</v>
      </c>
      <c r="C47" t="s">
        <v>460</v>
      </c>
      <c r="D47" t="s">
        <v>460</v>
      </c>
      <c r="F47" t="s">
        <v>460</v>
      </c>
      <c r="G47" t="s">
        <v>772</v>
      </c>
      <c r="H47" t="s">
        <v>786</v>
      </c>
      <c r="J47" t="s">
        <v>801</v>
      </c>
      <c r="K47" t="s">
        <v>838</v>
      </c>
      <c r="L47" t="s">
        <v>838</v>
      </c>
    </row>
    <row r="48" spans="2:12">
      <c r="B48" t="s">
        <v>423</v>
      </c>
      <c r="C48" t="s">
        <v>461</v>
      </c>
      <c r="D48" t="s">
        <v>461</v>
      </c>
      <c r="F48" t="s">
        <v>461</v>
      </c>
      <c r="G48" t="s">
        <v>772</v>
      </c>
      <c r="H48" t="s">
        <v>786</v>
      </c>
      <c r="J48" t="s">
        <v>801</v>
      </c>
      <c r="K48" t="s">
        <v>839</v>
      </c>
      <c r="L48" t="s">
        <v>839</v>
      </c>
    </row>
    <row r="49" spans="2:12">
      <c r="B49" t="s">
        <v>423</v>
      </c>
      <c r="C49" t="s">
        <v>462</v>
      </c>
      <c r="D49" t="s">
        <v>462</v>
      </c>
      <c r="F49" t="s">
        <v>462</v>
      </c>
      <c r="G49" t="s">
        <v>772</v>
      </c>
      <c r="H49" t="s">
        <v>782</v>
      </c>
      <c r="J49" t="s">
        <v>801</v>
      </c>
      <c r="K49" t="s">
        <v>840</v>
      </c>
      <c r="L49" t="s">
        <v>840</v>
      </c>
    </row>
    <row r="50" spans="2:12">
      <c r="B50" t="s">
        <v>423</v>
      </c>
      <c r="C50" t="s">
        <v>463</v>
      </c>
      <c r="D50" t="s">
        <v>463</v>
      </c>
      <c r="F50" t="s">
        <v>463</v>
      </c>
      <c r="G50" t="s">
        <v>772</v>
      </c>
      <c r="H50" t="s">
        <v>779</v>
      </c>
      <c r="J50" t="s">
        <v>801</v>
      </c>
      <c r="K50" t="s">
        <v>841</v>
      </c>
      <c r="L50" t="s">
        <v>841</v>
      </c>
    </row>
    <row r="51" spans="2:12">
      <c r="B51" t="s">
        <v>423</v>
      </c>
      <c r="C51" t="s">
        <v>464</v>
      </c>
      <c r="D51" t="s">
        <v>464</v>
      </c>
      <c r="F51" t="s">
        <v>464</v>
      </c>
      <c r="G51" t="s">
        <v>772</v>
      </c>
      <c r="H51" t="s">
        <v>779</v>
      </c>
      <c r="J51" t="s">
        <v>801</v>
      </c>
      <c r="K51" t="s">
        <v>842</v>
      </c>
      <c r="L51" t="s">
        <v>842</v>
      </c>
    </row>
    <row r="52" spans="2:12">
      <c r="B52" t="s">
        <v>423</v>
      </c>
      <c r="C52" t="s">
        <v>465</v>
      </c>
      <c r="D52" t="s">
        <v>465</v>
      </c>
      <c r="F52" t="s">
        <v>465</v>
      </c>
      <c r="G52" t="s">
        <v>772</v>
      </c>
      <c r="H52" t="s">
        <v>788</v>
      </c>
      <c r="J52" t="s">
        <v>801</v>
      </c>
      <c r="K52" t="s">
        <v>843</v>
      </c>
      <c r="L52" t="s">
        <v>843</v>
      </c>
    </row>
    <row r="53" spans="2:12">
      <c r="B53" t="s">
        <v>423</v>
      </c>
      <c r="C53" t="s">
        <v>466</v>
      </c>
      <c r="D53" t="s">
        <v>466</v>
      </c>
      <c r="F53" t="s">
        <v>466</v>
      </c>
      <c r="G53" t="s">
        <v>772</v>
      </c>
      <c r="H53" t="s">
        <v>775</v>
      </c>
      <c r="J53" t="s">
        <v>801</v>
      </c>
      <c r="K53" t="s">
        <v>844</v>
      </c>
      <c r="L53" t="s">
        <v>844</v>
      </c>
    </row>
    <row r="54" spans="2:12">
      <c r="B54" t="s">
        <v>423</v>
      </c>
      <c r="C54" t="s">
        <v>467</v>
      </c>
      <c r="D54" t="s">
        <v>467</v>
      </c>
      <c r="F54" t="s">
        <v>467</v>
      </c>
      <c r="G54" t="s">
        <v>772</v>
      </c>
      <c r="H54" t="s">
        <v>789</v>
      </c>
      <c r="J54" t="s">
        <v>801</v>
      </c>
      <c r="K54" t="s">
        <v>845</v>
      </c>
      <c r="L54" t="s">
        <v>845</v>
      </c>
    </row>
    <row r="55" spans="2:12">
      <c r="B55" t="s">
        <v>423</v>
      </c>
      <c r="C55" t="s">
        <v>468</v>
      </c>
      <c r="D55" t="s">
        <v>468</v>
      </c>
      <c r="F55" t="s">
        <v>468</v>
      </c>
      <c r="G55" t="s">
        <v>772</v>
      </c>
      <c r="H55" t="s">
        <v>788</v>
      </c>
      <c r="J55" t="s">
        <v>801</v>
      </c>
      <c r="K55" t="s">
        <v>846</v>
      </c>
      <c r="L55" t="s">
        <v>846</v>
      </c>
    </row>
    <row r="56" spans="2:12">
      <c r="B56" t="s">
        <v>423</v>
      </c>
      <c r="C56" t="s">
        <v>469</v>
      </c>
      <c r="D56" t="s">
        <v>469</v>
      </c>
      <c r="F56" t="s">
        <v>469</v>
      </c>
      <c r="G56" t="s">
        <v>772</v>
      </c>
      <c r="H56" t="s">
        <v>790</v>
      </c>
      <c r="J56" t="s">
        <v>801</v>
      </c>
      <c r="K56" t="s">
        <v>847</v>
      </c>
      <c r="L56" t="s">
        <v>847</v>
      </c>
    </row>
    <row r="57" spans="2:12">
      <c r="B57" t="s">
        <v>423</v>
      </c>
      <c r="C57" t="s">
        <v>470</v>
      </c>
      <c r="D57" t="s">
        <v>470</v>
      </c>
      <c r="F57" t="s">
        <v>470</v>
      </c>
      <c r="G57" t="s">
        <v>772</v>
      </c>
      <c r="H57" t="s">
        <v>791</v>
      </c>
      <c r="J57" t="s">
        <v>801</v>
      </c>
      <c r="K57" t="s">
        <v>848</v>
      </c>
      <c r="L57" t="s">
        <v>848</v>
      </c>
    </row>
    <row r="58" spans="2:12">
      <c r="B58" t="s">
        <v>423</v>
      </c>
      <c r="C58" t="s">
        <v>471</v>
      </c>
      <c r="D58" t="s">
        <v>471</v>
      </c>
      <c r="F58" t="s">
        <v>471</v>
      </c>
      <c r="G58" t="s">
        <v>772</v>
      </c>
      <c r="H58" t="s">
        <v>792</v>
      </c>
      <c r="J58" t="s">
        <v>801</v>
      </c>
      <c r="K58" t="s">
        <v>849</v>
      </c>
      <c r="L58" t="s">
        <v>849</v>
      </c>
    </row>
    <row r="59" spans="2:12">
      <c r="B59" t="s">
        <v>423</v>
      </c>
      <c r="C59" t="s">
        <v>472</v>
      </c>
      <c r="D59" t="s">
        <v>472</v>
      </c>
      <c r="F59" t="s">
        <v>472</v>
      </c>
      <c r="G59" t="s">
        <v>772</v>
      </c>
      <c r="H59" t="s">
        <v>793</v>
      </c>
      <c r="J59" t="s">
        <v>801</v>
      </c>
      <c r="K59" t="s">
        <v>850</v>
      </c>
      <c r="L59" t="s">
        <v>850</v>
      </c>
    </row>
    <row r="60" spans="2:12">
      <c r="B60" t="s">
        <v>423</v>
      </c>
      <c r="C60" t="s">
        <v>473</v>
      </c>
      <c r="D60" t="s">
        <v>473</v>
      </c>
      <c r="F60" t="s">
        <v>473</v>
      </c>
      <c r="G60" t="s">
        <v>772</v>
      </c>
      <c r="H60" t="s">
        <v>794</v>
      </c>
      <c r="J60" t="s">
        <v>801</v>
      </c>
      <c r="K60" t="s">
        <v>851</v>
      </c>
      <c r="L60" t="s">
        <v>851</v>
      </c>
    </row>
    <row r="61" spans="2:12">
      <c r="B61" t="s">
        <v>423</v>
      </c>
      <c r="C61" t="s">
        <v>474</v>
      </c>
      <c r="D61" t="s">
        <v>474</v>
      </c>
      <c r="F61" t="s">
        <v>474</v>
      </c>
      <c r="G61" t="s">
        <v>772</v>
      </c>
      <c r="H61" t="s">
        <v>795</v>
      </c>
      <c r="J61" t="s">
        <v>801</v>
      </c>
      <c r="K61" t="s">
        <v>852</v>
      </c>
      <c r="L61" t="s">
        <v>852</v>
      </c>
    </row>
    <row r="62" spans="2:12">
      <c r="B62" t="s">
        <v>423</v>
      </c>
      <c r="C62" t="s">
        <v>475</v>
      </c>
      <c r="D62" t="s">
        <v>475</v>
      </c>
      <c r="F62" t="s">
        <v>475</v>
      </c>
      <c r="G62" t="s">
        <v>772</v>
      </c>
      <c r="H62" t="s">
        <v>795</v>
      </c>
      <c r="J62" t="s">
        <v>801</v>
      </c>
      <c r="K62" t="s">
        <v>853</v>
      </c>
      <c r="L62" t="s">
        <v>853</v>
      </c>
    </row>
    <row r="63" spans="2:12">
      <c r="B63" t="s">
        <v>423</v>
      </c>
      <c r="C63" t="s">
        <v>476</v>
      </c>
      <c r="D63" t="s">
        <v>476</v>
      </c>
      <c r="F63" t="s">
        <v>476</v>
      </c>
      <c r="G63" t="s">
        <v>772</v>
      </c>
      <c r="H63" t="s">
        <v>778</v>
      </c>
      <c r="J63" t="s">
        <v>801</v>
      </c>
      <c r="K63" t="s">
        <v>854</v>
      </c>
      <c r="L63" t="s">
        <v>854</v>
      </c>
    </row>
    <row r="64" spans="2:12">
      <c r="B64" t="s">
        <v>423</v>
      </c>
      <c r="C64" t="s">
        <v>477</v>
      </c>
      <c r="D64" t="s">
        <v>477</v>
      </c>
      <c r="F64" t="s">
        <v>477</v>
      </c>
      <c r="G64" t="s">
        <v>772</v>
      </c>
      <c r="H64" t="s">
        <v>792</v>
      </c>
      <c r="J64" t="s">
        <v>801</v>
      </c>
      <c r="K64" t="s">
        <v>855</v>
      </c>
      <c r="L64" t="s">
        <v>855</v>
      </c>
    </row>
    <row r="65" spans="2:12">
      <c r="B65" t="s">
        <v>423</v>
      </c>
      <c r="C65" t="s">
        <v>478</v>
      </c>
      <c r="D65" t="s">
        <v>478</v>
      </c>
      <c r="F65" t="s">
        <v>478</v>
      </c>
      <c r="G65" t="s">
        <v>772</v>
      </c>
      <c r="H65" t="s">
        <v>788</v>
      </c>
      <c r="J65" t="s">
        <v>801</v>
      </c>
      <c r="K65" t="s">
        <v>856</v>
      </c>
      <c r="L65" t="s">
        <v>856</v>
      </c>
    </row>
    <row r="66" spans="2:12">
      <c r="B66" t="s">
        <v>423</v>
      </c>
      <c r="C66" t="s">
        <v>479</v>
      </c>
      <c r="D66" t="s">
        <v>479</v>
      </c>
      <c r="F66" t="s">
        <v>479</v>
      </c>
      <c r="G66" t="s">
        <v>772</v>
      </c>
      <c r="H66" t="s">
        <v>795</v>
      </c>
      <c r="J66" t="s">
        <v>801</v>
      </c>
      <c r="K66" t="s">
        <v>857</v>
      </c>
      <c r="L66" t="s">
        <v>857</v>
      </c>
    </row>
    <row r="67" spans="2:12">
      <c r="B67" t="s">
        <v>423</v>
      </c>
      <c r="C67" t="s">
        <v>480</v>
      </c>
      <c r="D67" t="s">
        <v>480</v>
      </c>
      <c r="F67" t="s">
        <v>480</v>
      </c>
      <c r="G67" t="s">
        <v>772</v>
      </c>
      <c r="H67" t="s">
        <v>780</v>
      </c>
      <c r="J67" t="s">
        <v>801</v>
      </c>
      <c r="K67" t="s">
        <v>858</v>
      </c>
      <c r="L67" t="s">
        <v>858</v>
      </c>
    </row>
    <row r="68" spans="2:12">
      <c r="B68" t="s">
        <v>423</v>
      </c>
      <c r="C68" t="s">
        <v>481</v>
      </c>
      <c r="D68" t="s">
        <v>481</v>
      </c>
      <c r="F68" t="s">
        <v>481</v>
      </c>
      <c r="G68" t="s">
        <v>772</v>
      </c>
      <c r="H68" t="s">
        <v>796</v>
      </c>
      <c r="J68" t="s">
        <v>801</v>
      </c>
      <c r="K68" t="s">
        <v>859</v>
      </c>
      <c r="L68" t="s">
        <v>859</v>
      </c>
    </row>
    <row r="69" spans="2:12">
      <c r="B69" t="s">
        <v>423</v>
      </c>
      <c r="C69" t="s">
        <v>482</v>
      </c>
      <c r="D69" t="s">
        <v>482</v>
      </c>
      <c r="F69" t="s">
        <v>482</v>
      </c>
      <c r="G69" t="s">
        <v>772</v>
      </c>
      <c r="H69" t="s">
        <v>781</v>
      </c>
      <c r="J69" t="s">
        <v>801</v>
      </c>
      <c r="K69" t="s">
        <v>860</v>
      </c>
      <c r="L69" t="s">
        <v>860</v>
      </c>
    </row>
    <row r="70" spans="2:12">
      <c r="B70" t="s">
        <v>423</v>
      </c>
      <c r="C70" t="s">
        <v>483</v>
      </c>
      <c r="D70" t="s">
        <v>483</v>
      </c>
      <c r="F70" t="s">
        <v>483</v>
      </c>
      <c r="G70" t="s">
        <v>772</v>
      </c>
      <c r="H70" t="s">
        <v>796</v>
      </c>
      <c r="J70" t="s">
        <v>801</v>
      </c>
      <c r="K70" t="s">
        <v>861</v>
      </c>
      <c r="L70" t="s">
        <v>861</v>
      </c>
    </row>
    <row r="71" spans="2:12">
      <c r="B71" t="s">
        <v>423</v>
      </c>
      <c r="C71" t="s">
        <v>484</v>
      </c>
      <c r="D71" t="s">
        <v>484</v>
      </c>
      <c r="F71" t="s">
        <v>484</v>
      </c>
      <c r="G71" t="s">
        <v>772</v>
      </c>
      <c r="H71" t="s">
        <v>796</v>
      </c>
      <c r="J71" t="s">
        <v>801</v>
      </c>
      <c r="K71" t="s">
        <v>862</v>
      </c>
      <c r="L71" t="s">
        <v>862</v>
      </c>
    </row>
    <row r="72" spans="2:12">
      <c r="B72" t="s">
        <v>423</v>
      </c>
      <c r="C72" t="s">
        <v>485</v>
      </c>
      <c r="D72" t="s">
        <v>485</v>
      </c>
      <c r="F72" t="s">
        <v>485</v>
      </c>
      <c r="G72" t="s">
        <v>772</v>
      </c>
      <c r="H72" t="s">
        <v>774</v>
      </c>
      <c r="J72" t="s">
        <v>801</v>
      </c>
      <c r="K72" t="s">
        <v>863</v>
      </c>
      <c r="L72" t="s">
        <v>863</v>
      </c>
    </row>
    <row r="73" spans="2:12">
      <c r="B73" t="s">
        <v>423</v>
      </c>
      <c r="C73" t="s">
        <v>486</v>
      </c>
      <c r="D73" t="s">
        <v>486</v>
      </c>
      <c r="F73" t="s">
        <v>486</v>
      </c>
      <c r="G73" t="s">
        <v>772</v>
      </c>
      <c r="H73" t="s">
        <v>783</v>
      </c>
      <c r="J73" t="s">
        <v>801</v>
      </c>
      <c r="K73" t="s">
        <v>864</v>
      </c>
      <c r="L73" t="s">
        <v>864</v>
      </c>
    </row>
    <row r="74" spans="2:12">
      <c r="B74" t="s">
        <v>423</v>
      </c>
      <c r="C74" t="s">
        <v>487</v>
      </c>
      <c r="D74" t="s">
        <v>487</v>
      </c>
      <c r="F74" t="s">
        <v>487</v>
      </c>
      <c r="G74" t="s">
        <v>772</v>
      </c>
      <c r="H74" t="s">
        <v>781</v>
      </c>
      <c r="J74" t="s">
        <v>801</v>
      </c>
      <c r="K74" t="s">
        <v>865</v>
      </c>
      <c r="L74" t="s">
        <v>865</v>
      </c>
    </row>
    <row r="75" spans="2:12">
      <c r="B75" t="s">
        <v>423</v>
      </c>
      <c r="C75" t="s">
        <v>488</v>
      </c>
      <c r="D75" t="s">
        <v>488</v>
      </c>
      <c r="F75" t="s">
        <v>488</v>
      </c>
      <c r="G75" t="s">
        <v>772</v>
      </c>
      <c r="H75" t="s">
        <v>796</v>
      </c>
      <c r="J75" t="s">
        <v>801</v>
      </c>
      <c r="K75" t="s">
        <v>866</v>
      </c>
      <c r="L75" t="s">
        <v>866</v>
      </c>
    </row>
    <row r="76" spans="2:12">
      <c r="B76" t="s">
        <v>423</v>
      </c>
      <c r="C76" t="s">
        <v>489</v>
      </c>
      <c r="D76" t="s">
        <v>489</v>
      </c>
      <c r="F76" t="s">
        <v>489</v>
      </c>
      <c r="G76" t="s">
        <v>772</v>
      </c>
      <c r="H76" t="s">
        <v>789</v>
      </c>
      <c r="J76" t="s">
        <v>801</v>
      </c>
      <c r="K76" t="s">
        <v>867</v>
      </c>
      <c r="L76" t="s">
        <v>867</v>
      </c>
    </row>
    <row r="77" spans="2:12">
      <c r="B77" t="s">
        <v>423</v>
      </c>
      <c r="C77" t="s">
        <v>490</v>
      </c>
      <c r="D77" t="s">
        <v>490</v>
      </c>
      <c r="F77" t="s">
        <v>490</v>
      </c>
      <c r="G77" t="s">
        <v>772</v>
      </c>
      <c r="H77" t="s">
        <v>781</v>
      </c>
      <c r="J77" t="s">
        <v>801</v>
      </c>
      <c r="K77" t="s">
        <v>868</v>
      </c>
      <c r="L77" t="s">
        <v>868</v>
      </c>
    </row>
    <row r="78" spans="2:12">
      <c r="B78" t="s">
        <v>423</v>
      </c>
      <c r="C78" t="s">
        <v>491</v>
      </c>
      <c r="D78" t="s">
        <v>491</v>
      </c>
      <c r="F78" t="s">
        <v>491</v>
      </c>
      <c r="G78" t="s">
        <v>772</v>
      </c>
      <c r="H78" t="s">
        <v>789</v>
      </c>
      <c r="J78" t="s">
        <v>801</v>
      </c>
      <c r="K78" t="s">
        <v>869</v>
      </c>
      <c r="L78" t="s">
        <v>869</v>
      </c>
    </row>
    <row r="79" spans="2:12">
      <c r="B79" t="s">
        <v>423</v>
      </c>
      <c r="C79" t="s">
        <v>492</v>
      </c>
      <c r="D79" t="s">
        <v>492</v>
      </c>
      <c r="F79" t="s">
        <v>492</v>
      </c>
      <c r="G79" t="s">
        <v>772</v>
      </c>
      <c r="H79" t="s">
        <v>783</v>
      </c>
      <c r="J79" t="s">
        <v>801</v>
      </c>
      <c r="K79" t="s">
        <v>870</v>
      </c>
      <c r="L79" t="s">
        <v>870</v>
      </c>
    </row>
    <row r="80" spans="2:12">
      <c r="B80" t="s">
        <v>423</v>
      </c>
      <c r="C80" t="s">
        <v>493</v>
      </c>
      <c r="D80" t="s">
        <v>493</v>
      </c>
      <c r="F80" t="s">
        <v>493</v>
      </c>
      <c r="G80" t="s">
        <v>772</v>
      </c>
      <c r="H80" t="s">
        <v>783</v>
      </c>
      <c r="J80" t="s">
        <v>801</v>
      </c>
      <c r="K80" t="s">
        <v>871</v>
      </c>
      <c r="L80" t="s">
        <v>871</v>
      </c>
    </row>
    <row r="81" spans="2:12">
      <c r="B81" t="s">
        <v>423</v>
      </c>
      <c r="C81" t="s">
        <v>494</v>
      </c>
      <c r="D81" t="s">
        <v>494</v>
      </c>
      <c r="F81" t="s">
        <v>494</v>
      </c>
      <c r="G81" t="s">
        <v>772</v>
      </c>
      <c r="H81" t="s">
        <v>783</v>
      </c>
      <c r="J81" t="s">
        <v>801</v>
      </c>
      <c r="K81" t="s">
        <v>872</v>
      </c>
      <c r="L81" t="s">
        <v>872</v>
      </c>
    </row>
    <row r="82" spans="2:12">
      <c r="B82" t="s">
        <v>423</v>
      </c>
      <c r="C82" t="s">
        <v>495</v>
      </c>
      <c r="D82" t="s">
        <v>495</v>
      </c>
      <c r="F82" t="s">
        <v>495</v>
      </c>
      <c r="G82" t="s">
        <v>772</v>
      </c>
      <c r="H82" t="s">
        <v>797</v>
      </c>
      <c r="J82" t="s">
        <v>801</v>
      </c>
      <c r="K82" t="s">
        <v>873</v>
      </c>
      <c r="L82" t="s">
        <v>873</v>
      </c>
    </row>
    <row r="83" spans="2:12">
      <c r="B83" t="s">
        <v>423</v>
      </c>
      <c r="C83" t="s">
        <v>496</v>
      </c>
      <c r="D83" t="s">
        <v>496</v>
      </c>
      <c r="F83" t="s">
        <v>496</v>
      </c>
      <c r="G83" t="s">
        <v>772</v>
      </c>
      <c r="H83" t="s">
        <v>797</v>
      </c>
      <c r="J83" t="s">
        <v>801</v>
      </c>
      <c r="K83" t="s">
        <v>874</v>
      </c>
      <c r="L83" t="s">
        <v>874</v>
      </c>
    </row>
    <row r="84" spans="2:12">
      <c r="B84" t="s">
        <v>423</v>
      </c>
      <c r="C84" t="s">
        <v>497</v>
      </c>
      <c r="D84" t="s">
        <v>497</v>
      </c>
      <c r="F84" t="s">
        <v>497</v>
      </c>
      <c r="G84" t="s">
        <v>772</v>
      </c>
      <c r="H84" t="s">
        <v>777</v>
      </c>
      <c r="J84" t="s">
        <v>801</v>
      </c>
      <c r="K84" t="s">
        <v>875</v>
      </c>
      <c r="L84" t="s">
        <v>875</v>
      </c>
    </row>
    <row r="85" spans="2:12">
      <c r="B85" t="s">
        <v>423</v>
      </c>
      <c r="C85" t="s">
        <v>498</v>
      </c>
      <c r="D85" t="s">
        <v>498</v>
      </c>
      <c r="F85" t="s">
        <v>498</v>
      </c>
      <c r="G85" t="s">
        <v>772</v>
      </c>
      <c r="H85" t="s">
        <v>783</v>
      </c>
      <c r="J85" t="s">
        <v>801</v>
      </c>
      <c r="K85" t="s">
        <v>876</v>
      </c>
      <c r="L85" t="s">
        <v>876</v>
      </c>
    </row>
    <row r="86" spans="2:12">
      <c r="B86" t="s">
        <v>423</v>
      </c>
      <c r="C86" t="s">
        <v>499</v>
      </c>
      <c r="D86" t="s">
        <v>499</v>
      </c>
      <c r="F86" t="s">
        <v>499</v>
      </c>
      <c r="G86" t="s">
        <v>772</v>
      </c>
      <c r="H86" t="s">
        <v>780</v>
      </c>
      <c r="J86" t="s">
        <v>801</v>
      </c>
      <c r="K86" t="s">
        <v>877</v>
      </c>
      <c r="L86" t="s">
        <v>877</v>
      </c>
    </row>
    <row r="87" spans="2:12">
      <c r="B87" t="s">
        <v>423</v>
      </c>
      <c r="C87" t="s">
        <v>500</v>
      </c>
      <c r="D87" t="s">
        <v>500</v>
      </c>
      <c r="F87" t="s">
        <v>500</v>
      </c>
      <c r="G87" t="s">
        <v>772</v>
      </c>
      <c r="H87" t="s">
        <v>777</v>
      </c>
      <c r="J87" t="s">
        <v>801</v>
      </c>
      <c r="K87" t="s">
        <v>878</v>
      </c>
      <c r="L87" t="s">
        <v>878</v>
      </c>
    </row>
    <row r="88" spans="2:12">
      <c r="B88" t="s">
        <v>423</v>
      </c>
      <c r="C88" t="s">
        <v>501</v>
      </c>
      <c r="D88" t="s">
        <v>501</v>
      </c>
      <c r="F88" t="s">
        <v>501</v>
      </c>
      <c r="G88" t="s">
        <v>772</v>
      </c>
      <c r="H88" t="s">
        <v>776</v>
      </c>
      <c r="J88" t="s">
        <v>801</v>
      </c>
      <c r="K88" t="s">
        <v>879</v>
      </c>
      <c r="L88" t="s">
        <v>879</v>
      </c>
    </row>
    <row r="89" spans="2:12">
      <c r="B89" t="s">
        <v>423</v>
      </c>
      <c r="C89" t="s">
        <v>502</v>
      </c>
      <c r="D89" t="s">
        <v>502</v>
      </c>
      <c r="F89" t="s">
        <v>502</v>
      </c>
      <c r="G89" t="s">
        <v>772</v>
      </c>
      <c r="H89" t="s">
        <v>780</v>
      </c>
      <c r="J89" t="s">
        <v>801</v>
      </c>
      <c r="K89" t="s">
        <v>880</v>
      </c>
      <c r="L89" t="s">
        <v>880</v>
      </c>
    </row>
    <row r="90" spans="2:12">
      <c r="B90" t="s">
        <v>423</v>
      </c>
      <c r="C90" t="s">
        <v>503</v>
      </c>
      <c r="D90" t="s">
        <v>503</v>
      </c>
      <c r="F90" t="s">
        <v>503</v>
      </c>
      <c r="G90" t="s">
        <v>772</v>
      </c>
      <c r="H90" t="s">
        <v>780</v>
      </c>
      <c r="J90" t="s">
        <v>801</v>
      </c>
      <c r="K90" t="s">
        <v>881</v>
      </c>
      <c r="L90" t="s">
        <v>881</v>
      </c>
    </row>
    <row r="91" spans="2:12">
      <c r="B91" t="s">
        <v>423</v>
      </c>
      <c r="C91" t="s">
        <v>504</v>
      </c>
      <c r="D91" t="s">
        <v>504</v>
      </c>
      <c r="F91" t="s">
        <v>504</v>
      </c>
      <c r="G91" t="s">
        <v>772</v>
      </c>
      <c r="H91" t="s">
        <v>776</v>
      </c>
      <c r="J91" t="s">
        <v>801</v>
      </c>
      <c r="K91" t="s">
        <v>882</v>
      </c>
      <c r="L91" t="s">
        <v>882</v>
      </c>
    </row>
    <row r="92" spans="2:12">
      <c r="B92" t="s">
        <v>423</v>
      </c>
      <c r="C92" t="s">
        <v>505</v>
      </c>
      <c r="D92" t="s">
        <v>505</v>
      </c>
      <c r="F92" t="s">
        <v>505</v>
      </c>
      <c r="G92" t="s">
        <v>772</v>
      </c>
      <c r="H92" t="s">
        <v>776</v>
      </c>
      <c r="J92" t="s">
        <v>801</v>
      </c>
      <c r="K92" t="s">
        <v>883</v>
      </c>
      <c r="L92" t="s">
        <v>883</v>
      </c>
    </row>
    <row r="93" spans="2:12">
      <c r="B93" t="s">
        <v>423</v>
      </c>
      <c r="C93" t="s">
        <v>506</v>
      </c>
      <c r="D93" t="s">
        <v>506</v>
      </c>
      <c r="F93" t="s">
        <v>506</v>
      </c>
      <c r="G93" t="s">
        <v>772</v>
      </c>
      <c r="H93" t="s">
        <v>776</v>
      </c>
      <c r="J93" t="s">
        <v>801</v>
      </c>
      <c r="K93" t="s">
        <v>884</v>
      </c>
      <c r="L93" t="s">
        <v>884</v>
      </c>
    </row>
    <row r="94" spans="2:12">
      <c r="B94" t="s">
        <v>423</v>
      </c>
      <c r="C94" t="s">
        <v>507</v>
      </c>
      <c r="D94" t="s">
        <v>507</v>
      </c>
      <c r="F94" t="s">
        <v>507</v>
      </c>
      <c r="G94" t="s">
        <v>772</v>
      </c>
      <c r="H94" t="s">
        <v>798</v>
      </c>
      <c r="J94" t="s">
        <v>801</v>
      </c>
      <c r="K94" t="s">
        <v>885</v>
      </c>
      <c r="L94" t="s">
        <v>885</v>
      </c>
    </row>
    <row r="95" spans="2:12">
      <c r="B95" t="s">
        <v>423</v>
      </c>
      <c r="C95" t="s">
        <v>508</v>
      </c>
      <c r="D95" t="s">
        <v>508</v>
      </c>
      <c r="F95" t="s">
        <v>508</v>
      </c>
      <c r="G95" t="s">
        <v>772</v>
      </c>
      <c r="H95" t="s">
        <v>798</v>
      </c>
      <c r="J95" t="s">
        <v>801</v>
      </c>
      <c r="K95" t="s">
        <v>886</v>
      </c>
      <c r="L95" t="s">
        <v>886</v>
      </c>
    </row>
    <row r="96" spans="2:12">
      <c r="B96" t="s">
        <v>423</v>
      </c>
      <c r="C96" t="s">
        <v>509</v>
      </c>
      <c r="D96" t="s">
        <v>509</v>
      </c>
      <c r="F96" t="s">
        <v>509</v>
      </c>
      <c r="G96" t="s">
        <v>772</v>
      </c>
      <c r="H96" t="s">
        <v>797</v>
      </c>
      <c r="J96" t="s">
        <v>801</v>
      </c>
      <c r="K96" t="s">
        <v>887</v>
      </c>
      <c r="L96" t="s">
        <v>887</v>
      </c>
    </row>
    <row r="97" spans="2:12">
      <c r="B97" t="s">
        <v>423</v>
      </c>
      <c r="C97" t="s">
        <v>510</v>
      </c>
      <c r="D97" t="s">
        <v>510</v>
      </c>
      <c r="F97" t="s">
        <v>510</v>
      </c>
      <c r="G97" t="s">
        <v>772</v>
      </c>
      <c r="H97" t="s">
        <v>797</v>
      </c>
      <c r="J97" t="s">
        <v>801</v>
      </c>
      <c r="K97" t="s">
        <v>888</v>
      </c>
      <c r="L97" t="s">
        <v>888</v>
      </c>
    </row>
    <row r="98" spans="2:12">
      <c r="B98" t="s">
        <v>423</v>
      </c>
      <c r="C98" t="s">
        <v>511</v>
      </c>
      <c r="D98" t="s">
        <v>511</v>
      </c>
      <c r="F98" t="s">
        <v>511</v>
      </c>
      <c r="G98" t="s">
        <v>772</v>
      </c>
      <c r="H98" t="s">
        <v>797</v>
      </c>
      <c r="J98" t="s">
        <v>801</v>
      </c>
      <c r="K98" t="s">
        <v>889</v>
      </c>
      <c r="L98" t="s">
        <v>889</v>
      </c>
    </row>
    <row r="99" spans="2:12">
      <c r="B99" t="s">
        <v>423</v>
      </c>
      <c r="C99" t="s">
        <v>512</v>
      </c>
      <c r="D99" t="s">
        <v>512</v>
      </c>
      <c r="F99" t="s">
        <v>512</v>
      </c>
      <c r="G99" t="s">
        <v>772</v>
      </c>
      <c r="H99" t="s">
        <v>786</v>
      </c>
      <c r="J99" t="s">
        <v>801</v>
      </c>
      <c r="K99" t="s">
        <v>890</v>
      </c>
      <c r="L99" t="s">
        <v>890</v>
      </c>
    </row>
    <row r="100" spans="2:12">
      <c r="B100" t="s">
        <v>423</v>
      </c>
      <c r="C100" t="s">
        <v>513</v>
      </c>
      <c r="D100" t="s">
        <v>513</v>
      </c>
      <c r="F100" t="s">
        <v>513</v>
      </c>
      <c r="G100" t="s">
        <v>772</v>
      </c>
      <c r="H100" t="s">
        <v>786</v>
      </c>
      <c r="J100" t="s">
        <v>801</v>
      </c>
      <c r="K100" t="s">
        <v>891</v>
      </c>
      <c r="L100" t="s">
        <v>891</v>
      </c>
    </row>
    <row r="101" spans="2:12">
      <c r="B101" t="s">
        <v>423</v>
      </c>
      <c r="C101" t="s">
        <v>514</v>
      </c>
      <c r="D101" t="s">
        <v>514</v>
      </c>
      <c r="F101" t="s">
        <v>514</v>
      </c>
      <c r="G101" t="s">
        <v>772</v>
      </c>
      <c r="H101" t="s">
        <v>786</v>
      </c>
      <c r="J101" t="s">
        <v>801</v>
      </c>
      <c r="K101" t="s">
        <v>892</v>
      </c>
      <c r="L101" t="s">
        <v>892</v>
      </c>
    </row>
    <row r="102" spans="2:12">
      <c r="B102" t="s">
        <v>423</v>
      </c>
      <c r="C102" t="s">
        <v>515</v>
      </c>
      <c r="D102" t="s">
        <v>515</v>
      </c>
      <c r="F102" t="s">
        <v>515</v>
      </c>
      <c r="G102" t="s">
        <v>772</v>
      </c>
      <c r="H102" t="s">
        <v>786</v>
      </c>
      <c r="J102" t="s">
        <v>801</v>
      </c>
      <c r="K102" t="s">
        <v>893</v>
      </c>
      <c r="L102" t="s">
        <v>893</v>
      </c>
    </row>
    <row r="103" spans="2:12">
      <c r="B103" t="s">
        <v>423</v>
      </c>
      <c r="C103" t="s">
        <v>516</v>
      </c>
      <c r="D103" t="s">
        <v>516</v>
      </c>
      <c r="F103" t="s">
        <v>516</v>
      </c>
      <c r="G103" t="s">
        <v>772</v>
      </c>
      <c r="H103" t="s">
        <v>773</v>
      </c>
      <c r="J103" t="s">
        <v>801</v>
      </c>
      <c r="K103" t="s">
        <v>894</v>
      </c>
      <c r="L103" t="s">
        <v>894</v>
      </c>
    </row>
    <row r="104" spans="2:12">
      <c r="B104" t="s">
        <v>423</v>
      </c>
      <c r="C104" t="s">
        <v>517</v>
      </c>
      <c r="D104" t="s">
        <v>517</v>
      </c>
      <c r="F104" t="s">
        <v>517</v>
      </c>
      <c r="G104" t="s">
        <v>772</v>
      </c>
      <c r="H104" t="s">
        <v>786</v>
      </c>
      <c r="J104" t="s">
        <v>801</v>
      </c>
      <c r="K104" t="s">
        <v>895</v>
      </c>
      <c r="L104" t="s">
        <v>895</v>
      </c>
    </row>
    <row r="105" spans="2:12">
      <c r="B105" t="s">
        <v>423</v>
      </c>
      <c r="C105" t="s">
        <v>518</v>
      </c>
      <c r="D105" t="s">
        <v>518</v>
      </c>
      <c r="F105" t="s">
        <v>518</v>
      </c>
      <c r="G105" t="s">
        <v>772</v>
      </c>
      <c r="H105" t="s">
        <v>782</v>
      </c>
      <c r="J105" t="s">
        <v>801</v>
      </c>
      <c r="K105" t="s">
        <v>896</v>
      </c>
      <c r="L105" t="s">
        <v>896</v>
      </c>
    </row>
    <row r="106" spans="2:12">
      <c r="B106" t="s">
        <v>423</v>
      </c>
      <c r="C106" t="s">
        <v>519</v>
      </c>
      <c r="D106" t="s">
        <v>519</v>
      </c>
      <c r="F106" t="s">
        <v>519</v>
      </c>
      <c r="G106" t="s">
        <v>772</v>
      </c>
      <c r="H106" t="s">
        <v>799</v>
      </c>
      <c r="J106" t="s">
        <v>801</v>
      </c>
      <c r="K106" t="s">
        <v>897</v>
      </c>
      <c r="L106" t="s">
        <v>897</v>
      </c>
    </row>
    <row r="107" spans="2:12">
      <c r="B107" t="s">
        <v>423</v>
      </c>
      <c r="C107" t="s">
        <v>520</v>
      </c>
      <c r="D107" t="s">
        <v>520</v>
      </c>
      <c r="F107" t="s">
        <v>520</v>
      </c>
      <c r="G107" t="s">
        <v>772</v>
      </c>
      <c r="H107" t="s">
        <v>794</v>
      </c>
      <c r="J107" t="s">
        <v>801</v>
      </c>
      <c r="K107" t="s">
        <v>898</v>
      </c>
      <c r="L107" t="s">
        <v>898</v>
      </c>
    </row>
    <row r="108" spans="2:12">
      <c r="B108" t="s">
        <v>423</v>
      </c>
      <c r="C108" t="s">
        <v>521</v>
      </c>
      <c r="D108" t="s">
        <v>521</v>
      </c>
      <c r="F108" t="s">
        <v>521</v>
      </c>
      <c r="G108" t="s">
        <v>772</v>
      </c>
      <c r="H108" t="s">
        <v>788</v>
      </c>
      <c r="J108" t="s">
        <v>801</v>
      </c>
      <c r="K108" t="s">
        <v>899</v>
      </c>
      <c r="L108" t="s">
        <v>899</v>
      </c>
    </row>
    <row r="109" spans="2:12">
      <c r="B109" t="s">
        <v>423</v>
      </c>
      <c r="C109" t="s">
        <v>522</v>
      </c>
      <c r="D109" t="s">
        <v>522</v>
      </c>
      <c r="F109" t="s">
        <v>522</v>
      </c>
      <c r="G109" t="s">
        <v>772</v>
      </c>
      <c r="H109" t="s">
        <v>796</v>
      </c>
      <c r="J109" t="s">
        <v>801</v>
      </c>
      <c r="K109" t="s">
        <v>900</v>
      </c>
      <c r="L109" t="s">
        <v>900</v>
      </c>
    </row>
    <row r="110" spans="2:12">
      <c r="B110" t="s">
        <v>423</v>
      </c>
      <c r="C110" t="s">
        <v>523</v>
      </c>
      <c r="D110" t="s">
        <v>523</v>
      </c>
      <c r="F110" t="s">
        <v>523</v>
      </c>
      <c r="G110" t="s">
        <v>772</v>
      </c>
      <c r="H110" t="s">
        <v>788</v>
      </c>
      <c r="J110" t="s">
        <v>801</v>
      </c>
      <c r="K110" t="s">
        <v>901</v>
      </c>
      <c r="L110" t="s">
        <v>901</v>
      </c>
    </row>
    <row r="111" spans="2:12">
      <c r="B111" t="s">
        <v>423</v>
      </c>
      <c r="C111" t="s">
        <v>524</v>
      </c>
      <c r="D111" t="s">
        <v>524</v>
      </c>
      <c r="F111" t="s">
        <v>524</v>
      </c>
      <c r="G111" t="s">
        <v>772</v>
      </c>
      <c r="H111" t="s">
        <v>789</v>
      </c>
      <c r="J111" t="s">
        <v>801</v>
      </c>
      <c r="K111" t="s">
        <v>902</v>
      </c>
      <c r="L111" t="s">
        <v>902</v>
      </c>
    </row>
    <row r="112" spans="2:12">
      <c r="B112" t="s">
        <v>423</v>
      </c>
      <c r="C112" t="s">
        <v>525</v>
      </c>
      <c r="D112" t="s">
        <v>525</v>
      </c>
      <c r="F112" t="s">
        <v>525</v>
      </c>
      <c r="G112" t="s">
        <v>772</v>
      </c>
      <c r="H112" t="s">
        <v>775</v>
      </c>
      <c r="J112" t="s">
        <v>801</v>
      </c>
      <c r="K112" t="s">
        <v>903</v>
      </c>
      <c r="L112" t="s">
        <v>903</v>
      </c>
    </row>
    <row r="113" spans="2:12">
      <c r="B113" t="s">
        <v>423</v>
      </c>
      <c r="C113" t="s">
        <v>526</v>
      </c>
      <c r="D113" t="s">
        <v>526</v>
      </c>
      <c r="F113" t="s">
        <v>526</v>
      </c>
      <c r="G113" t="s">
        <v>772</v>
      </c>
      <c r="H113" t="s">
        <v>788</v>
      </c>
      <c r="J113" t="s">
        <v>801</v>
      </c>
      <c r="K113" t="s">
        <v>904</v>
      </c>
      <c r="L113" t="s">
        <v>904</v>
      </c>
    </row>
    <row r="114" spans="2:12">
      <c r="B114" t="s">
        <v>423</v>
      </c>
      <c r="C114" t="s">
        <v>527</v>
      </c>
      <c r="D114" t="s">
        <v>527</v>
      </c>
      <c r="F114" t="s">
        <v>527</v>
      </c>
      <c r="G114" t="s">
        <v>772</v>
      </c>
      <c r="H114" t="s">
        <v>774</v>
      </c>
      <c r="J114" t="s">
        <v>801</v>
      </c>
      <c r="K114" t="s">
        <v>905</v>
      </c>
      <c r="L114" t="s">
        <v>905</v>
      </c>
    </row>
    <row r="115" spans="2:12">
      <c r="B115" t="s">
        <v>423</v>
      </c>
      <c r="C115" t="s">
        <v>528</v>
      </c>
      <c r="D115" t="s">
        <v>528</v>
      </c>
      <c r="F115" t="s">
        <v>528</v>
      </c>
      <c r="G115" t="s">
        <v>772</v>
      </c>
      <c r="H115" t="s">
        <v>774</v>
      </c>
      <c r="J115" t="s">
        <v>801</v>
      </c>
      <c r="K115" t="s">
        <v>906</v>
      </c>
      <c r="L115" t="s">
        <v>906</v>
      </c>
    </row>
    <row r="116" spans="2:12">
      <c r="B116" t="s">
        <v>423</v>
      </c>
      <c r="C116" t="s">
        <v>529</v>
      </c>
      <c r="D116" t="s">
        <v>529</v>
      </c>
      <c r="F116" t="s">
        <v>529</v>
      </c>
      <c r="G116" t="s">
        <v>772</v>
      </c>
      <c r="H116" t="s">
        <v>774</v>
      </c>
      <c r="J116" t="s">
        <v>801</v>
      </c>
      <c r="K116" t="s">
        <v>907</v>
      </c>
      <c r="L116" t="s">
        <v>907</v>
      </c>
    </row>
    <row r="117" spans="2:12">
      <c r="B117" t="s">
        <v>423</v>
      </c>
      <c r="C117" t="s">
        <v>530</v>
      </c>
      <c r="D117" t="s">
        <v>530</v>
      </c>
      <c r="F117" t="s">
        <v>530</v>
      </c>
      <c r="G117" t="s">
        <v>772</v>
      </c>
      <c r="H117" t="s">
        <v>775</v>
      </c>
      <c r="J117" t="s">
        <v>801</v>
      </c>
      <c r="K117" t="s">
        <v>908</v>
      </c>
      <c r="L117" t="s">
        <v>908</v>
      </c>
    </row>
    <row r="118" spans="2:12">
      <c r="B118" t="s">
        <v>423</v>
      </c>
      <c r="C118" t="s">
        <v>531</v>
      </c>
      <c r="D118" t="s">
        <v>531</v>
      </c>
      <c r="F118" t="s">
        <v>531</v>
      </c>
      <c r="G118" t="s">
        <v>772</v>
      </c>
      <c r="H118" t="s">
        <v>775</v>
      </c>
      <c r="J118" t="s">
        <v>801</v>
      </c>
      <c r="K118" t="s">
        <v>909</v>
      </c>
      <c r="L118" t="s">
        <v>909</v>
      </c>
    </row>
    <row r="119" spans="2:12">
      <c r="B119" t="s">
        <v>423</v>
      </c>
      <c r="C119" t="s">
        <v>532</v>
      </c>
      <c r="D119" t="s">
        <v>532</v>
      </c>
      <c r="F119" t="s">
        <v>532</v>
      </c>
      <c r="G119" t="s">
        <v>772</v>
      </c>
      <c r="H119" t="s">
        <v>786</v>
      </c>
      <c r="J119" t="s">
        <v>801</v>
      </c>
      <c r="K119" t="s">
        <v>910</v>
      </c>
      <c r="L119" t="s">
        <v>910</v>
      </c>
    </row>
    <row r="120" spans="2:12">
      <c r="B120" t="s">
        <v>423</v>
      </c>
      <c r="C120" t="s">
        <v>533</v>
      </c>
      <c r="D120" t="s">
        <v>533</v>
      </c>
      <c r="F120" t="s">
        <v>533</v>
      </c>
      <c r="G120" t="s">
        <v>772</v>
      </c>
      <c r="H120" t="s">
        <v>789</v>
      </c>
      <c r="J120" t="s">
        <v>801</v>
      </c>
      <c r="K120" t="s">
        <v>911</v>
      </c>
      <c r="L120" t="s">
        <v>911</v>
      </c>
    </row>
    <row r="121" spans="2:12">
      <c r="B121" t="s">
        <v>423</v>
      </c>
      <c r="C121" t="s">
        <v>534</v>
      </c>
      <c r="D121" t="s">
        <v>534</v>
      </c>
      <c r="F121" t="s">
        <v>534</v>
      </c>
      <c r="G121" t="s">
        <v>772</v>
      </c>
      <c r="H121" t="s">
        <v>789</v>
      </c>
      <c r="J121" t="s">
        <v>801</v>
      </c>
      <c r="K121" t="s">
        <v>912</v>
      </c>
      <c r="L121" t="s">
        <v>912</v>
      </c>
    </row>
    <row r="122" spans="2:12">
      <c r="B122" t="s">
        <v>423</v>
      </c>
      <c r="C122" t="s">
        <v>535</v>
      </c>
      <c r="D122" t="s">
        <v>535</v>
      </c>
      <c r="F122" t="s">
        <v>535</v>
      </c>
      <c r="G122" t="s">
        <v>772</v>
      </c>
      <c r="H122" t="s">
        <v>776</v>
      </c>
      <c r="J122" t="s">
        <v>801</v>
      </c>
      <c r="K122" t="s">
        <v>913</v>
      </c>
      <c r="L122" t="s">
        <v>913</v>
      </c>
    </row>
    <row r="123" spans="2:12">
      <c r="B123" t="s">
        <v>423</v>
      </c>
      <c r="C123" t="s">
        <v>536</v>
      </c>
      <c r="D123" t="s">
        <v>536</v>
      </c>
      <c r="F123" t="s">
        <v>536</v>
      </c>
      <c r="G123" t="s">
        <v>772</v>
      </c>
      <c r="H123" t="s">
        <v>776</v>
      </c>
      <c r="J123" t="s">
        <v>801</v>
      </c>
      <c r="K123" t="s">
        <v>914</v>
      </c>
      <c r="L123" t="s">
        <v>914</v>
      </c>
    </row>
    <row r="124" spans="2:12">
      <c r="B124" t="s">
        <v>423</v>
      </c>
      <c r="C124" t="s">
        <v>537</v>
      </c>
      <c r="D124" t="s">
        <v>537</v>
      </c>
      <c r="F124" t="s">
        <v>537</v>
      </c>
      <c r="G124" t="s">
        <v>772</v>
      </c>
      <c r="H124" t="s">
        <v>780</v>
      </c>
      <c r="J124" t="s">
        <v>801</v>
      </c>
      <c r="K124" t="s">
        <v>915</v>
      </c>
      <c r="L124" t="s">
        <v>915</v>
      </c>
    </row>
    <row r="125" spans="2:12">
      <c r="B125" t="s">
        <v>423</v>
      </c>
      <c r="C125" t="s">
        <v>538</v>
      </c>
      <c r="D125" t="s">
        <v>538</v>
      </c>
      <c r="F125" t="s">
        <v>538</v>
      </c>
      <c r="G125" t="s">
        <v>772</v>
      </c>
      <c r="H125" t="s">
        <v>780</v>
      </c>
      <c r="J125" t="s">
        <v>801</v>
      </c>
      <c r="K125" t="s">
        <v>916</v>
      </c>
      <c r="L125" t="s">
        <v>916</v>
      </c>
    </row>
    <row r="126" spans="2:12">
      <c r="B126" t="s">
        <v>423</v>
      </c>
      <c r="C126" t="s">
        <v>539</v>
      </c>
      <c r="D126" t="s">
        <v>539</v>
      </c>
      <c r="F126" t="s">
        <v>539</v>
      </c>
      <c r="G126" t="s">
        <v>772</v>
      </c>
      <c r="H126" t="s">
        <v>780</v>
      </c>
      <c r="J126" t="s">
        <v>801</v>
      </c>
      <c r="K126" t="s">
        <v>917</v>
      </c>
      <c r="L126" t="s">
        <v>917</v>
      </c>
    </row>
    <row r="127" spans="2:12">
      <c r="B127" t="s">
        <v>423</v>
      </c>
      <c r="C127" t="s">
        <v>540</v>
      </c>
      <c r="D127" t="s">
        <v>540</v>
      </c>
      <c r="F127" t="s">
        <v>540</v>
      </c>
      <c r="G127" t="s">
        <v>772</v>
      </c>
      <c r="H127" t="s">
        <v>776</v>
      </c>
      <c r="J127" t="s">
        <v>801</v>
      </c>
      <c r="K127" t="s">
        <v>918</v>
      </c>
      <c r="L127" t="s">
        <v>918</v>
      </c>
    </row>
    <row r="128" spans="2:12">
      <c r="B128" t="s">
        <v>423</v>
      </c>
      <c r="C128" t="s">
        <v>541</v>
      </c>
      <c r="D128" t="s">
        <v>541</v>
      </c>
      <c r="F128" t="s">
        <v>541</v>
      </c>
      <c r="G128" t="s">
        <v>772</v>
      </c>
      <c r="H128" t="s">
        <v>777</v>
      </c>
      <c r="J128" t="s">
        <v>801</v>
      </c>
      <c r="K128" t="s">
        <v>919</v>
      </c>
      <c r="L128" t="s">
        <v>919</v>
      </c>
    </row>
    <row r="129" spans="2:12">
      <c r="B129" t="s">
        <v>423</v>
      </c>
      <c r="C129" t="s">
        <v>542</v>
      </c>
      <c r="D129" t="s">
        <v>542</v>
      </c>
      <c r="F129" t="s">
        <v>542</v>
      </c>
      <c r="G129" t="s">
        <v>772</v>
      </c>
      <c r="H129" t="s">
        <v>797</v>
      </c>
      <c r="J129" t="s">
        <v>801</v>
      </c>
      <c r="K129" t="s">
        <v>920</v>
      </c>
      <c r="L129" t="s">
        <v>920</v>
      </c>
    </row>
    <row r="130" spans="2:12">
      <c r="B130" t="s">
        <v>423</v>
      </c>
      <c r="C130" t="s">
        <v>543</v>
      </c>
      <c r="D130" t="s">
        <v>543</v>
      </c>
      <c r="F130" t="s">
        <v>543</v>
      </c>
      <c r="G130" t="s">
        <v>772</v>
      </c>
      <c r="H130" t="s">
        <v>780</v>
      </c>
      <c r="J130" t="s">
        <v>801</v>
      </c>
      <c r="K130" t="s">
        <v>921</v>
      </c>
      <c r="L130" t="s">
        <v>921</v>
      </c>
    </row>
    <row r="131" spans="2:12">
      <c r="B131" t="s">
        <v>423</v>
      </c>
      <c r="C131" t="s">
        <v>544</v>
      </c>
      <c r="D131" t="s">
        <v>544</v>
      </c>
      <c r="F131" t="s">
        <v>544</v>
      </c>
      <c r="G131" t="s">
        <v>772</v>
      </c>
      <c r="H131" t="s">
        <v>783</v>
      </c>
      <c r="J131" t="s">
        <v>801</v>
      </c>
      <c r="K131" t="s">
        <v>922</v>
      </c>
      <c r="L131" t="s">
        <v>922</v>
      </c>
    </row>
    <row r="132" spans="2:12">
      <c r="B132" t="s">
        <v>423</v>
      </c>
      <c r="C132" t="s">
        <v>545</v>
      </c>
      <c r="D132" t="s">
        <v>545</v>
      </c>
      <c r="F132" t="s">
        <v>545</v>
      </c>
      <c r="G132" t="s">
        <v>772</v>
      </c>
      <c r="H132" t="s">
        <v>776</v>
      </c>
      <c r="J132" t="s">
        <v>801</v>
      </c>
      <c r="K132" t="s">
        <v>923</v>
      </c>
      <c r="L132" t="s">
        <v>923</v>
      </c>
    </row>
    <row r="133" spans="2:12">
      <c r="B133" t="s">
        <v>423</v>
      </c>
      <c r="C133" t="s">
        <v>546</v>
      </c>
      <c r="D133" t="s">
        <v>546</v>
      </c>
      <c r="F133" t="s">
        <v>546</v>
      </c>
      <c r="G133" t="s">
        <v>772</v>
      </c>
      <c r="H133" t="s">
        <v>797</v>
      </c>
      <c r="J133" t="s">
        <v>801</v>
      </c>
      <c r="K133" t="s">
        <v>924</v>
      </c>
      <c r="L133" t="s">
        <v>924</v>
      </c>
    </row>
    <row r="134" spans="2:12">
      <c r="B134" t="s">
        <v>423</v>
      </c>
      <c r="C134" t="s">
        <v>547</v>
      </c>
      <c r="D134" t="s">
        <v>547</v>
      </c>
      <c r="F134" t="s">
        <v>547</v>
      </c>
      <c r="G134" t="s">
        <v>772</v>
      </c>
      <c r="H134" t="s">
        <v>797</v>
      </c>
      <c r="J134" t="s">
        <v>801</v>
      </c>
      <c r="K134" t="s">
        <v>925</v>
      </c>
      <c r="L134" t="s">
        <v>925</v>
      </c>
    </row>
    <row r="135" spans="2:12">
      <c r="B135" t="s">
        <v>423</v>
      </c>
      <c r="C135" t="s">
        <v>548</v>
      </c>
      <c r="D135" t="s">
        <v>548</v>
      </c>
      <c r="F135" t="s">
        <v>548</v>
      </c>
      <c r="G135" t="s">
        <v>772</v>
      </c>
      <c r="H135" t="s">
        <v>774</v>
      </c>
      <c r="J135" t="s">
        <v>801</v>
      </c>
      <c r="K135" t="s">
        <v>926</v>
      </c>
      <c r="L135" t="s">
        <v>926</v>
      </c>
    </row>
    <row r="136" spans="2:12">
      <c r="B136" t="s">
        <v>423</v>
      </c>
      <c r="C136" t="s">
        <v>549</v>
      </c>
      <c r="D136" t="s">
        <v>549</v>
      </c>
      <c r="F136" t="s">
        <v>549</v>
      </c>
      <c r="G136" t="s">
        <v>772</v>
      </c>
      <c r="H136" t="s">
        <v>796</v>
      </c>
      <c r="J136" t="s">
        <v>801</v>
      </c>
      <c r="K136" t="s">
        <v>927</v>
      </c>
      <c r="L136" t="s">
        <v>927</v>
      </c>
    </row>
    <row r="137" spans="2:12">
      <c r="B137" t="s">
        <v>423</v>
      </c>
      <c r="C137" t="s">
        <v>550</v>
      </c>
      <c r="D137" t="s">
        <v>550</v>
      </c>
      <c r="F137" t="s">
        <v>550</v>
      </c>
      <c r="G137" t="s">
        <v>772</v>
      </c>
      <c r="H137" t="s">
        <v>783</v>
      </c>
      <c r="J137" t="s">
        <v>801</v>
      </c>
      <c r="K137" t="s">
        <v>928</v>
      </c>
      <c r="L137" t="s">
        <v>928</v>
      </c>
    </row>
    <row r="138" spans="2:12">
      <c r="B138" t="s">
        <v>423</v>
      </c>
      <c r="C138" t="s">
        <v>551</v>
      </c>
      <c r="D138" t="s">
        <v>551</v>
      </c>
      <c r="F138" t="s">
        <v>551</v>
      </c>
      <c r="G138" t="s">
        <v>772</v>
      </c>
      <c r="H138" t="s">
        <v>796</v>
      </c>
      <c r="J138" t="s">
        <v>801</v>
      </c>
      <c r="K138" t="s">
        <v>929</v>
      </c>
      <c r="L138" t="s">
        <v>929</v>
      </c>
    </row>
    <row r="139" spans="2:12">
      <c r="B139" t="s">
        <v>423</v>
      </c>
      <c r="C139" t="s">
        <v>552</v>
      </c>
      <c r="D139" t="s">
        <v>552</v>
      </c>
      <c r="F139" t="s">
        <v>552</v>
      </c>
      <c r="G139" t="s">
        <v>772</v>
      </c>
      <c r="H139" t="s">
        <v>781</v>
      </c>
      <c r="J139" t="s">
        <v>801</v>
      </c>
      <c r="K139" t="s">
        <v>930</v>
      </c>
      <c r="L139" t="s">
        <v>930</v>
      </c>
    </row>
    <row r="140" spans="2:12">
      <c r="B140" t="s">
        <v>423</v>
      </c>
      <c r="C140" t="s">
        <v>553</v>
      </c>
      <c r="D140" t="s">
        <v>553</v>
      </c>
      <c r="F140" t="s">
        <v>553</v>
      </c>
      <c r="G140" t="s">
        <v>772</v>
      </c>
      <c r="H140" t="s">
        <v>777</v>
      </c>
      <c r="J140" t="s">
        <v>801</v>
      </c>
      <c r="K140" t="s">
        <v>931</v>
      </c>
      <c r="L140" t="s">
        <v>931</v>
      </c>
    </row>
    <row r="141" spans="2:12">
      <c r="B141" t="s">
        <v>423</v>
      </c>
      <c r="C141" t="s">
        <v>554</v>
      </c>
      <c r="D141" t="s">
        <v>554</v>
      </c>
      <c r="F141" t="s">
        <v>554</v>
      </c>
      <c r="G141" t="s">
        <v>772</v>
      </c>
      <c r="H141" t="s">
        <v>780</v>
      </c>
      <c r="J141" t="s">
        <v>801</v>
      </c>
      <c r="K141" t="s">
        <v>932</v>
      </c>
      <c r="L141" t="s">
        <v>932</v>
      </c>
    </row>
    <row r="142" spans="2:12">
      <c r="B142" t="s">
        <v>423</v>
      </c>
      <c r="C142" t="s">
        <v>555</v>
      </c>
      <c r="D142" t="s">
        <v>555</v>
      </c>
      <c r="F142" t="s">
        <v>555</v>
      </c>
      <c r="G142" t="s">
        <v>772</v>
      </c>
      <c r="H142" t="s">
        <v>780</v>
      </c>
      <c r="J142" t="s">
        <v>801</v>
      </c>
      <c r="K142" t="s">
        <v>933</v>
      </c>
      <c r="L142" t="s">
        <v>933</v>
      </c>
    </row>
    <row r="143" spans="2:12">
      <c r="B143" t="s">
        <v>423</v>
      </c>
      <c r="C143" t="s">
        <v>556</v>
      </c>
      <c r="D143" t="s">
        <v>556</v>
      </c>
      <c r="F143" t="s">
        <v>556</v>
      </c>
      <c r="G143" t="s">
        <v>772</v>
      </c>
      <c r="H143" t="s">
        <v>783</v>
      </c>
      <c r="J143" t="s">
        <v>801</v>
      </c>
      <c r="K143" t="s">
        <v>934</v>
      </c>
      <c r="L143" t="s">
        <v>934</v>
      </c>
    </row>
    <row r="144" spans="2:12">
      <c r="B144" t="s">
        <v>423</v>
      </c>
      <c r="C144" t="s">
        <v>557</v>
      </c>
      <c r="D144" t="s">
        <v>557</v>
      </c>
      <c r="F144" t="s">
        <v>557</v>
      </c>
      <c r="G144" t="s">
        <v>772</v>
      </c>
      <c r="H144" t="s">
        <v>783</v>
      </c>
      <c r="J144" t="s">
        <v>801</v>
      </c>
      <c r="K144" t="s">
        <v>935</v>
      </c>
      <c r="L144" t="s">
        <v>935</v>
      </c>
    </row>
    <row r="145" spans="2:12">
      <c r="B145" t="s">
        <v>423</v>
      </c>
      <c r="C145" t="s">
        <v>558</v>
      </c>
      <c r="D145" t="s">
        <v>558</v>
      </c>
      <c r="F145" t="s">
        <v>558</v>
      </c>
      <c r="G145" t="s">
        <v>772</v>
      </c>
      <c r="H145" t="s">
        <v>783</v>
      </c>
      <c r="J145" t="s">
        <v>801</v>
      </c>
      <c r="K145" t="s">
        <v>936</v>
      </c>
      <c r="L145" t="s">
        <v>936</v>
      </c>
    </row>
    <row r="146" spans="2:12">
      <c r="B146" t="s">
        <v>423</v>
      </c>
      <c r="C146" t="s">
        <v>559</v>
      </c>
      <c r="D146" t="s">
        <v>559</v>
      </c>
      <c r="F146" t="s">
        <v>559</v>
      </c>
      <c r="G146" t="s">
        <v>772</v>
      </c>
      <c r="H146" t="s">
        <v>779</v>
      </c>
      <c r="J146" t="s">
        <v>801</v>
      </c>
      <c r="K146" t="s">
        <v>937</v>
      </c>
      <c r="L146" t="s">
        <v>937</v>
      </c>
    </row>
    <row r="147" spans="2:12">
      <c r="B147" t="s">
        <v>423</v>
      </c>
      <c r="C147" t="s">
        <v>560</v>
      </c>
      <c r="D147" t="s">
        <v>560</v>
      </c>
      <c r="F147" t="s">
        <v>560</v>
      </c>
      <c r="G147" t="s">
        <v>772</v>
      </c>
      <c r="H147" t="s">
        <v>779</v>
      </c>
      <c r="J147" t="s">
        <v>801</v>
      </c>
      <c r="K147" t="s">
        <v>938</v>
      </c>
      <c r="L147" t="s">
        <v>938</v>
      </c>
    </row>
    <row r="148" spans="2:12">
      <c r="B148" t="s">
        <v>423</v>
      </c>
      <c r="C148" t="s">
        <v>561</v>
      </c>
      <c r="D148" t="s">
        <v>561</v>
      </c>
      <c r="F148" t="s">
        <v>561</v>
      </c>
      <c r="G148" t="s">
        <v>772</v>
      </c>
      <c r="H148" t="s">
        <v>779</v>
      </c>
      <c r="J148" t="s">
        <v>801</v>
      </c>
      <c r="K148" t="s">
        <v>939</v>
      </c>
      <c r="L148" t="s">
        <v>939</v>
      </c>
    </row>
    <row r="149" spans="2:12">
      <c r="B149" t="s">
        <v>423</v>
      </c>
      <c r="C149" t="s">
        <v>562</v>
      </c>
      <c r="D149" t="s">
        <v>562</v>
      </c>
      <c r="F149" t="s">
        <v>562</v>
      </c>
      <c r="G149" t="s">
        <v>772</v>
      </c>
      <c r="H149" t="s">
        <v>779</v>
      </c>
      <c r="J149" t="s">
        <v>801</v>
      </c>
      <c r="K149" t="s">
        <v>940</v>
      </c>
      <c r="L149" t="s">
        <v>940</v>
      </c>
    </row>
    <row r="150" spans="2:12">
      <c r="B150" t="s">
        <v>423</v>
      </c>
      <c r="C150" t="s">
        <v>563</v>
      </c>
      <c r="D150" t="s">
        <v>563</v>
      </c>
      <c r="F150" t="s">
        <v>563</v>
      </c>
      <c r="G150" t="s">
        <v>772</v>
      </c>
      <c r="H150" t="s">
        <v>782</v>
      </c>
      <c r="J150" t="s">
        <v>801</v>
      </c>
      <c r="K150" t="s">
        <v>941</v>
      </c>
      <c r="L150" t="s">
        <v>941</v>
      </c>
    </row>
    <row r="151" spans="2:12">
      <c r="B151" t="s">
        <v>423</v>
      </c>
      <c r="C151" t="s">
        <v>564</v>
      </c>
      <c r="D151" t="s">
        <v>564</v>
      </c>
      <c r="F151" t="s">
        <v>564</v>
      </c>
      <c r="G151" t="s">
        <v>772</v>
      </c>
      <c r="H151" t="s">
        <v>782</v>
      </c>
      <c r="J151" t="s">
        <v>801</v>
      </c>
      <c r="K151" t="s">
        <v>942</v>
      </c>
      <c r="L151" t="s">
        <v>942</v>
      </c>
    </row>
    <row r="152" spans="2:12">
      <c r="B152" t="s">
        <v>423</v>
      </c>
      <c r="C152" t="s">
        <v>565</v>
      </c>
      <c r="D152" t="s">
        <v>565</v>
      </c>
      <c r="F152" t="s">
        <v>565</v>
      </c>
      <c r="G152" t="s">
        <v>772</v>
      </c>
      <c r="H152" t="s">
        <v>774</v>
      </c>
      <c r="J152" t="s">
        <v>801</v>
      </c>
      <c r="K152" t="s">
        <v>943</v>
      </c>
      <c r="L152" t="s">
        <v>943</v>
      </c>
    </row>
    <row r="153" spans="2:12">
      <c r="B153" t="s">
        <v>423</v>
      </c>
      <c r="C153" t="s">
        <v>566</v>
      </c>
      <c r="D153" t="s">
        <v>566</v>
      </c>
      <c r="F153" t="s">
        <v>566</v>
      </c>
      <c r="G153" t="s">
        <v>772</v>
      </c>
      <c r="H153" t="s">
        <v>774</v>
      </c>
      <c r="J153" t="s">
        <v>801</v>
      </c>
      <c r="K153" t="s">
        <v>944</v>
      </c>
      <c r="L153" t="s">
        <v>944</v>
      </c>
    </row>
    <row r="154" spans="2:12">
      <c r="B154" t="s">
        <v>423</v>
      </c>
      <c r="C154" t="s">
        <v>567</v>
      </c>
      <c r="D154" t="s">
        <v>567</v>
      </c>
      <c r="F154" t="s">
        <v>567</v>
      </c>
      <c r="G154" t="s">
        <v>772</v>
      </c>
      <c r="H154" t="s">
        <v>774</v>
      </c>
      <c r="J154" t="s">
        <v>801</v>
      </c>
      <c r="K154" t="s">
        <v>945</v>
      </c>
      <c r="L154" t="s">
        <v>945</v>
      </c>
    </row>
    <row r="155" spans="2:12">
      <c r="B155" t="s">
        <v>423</v>
      </c>
      <c r="C155" t="s">
        <v>568</v>
      </c>
      <c r="D155" t="s">
        <v>568</v>
      </c>
      <c r="F155" t="s">
        <v>568</v>
      </c>
      <c r="G155" t="s">
        <v>772</v>
      </c>
      <c r="H155" t="s">
        <v>782</v>
      </c>
      <c r="J155" t="s">
        <v>801</v>
      </c>
      <c r="K155" t="s">
        <v>946</v>
      </c>
      <c r="L155" t="s">
        <v>946</v>
      </c>
    </row>
    <row r="156" spans="2:12">
      <c r="B156" t="s">
        <v>423</v>
      </c>
      <c r="C156" t="s">
        <v>569</v>
      </c>
      <c r="D156" t="s">
        <v>569</v>
      </c>
      <c r="F156" t="s">
        <v>569</v>
      </c>
      <c r="G156" t="s">
        <v>772</v>
      </c>
      <c r="H156" t="s">
        <v>782</v>
      </c>
      <c r="J156" t="s">
        <v>801</v>
      </c>
      <c r="K156" t="s">
        <v>947</v>
      </c>
      <c r="L156" t="s">
        <v>947</v>
      </c>
    </row>
    <row r="157" spans="2:12">
      <c r="B157" t="s">
        <v>423</v>
      </c>
      <c r="C157" t="s">
        <v>570</v>
      </c>
      <c r="D157" t="s">
        <v>570</v>
      </c>
      <c r="F157" t="s">
        <v>570</v>
      </c>
      <c r="G157" t="s">
        <v>772</v>
      </c>
      <c r="H157" t="s">
        <v>786</v>
      </c>
      <c r="J157" t="s">
        <v>801</v>
      </c>
      <c r="K157" t="s">
        <v>948</v>
      </c>
      <c r="L157" t="s">
        <v>948</v>
      </c>
    </row>
    <row r="158" spans="2:12">
      <c r="B158" t="s">
        <v>423</v>
      </c>
      <c r="C158" t="s">
        <v>571</v>
      </c>
      <c r="D158" t="s">
        <v>571</v>
      </c>
      <c r="F158" t="s">
        <v>571</v>
      </c>
      <c r="G158" t="s">
        <v>772</v>
      </c>
      <c r="H158" t="s">
        <v>774</v>
      </c>
      <c r="J158" t="s">
        <v>801</v>
      </c>
      <c r="K158" t="s">
        <v>949</v>
      </c>
      <c r="L158" t="s">
        <v>949</v>
      </c>
    </row>
    <row r="159" spans="2:12">
      <c r="B159" t="s">
        <v>423</v>
      </c>
      <c r="C159" t="s">
        <v>572</v>
      </c>
      <c r="D159" t="s">
        <v>572</v>
      </c>
      <c r="F159" t="s">
        <v>572</v>
      </c>
      <c r="G159" t="s">
        <v>772</v>
      </c>
      <c r="H159" t="s">
        <v>784</v>
      </c>
      <c r="J159" t="s">
        <v>801</v>
      </c>
      <c r="K159" t="s">
        <v>950</v>
      </c>
      <c r="L159" t="s">
        <v>950</v>
      </c>
    </row>
    <row r="160" spans="2:12">
      <c r="B160" t="s">
        <v>423</v>
      </c>
      <c r="C160" t="s">
        <v>573</v>
      </c>
      <c r="D160" t="s">
        <v>573</v>
      </c>
      <c r="F160" t="s">
        <v>573</v>
      </c>
      <c r="G160" t="s">
        <v>772</v>
      </c>
      <c r="H160" t="s">
        <v>782</v>
      </c>
      <c r="J160" t="s">
        <v>801</v>
      </c>
      <c r="K160" t="s">
        <v>951</v>
      </c>
      <c r="L160" t="s">
        <v>951</v>
      </c>
    </row>
    <row r="161" spans="2:12">
      <c r="B161" t="s">
        <v>423</v>
      </c>
      <c r="C161" t="s">
        <v>574</v>
      </c>
      <c r="D161" t="s">
        <v>574</v>
      </c>
      <c r="F161" t="s">
        <v>574</v>
      </c>
      <c r="G161" t="s">
        <v>772</v>
      </c>
      <c r="H161" t="s">
        <v>773</v>
      </c>
      <c r="J161" t="s">
        <v>801</v>
      </c>
      <c r="K161" t="s">
        <v>952</v>
      </c>
      <c r="L161" t="s">
        <v>952</v>
      </c>
    </row>
    <row r="162" spans="2:12">
      <c r="B162" t="s">
        <v>423</v>
      </c>
      <c r="C162" t="s">
        <v>575</v>
      </c>
      <c r="D162" t="s">
        <v>575</v>
      </c>
      <c r="F162" t="s">
        <v>575</v>
      </c>
      <c r="G162" t="s">
        <v>772</v>
      </c>
      <c r="H162" t="s">
        <v>782</v>
      </c>
      <c r="J162" t="s">
        <v>801</v>
      </c>
      <c r="K162" t="s">
        <v>953</v>
      </c>
      <c r="L162" t="s">
        <v>953</v>
      </c>
    </row>
    <row r="163" spans="2:12">
      <c r="B163" t="s">
        <v>423</v>
      </c>
      <c r="C163" t="s">
        <v>576</v>
      </c>
      <c r="D163" t="s">
        <v>576</v>
      </c>
      <c r="F163" t="s">
        <v>576</v>
      </c>
      <c r="G163" t="s">
        <v>772</v>
      </c>
      <c r="H163" t="s">
        <v>782</v>
      </c>
      <c r="J163" t="s">
        <v>801</v>
      </c>
      <c r="K163" t="s">
        <v>954</v>
      </c>
      <c r="L163" t="s">
        <v>954</v>
      </c>
    </row>
    <row r="164" spans="2:12">
      <c r="B164" t="s">
        <v>423</v>
      </c>
      <c r="C164" t="s">
        <v>577</v>
      </c>
      <c r="D164" t="s">
        <v>577</v>
      </c>
      <c r="F164" t="s">
        <v>577</v>
      </c>
      <c r="G164" t="s">
        <v>772</v>
      </c>
      <c r="H164" t="s">
        <v>782</v>
      </c>
      <c r="J164" t="s">
        <v>801</v>
      </c>
      <c r="K164" t="s">
        <v>955</v>
      </c>
      <c r="L164" t="s">
        <v>955</v>
      </c>
    </row>
    <row r="165" spans="2:12">
      <c r="B165" t="s">
        <v>423</v>
      </c>
      <c r="C165" t="s">
        <v>578</v>
      </c>
      <c r="D165" t="s">
        <v>578</v>
      </c>
      <c r="F165" t="s">
        <v>578</v>
      </c>
      <c r="G165" t="s">
        <v>772</v>
      </c>
      <c r="H165" t="s">
        <v>782</v>
      </c>
      <c r="J165" t="s">
        <v>801</v>
      </c>
      <c r="K165" t="s">
        <v>956</v>
      </c>
      <c r="L165" t="s">
        <v>956</v>
      </c>
    </row>
    <row r="166" spans="2:12">
      <c r="B166" t="s">
        <v>423</v>
      </c>
      <c r="C166" t="s">
        <v>579</v>
      </c>
      <c r="D166" t="s">
        <v>579</v>
      </c>
      <c r="F166" t="s">
        <v>579</v>
      </c>
      <c r="G166" t="s">
        <v>772</v>
      </c>
      <c r="H166" t="s">
        <v>800</v>
      </c>
      <c r="J166" t="s">
        <v>801</v>
      </c>
      <c r="K166" t="s">
        <v>957</v>
      </c>
      <c r="L166" t="s">
        <v>957</v>
      </c>
    </row>
    <row r="167" spans="2:12">
      <c r="B167" t="s">
        <v>423</v>
      </c>
      <c r="C167" t="s">
        <v>580</v>
      </c>
      <c r="D167" t="s">
        <v>580</v>
      </c>
      <c r="F167" t="s">
        <v>580</v>
      </c>
      <c r="G167" t="s">
        <v>772</v>
      </c>
      <c r="H167" t="s">
        <v>800</v>
      </c>
      <c r="J167" t="s">
        <v>801</v>
      </c>
      <c r="K167" t="s">
        <v>958</v>
      </c>
      <c r="L167" t="s">
        <v>958</v>
      </c>
    </row>
    <row r="168" spans="2:12">
      <c r="B168" t="s">
        <v>423</v>
      </c>
      <c r="C168" t="s">
        <v>581</v>
      </c>
      <c r="D168" t="s">
        <v>581</v>
      </c>
      <c r="F168" t="s">
        <v>581</v>
      </c>
      <c r="G168" t="s">
        <v>772</v>
      </c>
      <c r="H168" t="s">
        <v>800</v>
      </c>
      <c r="J168" t="s">
        <v>801</v>
      </c>
      <c r="K168" t="s">
        <v>959</v>
      </c>
      <c r="L168" t="s">
        <v>959</v>
      </c>
    </row>
    <row r="169" spans="2:12">
      <c r="B169" t="s">
        <v>423</v>
      </c>
      <c r="C169" t="s">
        <v>582</v>
      </c>
      <c r="D169" t="s">
        <v>582</v>
      </c>
      <c r="F169" t="s">
        <v>582</v>
      </c>
      <c r="G169" t="s">
        <v>772</v>
      </c>
      <c r="H169" t="s">
        <v>800</v>
      </c>
      <c r="J169" t="s">
        <v>801</v>
      </c>
      <c r="K169" t="s">
        <v>960</v>
      </c>
      <c r="L169" t="s">
        <v>960</v>
      </c>
    </row>
    <row r="170" spans="2:12">
      <c r="B170" t="s">
        <v>423</v>
      </c>
      <c r="C170" t="s">
        <v>583</v>
      </c>
      <c r="D170" t="s">
        <v>583</v>
      </c>
      <c r="F170" t="s">
        <v>583</v>
      </c>
      <c r="G170" t="s">
        <v>772</v>
      </c>
      <c r="H170" t="s">
        <v>800</v>
      </c>
      <c r="J170" t="s">
        <v>801</v>
      </c>
      <c r="K170" t="s">
        <v>961</v>
      </c>
      <c r="L170" t="s">
        <v>961</v>
      </c>
    </row>
    <row r="171" spans="2:12">
      <c r="B171" t="s">
        <v>423</v>
      </c>
      <c r="C171" t="s">
        <v>584</v>
      </c>
      <c r="D171" t="s">
        <v>584</v>
      </c>
      <c r="F171" t="s">
        <v>584</v>
      </c>
      <c r="G171" t="s">
        <v>772</v>
      </c>
      <c r="H171" t="s">
        <v>800</v>
      </c>
      <c r="J171" t="s">
        <v>801</v>
      </c>
      <c r="K171" t="s">
        <v>962</v>
      </c>
      <c r="L171" t="s">
        <v>962</v>
      </c>
    </row>
    <row r="172" spans="2:12">
      <c r="B172" t="s">
        <v>423</v>
      </c>
      <c r="C172" t="s">
        <v>585</v>
      </c>
      <c r="D172" t="s">
        <v>585</v>
      </c>
      <c r="F172" t="s">
        <v>585</v>
      </c>
      <c r="G172" t="s">
        <v>772</v>
      </c>
      <c r="H172" t="s">
        <v>800</v>
      </c>
      <c r="J172" t="s">
        <v>801</v>
      </c>
      <c r="K172" t="s">
        <v>963</v>
      </c>
      <c r="L172" t="s">
        <v>963</v>
      </c>
    </row>
    <row r="173" spans="2:12">
      <c r="B173" t="s">
        <v>423</v>
      </c>
      <c r="C173" t="s">
        <v>586</v>
      </c>
      <c r="D173" t="s">
        <v>586</v>
      </c>
      <c r="F173" t="s">
        <v>586</v>
      </c>
      <c r="G173" t="s">
        <v>772</v>
      </c>
      <c r="H173" t="s">
        <v>800</v>
      </c>
      <c r="J173" t="s">
        <v>801</v>
      </c>
      <c r="K173" t="s">
        <v>964</v>
      </c>
      <c r="L173" t="s">
        <v>964</v>
      </c>
    </row>
    <row r="174" spans="2:12">
      <c r="B174" t="s">
        <v>423</v>
      </c>
      <c r="C174" t="s">
        <v>587</v>
      </c>
      <c r="D174" t="s">
        <v>587</v>
      </c>
      <c r="F174" t="s">
        <v>587</v>
      </c>
      <c r="G174" t="s">
        <v>772</v>
      </c>
      <c r="H174" t="s">
        <v>800</v>
      </c>
      <c r="J174" t="s">
        <v>801</v>
      </c>
      <c r="K174" t="s">
        <v>965</v>
      </c>
      <c r="L174" t="s">
        <v>965</v>
      </c>
    </row>
    <row r="175" spans="2:12">
      <c r="B175" t="s">
        <v>423</v>
      </c>
      <c r="C175" t="s">
        <v>588</v>
      </c>
      <c r="D175" t="s">
        <v>588</v>
      </c>
      <c r="F175" t="s">
        <v>588</v>
      </c>
      <c r="G175" t="s">
        <v>772</v>
      </c>
      <c r="H175" t="s">
        <v>800</v>
      </c>
      <c r="J175" t="s">
        <v>801</v>
      </c>
      <c r="K175" t="s">
        <v>966</v>
      </c>
      <c r="L175" t="s">
        <v>966</v>
      </c>
    </row>
    <row r="176" spans="2:12">
      <c r="B176" t="s">
        <v>423</v>
      </c>
      <c r="C176" t="s">
        <v>589</v>
      </c>
      <c r="D176" t="s">
        <v>589</v>
      </c>
      <c r="F176" t="s">
        <v>589</v>
      </c>
      <c r="G176" t="s">
        <v>772</v>
      </c>
      <c r="H176" t="s">
        <v>800</v>
      </c>
      <c r="J176" t="s">
        <v>801</v>
      </c>
      <c r="K176" t="s">
        <v>967</v>
      </c>
      <c r="L176" t="s">
        <v>967</v>
      </c>
    </row>
    <row r="177" spans="2:12">
      <c r="B177" t="s">
        <v>423</v>
      </c>
      <c r="C177" t="s">
        <v>590</v>
      </c>
      <c r="D177" t="s">
        <v>590</v>
      </c>
      <c r="F177" t="s">
        <v>590</v>
      </c>
      <c r="G177" t="s">
        <v>772</v>
      </c>
      <c r="H177" t="s">
        <v>800</v>
      </c>
      <c r="J177" t="s">
        <v>801</v>
      </c>
      <c r="K177" t="s">
        <v>968</v>
      </c>
      <c r="L177" t="s">
        <v>968</v>
      </c>
    </row>
    <row r="178" spans="2:12">
      <c r="B178" t="s">
        <v>423</v>
      </c>
      <c r="C178" t="s">
        <v>591</v>
      </c>
      <c r="D178" t="s">
        <v>591</v>
      </c>
      <c r="F178" t="s">
        <v>591</v>
      </c>
      <c r="G178" t="s">
        <v>772</v>
      </c>
      <c r="H178" t="s">
        <v>800</v>
      </c>
      <c r="J178" t="s">
        <v>801</v>
      </c>
      <c r="K178" t="s">
        <v>969</v>
      </c>
      <c r="L178" t="s">
        <v>969</v>
      </c>
    </row>
    <row r="179" spans="2:12">
      <c r="B179" t="s">
        <v>423</v>
      </c>
      <c r="C179" t="s">
        <v>592</v>
      </c>
      <c r="D179" t="s">
        <v>592</v>
      </c>
      <c r="F179" t="s">
        <v>592</v>
      </c>
      <c r="G179" t="s">
        <v>772</v>
      </c>
      <c r="H179" t="s">
        <v>800</v>
      </c>
      <c r="J179" t="s">
        <v>801</v>
      </c>
      <c r="K179" t="s">
        <v>970</v>
      </c>
      <c r="L179" t="s">
        <v>970</v>
      </c>
    </row>
    <row r="180" spans="2:12">
      <c r="B180" t="s">
        <v>423</v>
      </c>
      <c r="C180" t="s">
        <v>593</v>
      </c>
      <c r="D180" t="s">
        <v>593</v>
      </c>
      <c r="F180" t="s">
        <v>593</v>
      </c>
      <c r="G180" t="s">
        <v>772</v>
      </c>
      <c r="H180" t="s">
        <v>800</v>
      </c>
      <c r="J180" t="s">
        <v>801</v>
      </c>
      <c r="K180" t="s">
        <v>971</v>
      </c>
      <c r="L180" t="s">
        <v>971</v>
      </c>
    </row>
    <row r="181" spans="2:12">
      <c r="B181" t="s">
        <v>423</v>
      </c>
      <c r="C181" t="s">
        <v>594</v>
      </c>
      <c r="D181" t="s">
        <v>594</v>
      </c>
      <c r="F181" t="s">
        <v>594</v>
      </c>
      <c r="G181" t="s">
        <v>772</v>
      </c>
      <c r="H181" t="s">
        <v>800</v>
      </c>
      <c r="J181" t="s">
        <v>801</v>
      </c>
      <c r="K181" t="s">
        <v>972</v>
      </c>
      <c r="L181" t="s">
        <v>972</v>
      </c>
    </row>
    <row r="182" spans="2:12">
      <c r="B182" t="s">
        <v>423</v>
      </c>
      <c r="C182" t="s">
        <v>595</v>
      </c>
      <c r="D182" t="s">
        <v>595</v>
      </c>
      <c r="F182" t="s">
        <v>595</v>
      </c>
      <c r="G182" t="s">
        <v>772</v>
      </c>
      <c r="H182" t="s">
        <v>800</v>
      </c>
      <c r="J182" t="s">
        <v>801</v>
      </c>
      <c r="K182" t="s">
        <v>973</v>
      </c>
      <c r="L182" t="s">
        <v>973</v>
      </c>
    </row>
    <row r="183" spans="2:12">
      <c r="B183" t="s">
        <v>423</v>
      </c>
      <c r="C183" t="s">
        <v>596</v>
      </c>
      <c r="D183" t="s">
        <v>596</v>
      </c>
      <c r="F183" t="s">
        <v>596</v>
      </c>
      <c r="G183" t="s">
        <v>772</v>
      </c>
      <c r="H183" t="s">
        <v>800</v>
      </c>
      <c r="J183" t="s">
        <v>801</v>
      </c>
      <c r="K183" t="s">
        <v>974</v>
      </c>
      <c r="L183" t="s">
        <v>974</v>
      </c>
    </row>
    <row r="184" spans="2:12">
      <c r="B184" t="s">
        <v>423</v>
      </c>
      <c r="C184" t="s">
        <v>597</v>
      </c>
      <c r="D184" t="s">
        <v>597</v>
      </c>
      <c r="F184" t="s">
        <v>597</v>
      </c>
      <c r="G184" t="s">
        <v>772</v>
      </c>
      <c r="H184" t="s">
        <v>800</v>
      </c>
      <c r="J184" t="s">
        <v>801</v>
      </c>
      <c r="K184" t="s">
        <v>975</v>
      </c>
      <c r="L184" t="s">
        <v>975</v>
      </c>
    </row>
    <row r="185" spans="2:12">
      <c r="B185" t="s">
        <v>423</v>
      </c>
      <c r="C185" t="s">
        <v>598</v>
      </c>
      <c r="D185" t="s">
        <v>598</v>
      </c>
      <c r="F185" t="s">
        <v>598</v>
      </c>
      <c r="G185" t="s">
        <v>772</v>
      </c>
      <c r="H185" t="s">
        <v>800</v>
      </c>
      <c r="J185" t="s">
        <v>801</v>
      </c>
      <c r="K185" t="s">
        <v>976</v>
      </c>
      <c r="L185" t="s">
        <v>976</v>
      </c>
    </row>
    <row r="186" spans="2:12">
      <c r="B186" t="s">
        <v>423</v>
      </c>
      <c r="C186" t="s">
        <v>599</v>
      </c>
      <c r="D186" t="s">
        <v>599</v>
      </c>
      <c r="F186" t="s">
        <v>599</v>
      </c>
      <c r="G186" t="s">
        <v>772</v>
      </c>
      <c r="H186" t="s">
        <v>800</v>
      </c>
      <c r="J186" t="s">
        <v>801</v>
      </c>
      <c r="K186" t="s">
        <v>977</v>
      </c>
      <c r="L186" t="s">
        <v>977</v>
      </c>
    </row>
    <row r="187" spans="2:12">
      <c r="B187" t="s">
        <v>423</v>
      </c>
      <c r="C187" t="s">
        <v>600</v>
      </c>
      <c r="D187" t="s">
        <v>600</v>
      </c>
      <c r="F187" t="s">
        <v>600</v>
      </c>
      <c r="G187" t="s">
        <v>772</v>
      </c>
      <c r="H187" t="s">
        <v>800</v>
      </c>
      <c r="J187" t="s">
        <v>801</v>
      </c>
      <c r="K187" t="s">
        <v>978</v>
      </c>
      <c r="L187" t="s">
        <v>978</v>
      </c>
    </row>
    <row r="188" spans="2:12">
      <c r="B188" t="s">
        <v>423</v>
      </c>
      <c r="C188" t="s">
        <v>601</v>
      </c>
      <c r="D188" t="s">
        <v>601</v>
      </c>
      <c r="F188" t="s">
        <v>601</v>
      </c>
      <c r="G188" t="s">
        <v>772</v>
      </c>
      <c r="H188" t="s">
        <v>800</v>
      </c>
      <c r="J188" t="s">
        <v>801</v>
      </c>
      <c r="K188" t="s">
        <v>979</v>
      </c>
      <c r="L188" t="s">
        <v>979</v>
      </c>
    </row>
    <row r="189" spans="2:12">
      <c r="B189" t="s">
        <v>423</v>
      </c>
      <c r="C189" t="s">
        <v>602</v>
      </c>
      <c r="D189" t="s">
        <v>602</v>
      </c>
      <c r="F189" t="s">
        <v>602</v>
      </c>
      <c r="G189" t="s">
        <v>772</v>
      </c>
      <c r="H189" t="s">
        <v>800</v>
      </c>
      <c r="J189" t="s">
        <v>801</v>
      </c>
      <c r="K189" t="s">
        <v>980</v>
      </c>
      <c r="L189" t="s">
        <v>980</v>
      </c>
    </row>
    <row r="190" spans="2:12">
      <c r="B190" t="s">
        <v>423</v>
      </c>
      <c r="C190" t="s">
        <v>603</v>
      </c>
      <c r="D190" t="s">
        <v>603</v>
      </c>
      <c r="F190" t="s">
        <v>603</v>
      </c>
      <c r="G190" t="s">
        <v>772</v>
      </c>
      <c r="H190" t="s">
        <v>779</v>
      </c>
      <c r="J190" t="s">
        <v>801</v>
      </c>
      <c r="K190" t="s">
        <v>981</v>
      </c>
      <c r="L190" t="s">
        <v>981</v>
      </c>
    </row>
    <row r="191" spans="2:12">
      <c r="B191" t="s">
        <v>423</v>
      </c>
      <c r="C191" t="s">
        <v>604</v>
      </c>
      <c r="D191" t="s">
        <v>604</v>
      </c>
      <c r="F191" t="s">
        <v>604</v>
      </c>
      <c r="G191" t="s">
        <v>772</v>
      </c>
      <c r="H191" t="s">
        <v>782</v>
      </c>
      <c r="J191" t="s">
        <v>801</v>
      </c>
      <c r="K191" t="s">
        <v>982</v>
      </c>
      <c r="L191" t="s">
        <v>982</v>
      </c>
    </row>
    <row r="192" spans="2:12">
      <c r="B192" t="s">
        <v>423</v>
      </c>
      <c r="C192" t="s">
        <v>605</v>
      </c>
      <c r="D192" t="s">
        <v>605</v>
      </c>
      <c r="F192" t="s">
        <v>605</v>
      </c>
      <c r="G192" t="s">
        <v>772</v>
      </c>
      <c r="H192" t="s">
        <v>782</v>
      </c>
      <c r="J192" t="s">
        <v>801</v>
      </c>
      <c r="K192" t="s">
        <v>983</v>
      </c>
      <c r="L192" t="s">
        <v>983</v>
      </c>
    </row>
    <row r="193" spans="2:12">
      <c r="B193" t="s">
        <v>423</v>
      </c>
      <c r="C193" t="s">
        <v>606</v>
      </c>
      <c r="D193" t="s">
        <v>606</v>
      </c>
      <c r="F193" t="s">
        <v>606</v>
      </c>
      <c r="G193" t="s">
        <v>772</v>
      </c>
      <c r="H193" t="s">
        <v>779</v>
      </c>
      <c r="J193" t="s">
        <v>801</v>
      </c>
      <c r="K193" t="s">
        <v>984</v>
      </c>
      <c r="L193" t="s">
        <v>984</v>
      </c>
    </row>
    <row r="194" spans="2:12">
      <c r="B194" t="s">
        <v>423</v>
      </c>
      <c r="C194" t="s">
        <v>607</v>
      </c>
      <c r="D194" t="s">
        <v>607</v>
      </c>
      <c r="F194" t="s">
        <v>607</v>
      </c>
      <c r="G194" t="s">
        <v>772</v>
      </c>
      <c r="H194" t="s">
        <v>779</v>
      </c>
      <c r="J194" t="s">
        <v>801</v>
      </c>
      <c r="K194" t="s">
        <v>985</v>
      </c>
      <c r="L194" t="s">
        <v>985</v>
      </c>
    </row>
    <row r="195" spans="2:12">
      <c r="B195" t="s">
        <v>423</v>
      </c>
      <c r="C195" t="s">
        <v>608</v>
      </c>
      <c r="D195" t="s">
        <v>608</v>
      </c>
      <c r="F195" t="s">
        <v>608</v>
      </c>
      <c r="G195" t="s">
        <v>772</v>
      </c>
      <c r="H195" t="s">
        <v>783</v>
      </c>
      <c r="J195" t="s">
        <v>801</v>
      </c>
      <c r="K195" t="s">
        <v>986</v>
      </c>
      <c r="L195" t="s">
        <v>986</v>
      </c>
    </row>
    <row r="196" spans="2:12">
      <c r="B196" t="s">
        <v>423</v>
      </c>
      <c r="C196" t="s">
        <v>609</v>
      </c>
      <c r="D196" t="s">
        <v>609</v>
      </c>
      <c r="F196" t="s">
        <v>609</v>
      </c>
      <c r="G196" t="s">
        <v>772</v>
      </c>
      <c r="H196" t="s">
        <v>783</v>
      </c>
      <c r="J196" t="s">
        <v>801</v>
      </c>
      <c r="K196" t="s">
        <v>987</v>
      </c>
      <c r="L196" t="s">
        <v>987</v>
      </c>
    </row>
    <row r="197" spans="2:12">
      <c r="B197" t="s">
        <v>423</v>
      </c>
      <c r="C197" t="s">
        <v>610</v>
      </c>
      <c r="D197" t="s">
        <v>610</v>
      </c>
      <c r="F197" t="s">
        <v>610</v>
      </c>
      <c r="G197" t="s">
        <v>772</v>
      </c>
      <c r="H197" t="s">
        <v>783</v>
      </c>
      <c r="J197" t="s">
        <v>801</v>
      </c>
      <c r="K197" t="s">
        <v>988</v>
      </c>
      <c r="L197" t="s">
        <v>988</v>
      </c>
    </row>
    <row r="198" spans="2:12">
      <c r="B198" t="s">
        <v>423</v>
      </c>
      <c r="C198" t="s">
        <v>611</v>
      </c>
      <c r="D198" t="s">
        <v>611</v>
      </c>
      <c r="F198" t="s">
        <v>611</v>
      </c>
      <c r="G198" t="s">
        <v>772</v>
      </c>
      <c r="H198" t="s">
        <v>783</v>
      </c>
      <c r="J198" t="s">
        <v>801</v>
      </c>
      <c r="K198" t="s">
        <v>989</v>
      </c>
      <c r="L198" t="s">
        <v>989</v>
      </c>
    </row>
    <row r="199" spans="2:12">
      <c r="B199" t="s">
        <v>423</v>
      </c>
      <c r="C199" t="s">
        <v>612</v>
      </c>
      <c r="D199" t="s">
        <v>612</v>
      </c>
      <c r="F199" t="s">
        <v>612</v>
      </c>
      <c r="G199" t="s">
        <v>772</v>
      </c>
      <c r="H199" t="s">
        <v>774</v>
      </c>
      <c r="J199" t="s">
        <v>801</v>
      </c>
      <c r="K199" t="s">
        <v>990</v>
      </c>
      <c r="L199" t="s">
        <v>990</v>
      </c>
    </row>
    <row r="200" spans="2:12">
      <c r="B200" t="s">
        <v>423</v>
      </c>
      <c r="C200" t="s">
        <v>613</v>
      </c>
      <c r="D200" t="s">
        <v>613</v>
      </c>
      <c r="F200" t="s">
        <v>613</v>
      </c>
      <c r="G200" t="s">
        <v>772</v>
      </c>
      <c r="H200" t="s">
        <v>774</v>
      </c>
      <c r="J200" t="s">
        <v>801</v>
      </c>
      <c r="K200" t="s">
        <v>991</v>
      </c>
      <c r="L200" t="s">
        <v>991</v>
      </c>
    </row>
    <row r="201" spans="2:12">
      <c r="B201" t="s">
        <v>423</v>
      </c>
      <c r="C201" t="s">
        <v>614</v>
      </c>
      <c r="D201" t="s">
        <v>614</v>
      </c>
      <c r="F201" t="s">
        <v>614</v>
      </c>
      <c r="G201" t="s">
        <v>772</v>
      </c>
      <c r="H201" t="s">
        <v>782</v>
      </c>
      <c r="J201" t="s">
        <v>801</v>
      </c>
      <c r="K201" t="s">
        <v>992</v>
      </c>
      <c r="L201" t="s">
        <v>992</v>
      </c>
    </row>
    <row r="202" spans="2:12">
      <c r="B202" t="s">
        <v>423</v>
      </c>
      <c r="C202" t="s">
        <v>615</v>
      </c>
      <c r="D202" t="s">
        <v>615</v>
      </c>
      <c r="F202" t="s">
        <v>615</v>
      </c>
      <c r="G202" t="s">
        <v>772</v>
      </c>
      <c r="H202" t="s">
        <v>784</v>
      </c>
      <c r="J202" t="s">
        <v>801</v>
      </c>
      <c r="K202" t="s">
        <v>993</v>
      </c>
      <c r="L202" t="s">
        <v>993</v>
      </c>
    </row>
    <row r="203" spans="2:12">
      <c r="B203" t="s">
        <v>423</v>
      </c>
      <c r="C203" t="s">
        <v>616</v>
      </c>
      <c r="D203" t="s">
        <v>616</v>
      </c>
      <c r="F203" t="s">
        <v>616</v>
      </c>
      <c r="G203" t="s">
        <v>772</v>
      </c>
      <c r="H203" t="s">
        <v>782</v>
      </c>
      <c r="J203" t="s">
        <v>801</v>
      </c>
      <c r="K203" t="s">
        <v>994</v>
      </c>
      <c r="L203" t="s">
        <v>994</v>
      </c>
    </row>
    <row r="204" spans="2:12">
      <c r="B204" t="s">
        <v>423</v>
      </c>
      <c r="C204" t="s">
        <v>617</v>
      </c>
      <c r="D204" t="s">
        <v>617</v>
      </c>
      <c r="F204" t="s">
        <v>617</v>
      </c>
      <c r="G204" t="s">
        <v>772</v>
      </c>
      <c r="H204" t="s">
        <v>782</v>
      </c>
      <c r="J204" t="s">
        <v>801</v>
      </c>
      <c r="K204" t="s">
        <v>995</v>
      </c>
      <c r="L204" t="s">
        <v>995</v>
      </c>
    </row>
    <row r="205" spans="2:12">
      <c r="B205" t="s">
        <v>423</v>
      </c>
      <c r="C205" t="s">
        <v>618</v>
      </c>
      <c r="D205" t="s">
        <v>618</v>
      </c>
      <c r="F205" t="s">
        <v>618</v>
      </c>
      <c r="G205" t="s">
        <v>772</v>
      </c>
      <c r="H205" t="s">
        <v>785</v>
      </c>
      <c r="J205" t="s">
        <v>801</v>
      </c>
      <c r="K205" t="s">
        <v>996</v>
      </c>
      <c r="L205" t="s">
        <v>996</v>
      </c>
    </row>
    <row r="206" spans="2:12">
      <c r="B206" t="s">
        <v>423</v>
      </c>
      <c r="C206" t="s">
        <v>619</v>
      </c>
      <c r="D206" t="s">
        <v>619</v>
      </c>
      <c r="F206" t="s">
        <v>619</v>
      </c>
      <c r="G206" t="s">
        <v>772</v>
      </c>
      <c r="H206" t="s">
        <v>773</v>
      </c>
      <c r="J206" t="s">
        <v>801</v>
      </c>
      <c r="K206" t="s">
        <v>997</v>
      </c>
      <c r="L206" t="s">
        <v>997</v>
      </c>
    </row>
    <row r="207" spans="2:12">
      <c r="B207" t="s">
        <v>423</v>
      </c>
      <c r="C207" t="s">
        <v>620</v>
      </c>
      <c r="D207" t="s">
        <v>620</v>
      </c>
      <c r="F207" t="s">
        <v>620</v>
      </c>
      <c r="G207" t="s">
        <v>772</v>
      </c>
      <c r="H207" t="s">
        <v>774</v>
      </c>
      <c r="J207" t="s">
        <v>801</v>
      </c>
      <c r="K207" t="s">
        <v>998</v>
      </c>
      <c r="L207" t="s">
        <v>998</v>
      </c>
    </row>
    <row r="208" spans="2:12">
      <c r="B208" t="s">
        <v>423</v>
      </c>
      <c r="C208" t="s">
        <v>621</v>
      </c>
      <c r="D208" t="s">
        <v>621</v>
      </c>
      <c r="F208" t="s">
        <v>621</v>
      </c>
      <c r="G208" t="s">
        <v>772</v>
      </c>
      <c r="H208" t="s">
        <v>774</v>
      </c>
      <c r="J208" t="s">
        <v>801</v>
      </c>
      <c r="K208" t="s">
        <v>999</v>
      </c>
      <c r="L208" t="s">
        <v>999</v>
      </c>
    </row>
    <row r="209" spans="2:12">
      <c r="B209" t="s">
        <v>423</v>
      </c>
      <c r="C209" t="s">
        <v>622</v>
      </c>
      <c r="D209" t="s">
        <v>622</v>
      </c>
      <c r="F209" t="s">
        <v>622</v>
      </c>
      <c r="G209" t="s">
        <v>772</v>
      </c>
      <c r="H209" t="s">
        <v>786</v>
      </c>
      <c r="J209" t="s">
        <v>801</v>
      </c>
      <c r="K209" t="s">
        <v>1000</v>
      </c>
      <c r="L209" t="s">
        <v>1000</v>
      </c>
    </row>
    <row r="210" spans="2:12">
      <c r="B210" t="s">
        <v>423</v>
      </c>
      <c r="C210" t="s">
        <v>623</v>
      </c>
      <c r="D210" t="s">
        <v>623</v>
      </c>
      <c r="F210" t="s">
        <v>623</v>
      </c>
      <c r="G210" t="s">
        <v>772</v>
      </c>
      <c r="H210" t="s">
        <v>782</v>
      </c>
      <c r="J210" t="s">
        <v>801</v>
      </c>
      <c r="K210" t="s">
        <v>1001</v>
      </c>
      <c r="L210" t="s">
        <v>1001</v>
      </c>
    </row>
    <row r="211" spans="2:12">
      <c r="B211" t="s">
        <v>423</v>
      </c>
      <c r="C211" t="s">
        <v>624</v>
      </c>
      <c r="D211" t="s">
        <v>624</v>
      </c>
      <c r="F211" t="s">
        <v>624</v>
      </c>
      <c r="G211" t="s">
        <v>772</v>
      </c>
      <c r="H211" t="s">
        <v>773</v>
      </c>
      <c r="J211" t="s">
        <v>801</v>
      </c>
      <c r="K211" t="s">
        <v>1002</v>
      </c>
      <c r="L211" t="s">
        <v>1002</v>
      </c>
    </row>
    <row r="212" spans="2:12">
      <c r="B212" t="s">
        <v>423</v>
      </c>
      <c r="C212" t="s">
        <v>625</v>
      </c>
      <c r="D212" t="s">
        <v>625</v>
      </c>
      <c r="F212" t="s">
        <v>625</v>
      </c>
      <c r="G212" t="s">
        <v>772</v>
      </c>
      <c r="H212" t="s">
        <v>787</v>
      </c>
      <c r="J212" t="s">
        <v>801</v>
      </c>
      <c r="K212" t="s">
        <v>1003</v>
      </c>
      <c r="L212" t="s">
        <v>1003</v>
      </c>
    </row>
    <row r="213" spans="2:12">
      <c r="B213" t="s">
        <v>423</v>
      </c>
      <c r="C213" t="s">
        <v>626</v>
      </c>
      <c r="D213" t="s">
        <v>626</v>
      </c>
      <c r="F213" t="s">
        <v>626</v>
      </c>
      <c r="G213" t="s">
        <v>772</v>
      </c>
      <c r="H213" t="s">
        <v>786</v>
      </c>
      <c r="J213" t="s">
        <v>801</v>
      </c>
      <c r="K213" t="s">
        <v>1004</v>
      </c>
      <c r="L213" t="s">
        <v>1004</v>
      </c>
    </row>
    <row r="214" spans="2:12">
      <c r="B214" t="s">
        <v>423</v>
      </c>
      <c r="C214" t="s">
        <v>627</v>
      </c>
      <c r="D214" t="s">
        <v>627</v>
      </c>
      <c r="F214" t="s">
        <v>627</v>
      </c>
      <c r="G214" t="s">
        <v>772</v>
      </c>
      <c r="H214" t="s">
        <v>775</v>
      </c>
      <c r="J214" t="s">
        <v>801</v>
      </c>
      <c r="K214" t="s">
        <v>1005</v>
      </c>
      <c r="L214" t="s">
        <v>1005</v>
      </c>
    </row>
    <row r="215" spans="2:12">
      <c r="B215" t="s">
        <v>423</v>
      </c>
      <c r="C215" t="s">
        <v>628</v>
      </c>
      <c r="D215" t="s">
        <v>628</v>
      </c>
      <c r="F215" t="s">
        <v>628</v>
      </c>
      <c r="G215" t="s">
        <v>772</v>
      </c>
      <c r="H215" t="s">
        <v>786</v>
      </c>
      <c r="J215" t="s">
        <v>801</v>
      </c>
      <c r="K215" t="s">
        <v>1006</v>
      </c>
      <c r="L215" t="s">
        <v>1006</v>
      </c>
    </row>
    <row r="216" spans="2:12">
      <c r="B216" t="s">
        <v>423</v>
      </c>
      <c r="C216" t="s">
        <v>629</v>
      </c>
      <c r="D216" t="s">
        <v>629</v>
      </c>
      <c r="F216" t="s">
        <v>629</v>
      </c>
      <c r="G216" t="s">
        <v>772</v>
      </c>
      <c r="H216" t="s">
        <v>786</v>
      </c>
      <c r="J216" t="s">
        <v>801</v>
      </c>
      <c r="K216" t="s">
        <v>1007</v>
      </c>
      <c r="L216" t="s">
        <v>1007</v>
      </c>
    </row>
    <row r="217" spans="2:12">
      <c r="B217" t="s">
        <v>423</v>
      </c>
      <c r="C217" t="s">
        <v>630</v>
      </c>
      <c r="D217" t="s">
        <v>630</v>
      </c>
      <c r="F217" t="s">
        <v>630</v>
      </c>
      <c r="G217" t="s">
        <v>772</v>
      </c>
      <c r="H217" t="s">
        <v>786</v>
      </c>
      <c r="J217" t="s">
        <v>801</v>
      </c>
      <c r="K217" t="s">
        <v>1008</v>
      </c>
      <c r="L217" t="s">
        <v>1008</v>
      </c>
    </row>
    <row r="218" spans="2:12">
      <c r="B218" t="s">
        <v>423</v>
      </c>
      <c r="C218" t="s">
        <v>631</v>
      </c>
      <c r="D218" t="s">
        <v>631</v>
      </c>
      <c r="F218" t="s">
        <v>631</v>
      </c>
      <c r="G218" t="s">
        <v>772</v>
      </c>
      <c r="H218" t="s">
        <v>782</v>
      </c>
      <c r="J218" t="s">
        <v>801</v>
      </c>
      <c r="K218" t="s">
        <v>1009</v>
      </c>
      <c r="L218" t="s">
        <v>1009</v>
      </c>
    </row>
    <row r="219" spans="2:12">
      <c r="B219" t="s">
        <v>423</v>
      </c>
      <c r="C219" t="s">
        <v>632</v>
      </c>
      <c r="D219" t="s">
        <v>632</v>
      </c>
      <c r="F219" t="s">
        <v>632</v>
      </c>
      <c r="G219" t="s">
        <v>772</v>
      </c>
      <c r="H219" t="s">
        <v>779</v>
      </c>
      <c r="J219" t="s">
        <v>801</v>
      </c>
      <c r="K219" t="s">
        <v>1010</v>
      </c>
      <c r="L219" t="s">
        <v>1010</v>
      </c>
    </row>
    <row r="220" spans="2:12">
      <c r="B220" t="s">
        <v>423</v>
      </c>
      <c r="C220" t="s">
        <v>633</v>
      </c>
      <c r="D220" t="s">
        <v>633</v>
      </c>
      <c r="F220" t="s">
        <v>633</v>
      </c>
      <c r="G220" t="s">
        <v>772</v>
      </c>
      <c r="H220" t="s">
        <v>779</v>
      </c>
      <c r="J220" t="s">
        <v>801</v>
      </c>
      <c r="K220" t="s">
        <v>1011</v>
      </c>
      <c r="L220" t="s">
        <v>1011</v>
      </c>
    </row>
    <row r="221" spans="2:12">
      <c r="B221" t="s">
        <v>423</v>
      </c>
      <c r="C221" t="s">
        <v>634</v>
      </c>
      <c r="D221" t="s">
        <v>634</v>
      </c>
      <c r="F221" t="s">
        <v>634</v>
      </c>
      <c r="G221" t="s">
        <v>772</v>
      </c>
      <c r="H221" t="s">
        <v>788</v>
      </c>
      <c r="J221" t="s">
        <v>801</v>
      </c>
      <c r="K221" t="s">
        <v>1012</v>
      </c>
      <c r="L221" t="s">
        <v>1012</v>
      </c>
    </row>
    <row r="222" spans="2:12">
      <c r="B222" t="s">
        <v>423</v>
      </c>
      <c r="C222" t="s">
        <v>635</v>
      </c>
      <c r="D222" t="s">
        <v>635</v>
      </c>
      <c r="F222" t="s">
        <v>635</v>
      </c>
      <c r="G222" t="s">
        <v>772</v>
      </c>
      <c r="H222" t="s">
        <v>775</v>
      </c>
      <c r="J222" t="s">
        <v>801</v>
      </c>
      <c r="K222" t="s">
        <v>1013</v>
      </c>
      <c r="L222" t="s">
        <v>1013</v>
      </c>
    </row>
    <row r="223" spans="2:12">
      <c r="B223" t="s">
        <v>423</v>
      </c>
      <c r="C223" t="s">
        <v>636</v>
      </c>
      <c r="D223" t="s">
        <v>636</v>
      </c>
      <c r="F223" t="s">
        <v>636</v>
      </c>
      <c r="G223" t="s">
        <v>772</v>
      </c>
      <c r="H223" t="s">
        <v>789</v>
      </c>
      <c r="J223" t="s">
        <v>801</v>
      </c>
      <c r="K223" t="s">
        <v>1014</v>
      </c>
      <c r="L223" t="s">
        <v>1014</v>
      </c>
    </row>
    <row r="224" spans="2:12">
      <c r="B224" t="s">
        <v>423</v>
      </c>
      <c r="C224" t="s">
        <v>637</v>
      </c>
      <c r="D224" t="s">
        <v>637</v>
      </c>
      <c r="F224" t="s">
        <v>637</v>
      </c>
      <c r="G224" t="s">
        <v>772</v>
      </c>
      <c r="H224" t="s">
        <v>788</v>
      </c>
      <c r="J224" t="s">
        <v>801</v>
      </c>
      <c r="K224" t="s">
        <v>1015</v>
      </c>
      <c r="L224" t="s">
        <v>1015</v>
      </c>
    </row>
    <row r="225" spans="2:12">
      <c r="B225" t="s">
        <v>423</v>
      </c>
      <c r="C225" t="s">
        <v>638</v>
      </c>
      <c r="D225" t="s">
        <v>638</v>
      </c>
      <c r="F225" t="s">
        <v>638</v>
      </c>
      <c r="G225" t="s">
        <v>772</v>
      </c>
      <c r="H225" t="s">
        <v>790</v>
      </c>
      <c r="J225" t="s">
        <v>801</v>
      </c>
      <c r="K225" t="s">
        <v>1016</v>
      </c>
      <c r="L225" t="s">
        <v>1016</v>
      </c>
    </row>
    <row r="226" spans="2:12">
      <c r="B226" t="s">
        <v>423</v>
      </c>
      <c r="C226" t="s">
        <v>639</v>
      </c>
      <c r="D226" t="s">
        <v>639</v>
      </c>
      <c r="F226" t="s">
        <v>639</v>
      </c>
      <c r="G226" t="s">
        <v>772</v>
      </c>
      <c r="H226" t="s">
        <v>791</v>
      </c>
      <c r="J226" t="s">
        <v>801</v>
      </c>
      <c r="K226" t="s">
        <v>1017</v>
      </c>
      <c r="L226" t="s">
        <v>1017</v>
      </c>
    </row>
    <row r="227" spans="2:12">
      <c r="B227" t="s">
        <v>423</v>
      </c>
      <c r="C227" t="s">
        <v>640</v>
      </c>
      <c r="D227" t="s">
        <v>640</v>
      </c>
      <c r="F227" t="s">
        <v>640</v>
      </c>
      <c r="G227" t="s">
        <v>772</v>
      </c>
      <c r="H227" t="s">
        <v>792</v>
      </c>
      <c r="J227" t="s">
        <v>801</v>
      </c>
      <c r="K227" t="s">
        <v>1018</v>
      </c>
      <c r="L227" t="s">
        <v>1018</v>
      </c>
    </row>
    <row r="228" spans="2:12">
      <c r="B228" t="s">
        <v>423</v>
      </c>
      <c r="C228" t="s">
        <v>641</v>
      </c>
      <c r="D228" t="s">
        <v>641</v>
      </c>
      <c r="F228" t="s">
        <v>641</v>
      </c>
      <c r="G228" t="s">
        <v>772</v>
      </c>
      <c r="H228" t="s">
        <v>793</v>
      </c>
      <c r="J228" t="s">
        <v>801</v>
      </c>
      <c r="K228" t="s">
        <v>1019</v>
      </c>
      <c r="L228" t="s">
        <v>1019</v>
      </c>
    </row>
    <row r="229" spans="2:12">
      <c r="B229" t="s">
        <v>423</v>
      </c>
      <c r="C229" t="s">
        <v>642</v>
      </c>
      <c r="D229" t="s">
        <v>642</v>
      </c>
      <c r="F229" t="s">
        <v>642</v>
      </c>
      <c r="G229" t="s">
        <v>772</v>
      </c>
      <c r="H229" t="s">
        <v>794</v>
      </c>
      <c r="J229" t="s">
        <v>801</v>
      </c>
      <c r="K229" t="s">
        <v>1020</v>
      </c>
      <c r="L229" t="s">
        <v>1020</v>
      </c>
    </row>
    <row r="230" spans="2:12">
      <c r="B230" t="s">
        <v>423</v>
      </c>
      <c r="C230" t="s">
        <v>643</v>
      </c>
      <c r="D230" t="s">
        <v>643</v>
      </c>
      <c r="F230" t="s">
        <v>643</v>
      </c>
      <c r="G230" t="s">
        <v>772</v>
      </c>
      <c r="H230" t="s">
        <v>795</v>
      </c>
      <c r="J230" t="s">
        <v>801</v>
      </c>
      <c r="K230" t="s">
        <v>1021</v>
      </c>
      <c r="L230" t="s">
        <v>1021</v>
      </c>
    </row>
    <row r="231" spans="2:12">
      <c r="B231" t="s">
        <v>423</v>
      </c>
      <c r="C231" t="s">
        <v>644</v>
      </c>
      <c r="D231" t="s">
        <v>644</v>
      </c>
      <c r="F231" t="s">
        <v>644</v>
      </c>
      <c r="G231" t="s">
        <v>772</v>
      </c>
      <c r="H231" t="s">
        <v>795</v>
      </c>
      <c r="J231" t="s">
        <v>801</v>
      </c>
      <c r="K231" t="s">
        <v>1022</v>
      </c>
      <c r="L231" t="s">
        <v>1022</v>
      </c>
    </row>
    <row r="232" spans="2:12">
      <c r="B232" t="s">
        <v>423</v>
      </c>
      <c r="C232" t="s">
        <v>645</v>
      </c>
      <c r="D232" t="s">
        <v>645</v>
      </c>
      <c r="F232" t="s">
        <v>645</v>
      </c>
      <c r="G232" t="s">
        <v>772</v>
      </c>
      <c r="H232" t="s">
        <v>778</v>
      </c>
      <c r="J232" t="s">
        <v>801</v>
      </c>
      <c r="K232" t="s">
        <v>1023</v>
      </c>
      <c r="L232" t="s">
        <v>1023</v>
      </c>
    </row>
    <row r="233" spans="2:12">
      <c r="B233" t="s">
        <v>423</v>
      </c>
      <c r="C233" t="s">
        <v>646</v>
      </c>
      <c r="D233" t="s">
        <v>646</v>
      </c>
      <c r="F233" t="s">
        <v>646</v>
      </c>
      <c r="G233" t="s">
        <v>772</v>
      </c>
      <c r="H233" t="s">
        <v>792</v>
      </c>
      <c r="J233" t="s">
        <v>801</v>
      </c>
      <c r="K233" t="s">
        <v>1024</v>
      </c>
      <c r="L233" t="s">
        <v>1024</v>
      </c>
    </row>
    <row r="234" spans="2:12">
      <c r="B234" t="s">
        <v>423</v>
      </c>
      <c r="C234" t="s">
        <v>647</v>
      </c>
      <c r="D234" t="s">
        <v>647</v>
      </c>
      <c r="F234" t="s">
        <v>647</v>
      </c>
      <c r="G234" t="s">
        <v>772</v>
      </c>
      <c r="H234" t="s">
        <v>788</v>
      </c>
      <c r="J234" t="s">
        <v>801</v>
      </c>
      <c r="K234" t="s">
        <v>1025</v>
      </c>
      <c r="L234" t="s">
        <v>1025</v>
      </c>
    </row>
    <row r="235" spans="2:12">
      <c r="B235" t="s">
        <v>423</v>
      </c>
      <c r="C235" t="s">
        <v>648</v>
      </c>
      <c r="D235" t="s">
        <v>648</v>
      </c>
      <c r="F235" t="s">
        <v>648</v>
      </c>
      <c r="G235" t="s">
        <v>772</v>
      </c>
      <c r="H235" t="s">
        <v>795</v>
      </c>
      <c r="J235" t="s">
        <v>801</v>
      </c>
      <c r="K235" t="s">
        <v>1026</v>
      </c>
      <c r="L235" t="s">
        <v>1026</v>
      </c>
    </row>
    <row r="236" spans="2:12">
      <c r="B236" t="s">
        <v>423</v>
      </c>
      <c r="C236" t="s">
        <v>649</v>
      </c>
      <c r="D236" t="s">
        <v>649</v>
      </c>
      <c r="F236" t="s">
        <v>649</v>
      </c>
      <c r="G236" t="s">
        <v>772</v>
      </c>
      <c r="H236" t="s">
        <v>780</v>
      </c>
      <c r="J236" t="s">
        <v>801</v>
      </c>
      <c r="K236" t="s">
        <v>1027</v>
      </c>
      <c r="L236" t="s">
        <v>1027</v>
      </c>
    </row>
    <row r="237" spans="2:12">
      <c r="B237" t="s">
        <v>423</v>
      </c>
      <c r="C237" t="s">
        <v>650</v>
      </c>
      <c r="D237" t="s">
        <v>650</v>
      </c>
      <c r="F237" t="s">
        <v>650</v>
      </c>
      <c r="G237" t="s">
        <v>772</v>
      </c>
      <c r="H237" t="s">
        <v>796</v>
      </c>
      <c r="J237" t="s">
        <v>801</v>
      </c>
      <c r="K237" t="s">
        <v>1028</v>
      </c>
      <c r="L237" t="s">
        <v>1028</v>
      </c>
    </row>
    <row r="238" spans="2:12">
      <c r="B238" t="s">
        <v>423</v>
      </c>
      <c r="C238" t="s">
        <v>651</v>
      </c>
      <c r="D238" t="s">
        <v>651</v>
      </c>
      <c r="F238" t="s">
        <v>651</v>
      </c>
      <c r="G238" t="s">
        <v>772</v>
      </c>
      <c r="H238" t="s">
        <v>781</v>
      </c>
      <c r="J238" t="s">
        <v>801</v>
      </c>
      <c r="K238" t="s">
        <v>1029</v>
      </c>
      <c r="L238" t="s">
        <v>1029</v>
      </c>
    </row>
    <row r="239" spans="2:12">
      <c r="B239" t="s">
        <v>423</v>
      </c>
      <c r="C239" t="s">
        <v>652</v>
      </c>
      <c r="D239" t="s">
        <v>652</v>
      </c>
      <c r="F239" t="s">
        <v>652</v>
      </c>
      <c r="G239" t="s">
        <v>772</v>
      </c>
      <c r="H239" t="s">
        <v>796</v>
      </c>
      <c r="J239" t="s">
        <v>801</v>
      </c>
      <c r="K239" t="s">
        <v>1030</v>
      </c>
      <c r="L239" t="s">
        <v>1030</v>
      </c>
    </row>
    <row r="240" spans="2:12">
      <c r="B240" t="s">
        <v>423</v>
      </c>
      <c r="C240" t="s">
        <v>653</v>
      </c>
      <c r="D240" t="s">
        <v>653</v>
      </c>
      <c r="F240" t="s">
        <v>653</v>
      </c>
      <c r="G240" t="s">
        <v>772</v>
      </c>
      <c r="H240" t="s">
        <v>796</v>
      </c>
      <c r="J240" t="s">
        <v>801</v>
      </c>
      <c r="K240" t="s">
        <v>1031</v>
      </c>
      <c r="L240" t="s">
        <v>1031</v>
      </c>
    </row>
    <row r="241" spans="2:12">
      <c r="B241" t="s">
        <v>423</v>
      </c>
      <c r="C241" t="s">
        <v>654</v>
      </c>
      <c r="D241" t="s">
        <v>654</v>
      </c>
      <c r="F241" t="s">
        <v>654</v>
      </c>
      <c r="G241" t="s">
        <v>772</v>
      </c>
      <c r="H241" t="s">
        <v>774</v>
      </c>
      <c r="J241" t="s">
        <v>801</v>
      </c>
      <c r="K241" t="s">
        <v>1032</v>
      </c>
      <c r="L241" t="s">
        <v>1032</v>
      </c>
    </row>
    <row r="242" spans="2:12">
      <c r="B242" t="s">
        <v>423</v>
      </c>
      <c r="C242" t="s">
        <v>655</v>
      </c>
      <c r="D242" t="s">
        <v>655</v>
      </c>
      <c r="F242" t="s">
        <v>655</v>
      </c>
      <c r="G242" t="s">
        <v>772</v>
      </c>
      <c r="H242" t="s">
        <v>783</v>
      </c>
      <c r="J242" t="s">
        <v>801</v>
      </c>
      <c r="K242" t="s">
        <v>1033</v>
      </c>
      <c r="L242" t="s">
        <v>1033</v>
      </c>
    </row>
    <row r="243" spans="2:12">
      <c r="B243" t="s">
        <v>423</v>
      </c>
      <c r="C243" t="s">
        <v>656</v>
      </c>
      <c r="D243" t="s">
        <v>656</v>
      </c>
      <c r="F243" t="s">
        <v>656</v>
      </c>
      <c r="G243" t="s">
        <v>772</v>
      </c>
      <c r="H243" t="s">
        <v>781</v>
      </c>
      <c r="J243" t="s">
        <v>801</v>
      </c>
      <c r="K243" t="s">
        <v>1034</v>
      </c>
      <c r="L243" t="s">
        <v>1034</v>
      </c>
    </row>
    <row r="244" spans="2:12">
      <c r="B244" t="s">
        <v>423</v>
      </c>
      <c r="C244" t="s">
        <v>657</v>
      </c>
      <c r="D244" t="s">
        <v>657</v>
      </c>
      <c r="F244" t="s">
        <v>657</v>
      </c>
      <c r="G244" t="s">
        <v>772</v>
      </c>
      <c r="H244" t="s">
        <v>796</v>
      </c>
      <c r="J244" t="s">
        <v>801</v>
      </c>
      <c r="K244" t="s">
        <v>1035</v>
      </c>
      <c r="L244" t="s">
        <v>1035</v>
      </c>
    </row>
    <row r="245" spans="2:12">
      <c r="B245" t="s">
        <v>423</v>
      </c>
      <c r="C245" t="s">
        <v>658</v>
      </c>
      <c r="D245" t="s">
        <v>658</v>
      </c>
      <c r="F245" t="s">
        <v>658</v>
      </c>
      <c r="G245" t="s">
        <v>772</v>
      </c>
      <c r="H245" t="s">
        <v>789</v>
      </c>
      <c r="J245" t="s">
        <v>801</v>
      </c>
      <c r="K245" t="s">
        <v>1036</v>
      </c>
      <c r="L245" t="s">
        <v>1036</v>
      </c>
    </row>
    <row r="246" spans="2:12">
      <c r="B246" t="s">
        <v>423</v>
      </c>
      <c r="C246" t="s">
        <v>659</v>
      </c>
      <c r="D246" t="s">
        <v>659</v>
      </c>
      <c r="F246" t="s">
        <v>659</v>
      </c>
      <c r="G246" t="s">
        <v>772</v>
      </c>
      <c r="H246" t="s">
        <v>781</v>
      </c>
      <c r="J246" t="s">
        <v>801</v>
      </c>
      <c r="K246" t="s">
        <v>1037</v>
      </c>
      <c r="L246" t="s">
        <v>1037</v>
      </c>
    </row>
    <row r="247" spans="2:12">
      <c r="B247" t="s">
        <v>423</v>
      </c>
      <c r="C247" t="s">
        <v>660</v>
      </c>
      <c r="D247" t="s">
        <v>660</v>
      </c>
      <c r="F247" t="s">
        <v>660</v>
      </c>
      <c r="G247" t="s">
        <v>772</v>
      </c>
      <c r="H247" t="s">
        <v>789</v>
      </c>
      <c r="J247" t="s">
        <v>801</v>
      </c>
      <c r="K247" t="s">
        <v>1038</v>
      </c>
      <c r="L247" t="s">
        <v>1038</v>
      </c>
    </row>
    <row r="248" spans="2:12">
      <c r="B248" t="s">
        <v>423</v>
      </c>
      <c r="C248" t="s">
        <v>661</v>
      </c>
      <c r="D248" t="s">
        <v>661</v>
      </c>
      <c r="F248" t="s">
        <v>661</v>
      </c>
      <c r="G248" t="s">
        <v>772</v>
      </c>
      <c r="H248" t="s">
        <v>783</v>
      </c>
      <c r="J248" t="s">
        <v>801</v>
      </c>
      <c r="K248" t="s">
        <v>1039</v>
      </c>
      <c r="L248" t="s">
        <v>1039</v>
      </c>
    </row>
    <row r="249" spans="2:12">
      <c r="B249" t="s">
        <v>423</v>
      </c>
      <c r="C249" t="s">
        <v>662</v>
      </c>
      <c r="D249" t="s">
        <v>662</v>
      </c>
      <c r="F249" t="s">
        <v>662</v>
      </c>
      <c r="G249" t="s">
        <v>772</v>
      </c>
      <c r="H249" t="s">
        <v>783</v>
      </c>
      <c r="J249" t="s">
        <v>801</v>
      </c>
      <c r="K249" t="s">
        <v>1040</v>
      </c>
      <c r="L249" t="s">
        <v>1040</v>
      </c>
    </row>
    <row r="250" spans="2:12">
      <c r="B250" t="s">
        <v>423</v>
      </c>
      <c r="C250" t="s">
        <v>663</v>
      </c>
      <c r="D250" t="s">
        <v>663</v>
      </c>
      <c r="F250" t="s">
        <v>663</v>
      </c>
      <c r="G250" t="s">
        <v>772</v>
      </c>
      <c r="H250" t="s">
        <v>783</v>
      </c>
      <c r="J250" t="s">
        <v>801</v>
      </c>
      <c r="K250" t="s">
        <v>1041</v>
      </c>
      <c r="L250" t="s">
        <v>1041</v>
      </c>
    </row>
    <row r="251" spans="2:12">
      <c r="B251" t="s">
        <v>423</v>
      </c>
      <c r="C251" t="s">
        <v>664</v>
      </c>
      <c r="D251" t="s">
        <v>664</v>
      </c>
      <c r="F251" t="s">
        <v>664</v>
      </c>
      <c r="G251" t="s">
        <v>772</v>
      </c>
      <c r="H251" t="s">
        <v>797</v>
      </c>
      <c r="J251" t="s">
        <v>801</v>
      </c>
      <c r="K251" t="s">
        <v>1042</v>
      </c>
      <c r="L251" t="s">
        <v>1042</v>
      </c>
    </row>
    <row r="252" spans="2:12">
      <c r="B252" t="s">
        <v>423</v>
      </c>
      <c r="C252" t="s">
        <v>665</v>
      </c>
      <c r="D252" t="s">
        <v>665</v>
      </c>
      <c r="F252" t="s">
        <v>665</v>
      </c>
      <c r="G252" t="s">
        <v>772</v>
      </c>
      <c r="H252" t="s">
        <v>797</v>
      </c>
      <c r="J252" t="s">
        <v>801</v>
      </c>
      <c r="K252" t="s">
        <v>1043</v>
      </c>
      <c r="L252" t="s">
        <v>1043</v>
      </c>
    </row>
    <row r="253" spans="2:12">
      <c r="B253" t="s">
        <v>423</v>
      </c>
      <c r="C253" t="s">
        <v>666</v>
      </c>
      <c r="D253" t="s">
        <v>666</v>
      </c>
      <c r="F253" t="s">
        <v>666</v>
      </c>
      <c r="G253" t="s">
        <v>772</v>
      </c>
      <c r="H253" t="s">
        <v>777</v>
      </c>
      <c r="J253" t="s">
        <v>801</v>
      </c>
      <c r="K253" t="s">
        <v>1044</v>
      </c>
      <c r="L253" t="s">
        <v>1044</v>
      </c>
    </row>
    <row r="254" spans="2:12">
      <c r="B254" t="s">
        <v>423</v>
      </c>
      <c r="C254" t="s">
        <v>667</v>
      </c>
      <c r="D254" t="s">
        <v>667</v>
      </c>
      <c r="F254" t="s">
        <v>667</v>
      </c>
      <c r="G254" t="s">
        <v>772</v>
      </c>
      <c r="H254" t="s">
        <v>783</v>
      </c>
      <c r="J254" t="s">
        <v>801</v>
      </c>
      <c r="K254" t="s">
        <v>1045</v>
      </c>
      <c r="L254" t="s">
        <v>1045</v>
      </c>
    </row>
    <row r="255" spans="2:12">
      <c r="B255" t="s">
        <v>423</v>
      </c>
      <c r="C255" t="s">
        <v>668</v>
      </c>
      <c r="D255" t="s">
        <v>668</v>
      </c>
      <c r="F255" t="s">
        <v>668</v>
      </c>
      <c r="G255" t="s">
        <v>772</v>
      </c>
      <c r="H255" t="s">
        <v>780</v>
      </c>
      <c r="J255" t="s">
        <v>801</v>
      </c>
      <c r="K255" t="s">
        <v>1046</v>
      </c>
      <c r="L255" t="s">
        <v>1046</v>
      </c>
    </row>
    <row r="256" spans="2:12">
      <c r="B256" t="s">
        <v>423</v>
      </c>
      <c r="C256" t="s">
        <v>669</v>
      </c>
      <c r="D256" t="s">
        <v>669</v>
      </c>
      <c r="F256" t="s">
        <v>669</v>
      </c>
      <c r="G256" t="s">
        <v>772</v>
      </c>
      <c r="H256" t="s">
        <v>777</v>
      </c>
      <c r="J256" t="s">
        <v>801</v>
      </c>
      <c r="K256" t="s">
        <v>1047</v>
      </c>
      <c r="L256" t="s">
        <v>1047</v>
      </c>
    </row>
    <row r="257" spans="2:12">
      <c r="B257" t="s">
        <v>423</v>
      </c>
      <c r="C257" t="s">
        <v>670</v>
      </c>
      <c r="D257" t="s">
        <v>670</v>
      </c>
      <c r="F257" t="s">
        <v>670</v>
      </c>
      <c r="G257" t="s">
        <v>772</v>
      </c>
      <c r="H257" t="s">
        <v>776</v>
      </c>
      <c r="J257" t="s">
        <v>801</v>
      </c>
      <c r="K257" t="s">
        <v>1048</v>
      </c>
      <c r="L257" t="s">
        <v>1048</v>
      </c>
    </row>
    <row r="258" spans="2:12">
      <c r="B258" t="s">
        <v>423</v>
      </c>
      <c r="C258" t="s">
        <v>671</v>
      </c>
      <c r="D258" t="s">
        <v>671</v>
      </c>
      <c r="F258" t="s">
        <v>671</v>
      </c>
      <c r="G258" t="s">
        <v>772</v>
      </c>
      <c r="H258" t="s">
        <v>780</v>
      </c>
      <c r="J258" t="s">
        <v>801</v>
      </c>
      <c r="K258" t="s">
        <v>1049</v>
      </c>
      <c r="L258" t="s">
        <v>1049</v>
      </c>
    </row>
    <row r="259" spans="2:12">
      <c r="B259" t="s">
        <v>423</v>
      </c>
      <c r="C259" t="s">
        <v>672</v>
      </c>
      <c r="D259" t="s">
        <v>672</v>
      </c>
      <c r="F259" t="s">
        <v>672</v>
      </c>
      <c r="G259" t="s">
        <v>772</v>
      </c>
      <c r="H259" t="s">
        <v>780</v>
      </c>
      <c r="J259" t="s">
        <v>801</v>
      </c>
      <c r="K259" t="s">
        <v>1050</v>
      </c>
      <c r="L259" t="s">
        <v>1050</v>
      </c>
    </row>
    <row r="260" spans="2:12">
      <c r="B260" t="s">
        <v>423</v>
      </c>
      <c r="C260" t="s">
        <v>673</v>
      </c>
      <c r="D260" t="s">
        <v>673</v>
      </c>
      <c r="F260" t="s">
        <v>673</v>
      </c>
      <c r="G260" t="s">
        <v>772</v>
      </c>
      <c r="H260" t="s">
        <v>776</v>
      </c>
      <c r="J260" t="s">
        <v>801</v>
      </c>
      <c r="K260" t="s">
        <v>1051</v>
      </c>
      <c r="L260" t="s">
        <v>1051</v>
      </c>
    </row>
    <row r="261" spans="2:12">
      <c r="B261" t="s">
        <v>423</v>
      </c>
      <c r="C261" t="s">
        <v>674</v>
      </c>
      <c r="D261" t="s">
        <v>674</v>
      </c>
      <c r="F261" t="s">
        <v>674</v>
      </c>
      <c r="G261" t="s">
        <v>772</v>
      </c>
      <c r="H261" t="s">
        <v>776</v>
      </c>
      <c r="J261" t="s">
        <v>801</v>
      </c>
      <c r="K261" t="s">
        <v>1052</v>
      </c>
      <c r="L261" t="s">
        <v>1052</v>
      </c>
    </row>
    <row r="262" spans="2:12">
      <c r="B262" t="s">
        <v>423</v>
      </c>
      <c r="C262" t="s">
        <v>675</v>
      </c>
      <c r="D262" t="s">
        <v>675</v>
      </c>
      <c r="F262" t="s">
        <v>675</v>
      </c>
      <c r="G262" t="s">
        <v>772</v>
      </c>
      <c r="H262" t="s">
        <v>776</v>
      </c>
      <c r="J262" t="s">
        <v>801</v>
      </c>
      <c r="K262" t="s">
        <v>1053</v>
      </c>
      <c r="L262" t="s">
        <v>1053</v>
      </c>
    </row>
    <row r="263" spans="2:12">
      <c r="B263" t="s">
        <v>423</v>
      </c>
      <c r="C263" t="s">
        <v>676</v>
      </c>
      <c r="D263" t="s">
        <v>676</v>
      </c>
      <c r="F263" t="s">
        <v>676</v>
      </c>
      <c r="G263" t="s">
        <v>772</v>
      </c>
      <c r="H263" t="s">
        <v>798</v>
      </c>
      <c r="J263" t="s">
        <v>801</v>
      </c>
      <c r="K263" t="s">
        <v>1054</v>
      </c>
      <c r="L263" t="s">
        <v>1054</v>
      </c>
    </row>
    <row r="264" spans="2:12">
      <c r="B264" t="s">
        <v>423</v>
      </c>
      <c r="C264" t="s">
        <v>677</v>
      </c>
      <c r="D264" t="s">
        <v>677</v>
      </c>
      <c r="F264" t="s">
        <v>677</v>
      </c>
      <c r="G264" t="s">
        <v>772</v>
      </c>
      <c r="H264" t="s">
        <v>798</v>
      </c>
      <c r="J264" t="s">
        <v>801</v>
      </c>
      <c r="K264" t="s">
        <v>1055</v>
      </c>
      <c r="L264" t="s">
        <v>1055</v>
      </c>
    </row>
    <row r="265" spans="2:12">
      <c r="B265" t="s">
        <v>423</v>
      </c>
      <c r="C265" t="s">
        <v>678</v>
      </c>
      <c r="D265" t="s">
        <v>678</v>
      </c>
      <c r="F265" t="s">
        <v>678</v>
      </c>
      <c r="G265" t="s">
        <v>772</v>
      </c>
      <c r="H265" t="s">
        <v>797</v>
      </c>
      <c r="J265" t="s">
        <v>801</v>
      </c>
      <c r="K265" t="s">
        <v>1056</v>
      </c>
      <c r="L265" t="s">
        <v>1056</v>
      </c>
    </row>
    <row r="266" spans="2:12">
      <c r="B266" t="s">
        <v>423</v>
      </c>
      <c r="C266" t="s">
        <v>679</v>
      </c>
      <c r="D266" t="s">
        <v>679</v>
      </c>
      <c r="F266" t="s">
        <v>679</v>
      </c>
      <c r="G266" t="s">
        <v>772</v>
      </c>
      <c r="H266" t="s">
        <v>797</v>
      </c>
      <c r="J266" t="s">
        <v>801</v>
      </c>
      <c r="K266" t="s">
        <v>1057</v>
      </c>
      <c r="L266" t="s">
        <v>1057</v>
      </c>
    </row>
    <row r="267" spans="2:12">
      <c r="B267" t="s">
        <v>423</v>
      </c>
      <c r="C267" t="s">
        <v>680</v>
      </c>
      <c r="D267" t="s">
        <v>680</v>
      </c>
      <c r="F267" t="s">
        <v>680</v>
      </c>
      <c r="G267" t="s">
        <v>772</v>
      </c>
      <c r="H267" t="s">
        <v>797</v>
      </c>
      <c r="J267" t="s">
        <v>801</v>
      </c>
      <c r="K267" t="s">
        <v>1058</v>
      </c>
      <c r="L267" t="s">
        <v>1058</v>
      </c>
    </row>
    <row r="268" spans="2:12">
      <c r="B268" t="s">
        <v>423</v>
      </c>
      <c r="C268" t="s">
        <v>681</v>
      </c>
      <c r="D268" t="s">
        <v>681</v>
      </c>
      <c r="F268" t="s">
        <v>681</v>
      </c>
      <c r="G268" t="s">
        <v>772</v>
      </c>
      <c r="H268" t="s">
        <v>786</v>
      </c>
      <c r="J268" t="s">
        <v>801</v>
      </c>
      <c r="K268" t="s">
        <v>1059</v>
      </c>
      <c r="L268" t="s">
        <v>1059</v>
      </c>
    </row>
    <row r="269" spans="2:12">
      <c r="B269" t="s">
        <v>423</v>
      </c>
      <c r="C269" t="s">
        <v>682</v>
      </c>
      <c r="D269" t="s">
        <v>682</v>
      </c>
      <c r="F269" t="s">
        <v>682</v>
      </c>
      <c r="G269" t="s">
        <v>772</v>
      </c>
      <c r="H269" t="s">
        <v>786</v>
      </c>
      <c r="J269" t="s">
        <v>801</v>
      </c>
      <c r="K269" t="s">
        <v>1060</v>
      </c>
      <c r="L269" t="s">
        <v>1060</v>
      </c>
    </row>
    <row r="270" spans="2:12">
      <c r="B270" t="s">
        <v>423</v>
      </c>
      <c r="C270" t="s">
        <v>683</v>
      </c>
      <c r="D270" t="s">
        <v>683</v>
      </c>
      <c r="F270" t="s">
        <v>683</v>
      </c>
      <c r="G270" t="s">
        <v>772</v>
      </c>
      <c r="H270" t="s">
        <v>786</v>
      </c>
      <c r="J270" t="s">
        <v>801</v>
      </c>
      <c r="K270" t="s">
        <v>1061</v>
      </c>
      <c r="L270" t="s">
        <v>1061</v>
      </c>
    </row>
    <row r="271" spans="2:12">
      <c r="B271" t="s">
        <v>423</v>
      </c>
      <c r="C271" t="s">
        <v>684</v>
      </c>
      <c r="D271" t="s">
        <v>684</v>
      </c>
      <c r="F271" t="s">
        <v>684</v>
      </c>
      <c r="G271" t="s">
        <v>772</v>
      </c>
      <c r="H271" t="s">
        <v>786</v>
      </c>
      <c r="J271" t="s">
        <v>801</v>
      </c>
      <c r="K271" t="s">
        <v>1062</v>
      </c>
      <c r="L271" t="s">
        <v>1062</v>
      </c>
    </row>
    <row r="272" spans="2:12">
      <c r="B272" t="s">
        <v>423</v>
      </c>
      <c r="C272" t="s">
        <v>685</v>
      </c>
      <c r="D272" t="s">
        <v>685</v>
      </c>
      <c r="F272" t="s">
        <v>685</v>
      </c>
      <c r="G272" t="s">
        <v>772</v>
      </c>
      <c r="H272" t="s">
        <v>773</v>
      </c>
      <c r="J272" t="s">
        <v>801</v>
      </c>
      <c r="K272" t="s">
        <v>1063</v>
      </c>
      <c r="L272" t="s">
        <v>1063</v>
      </c>
    </row>
    <row r="273" spans="2:12">
      <c r="B273" t="s">
        <v>423</v>
      </c>
      <c r="C273" t="s">
        <v>686</v>
      </c>
      <c r="D273" t="s">
        <v>686</v>
      </c>
      <c r="F273" t="s">
        <v>686</v>
      </c>
      <c r="G273" t="s">
        <v>772</v>
      </c>
      <c r="H273" t="s">
        <v>786</v>
      </c>
      <c r="J273" t="s">
        <v>801</v>
      </c>
      <c r="K273" t="s">
        <v>1064</v>
      </c>
      <c r="L273" t="s">
        <v>1064</v>
      </c>
    </row>
    <row r="274" spans="2:12">
      <c r="B274" t="s">
        <v>423</v>
      </c>
      <c r="C274" t="s">
        <v>687</v>
      </c>
      <c r="D274" t="s">
        <v>687</v>
      </c>
      <c r="F274" t="s">
        <v>687</v>
      </c>
      <c r="G274" t="s">
        <v>772</v>
      </c>
      <c r="H274" t="s">
        <v>782</v>
      </c>
      <c r="J274" t="s">
        <v>801</v>
      </c>
      <c r="K274" t="s">
        <v>1065</v>
      </c>
      <c r="L274" t="s">
        <v>1065</v>
      </c>
    </row>
    <row r="275" spans="2:12">
      <c r="B275" t="s">
        <v>423</v>
      </c>
      <c r="C275" t="s">
        <v>688</v>
      </c>
      <c r="D275" t="s">
        <v>688</v>
      </c>
      <c r="F275" t="s">
        <v>688</v>
      </c>
      <c r="G275" t="s">
        <v>772</v>
      </c>
      <c r="H275" t="s">
        <v>799</v>
      </c>
      <c r="J275" t="s">
        <v>801</v>
      </c>
      <c r="K275" t="s">
        <v>1066</v>
      </c>
      <c r="L275" t="s">
        <v>1066</v>
      </c>
    </row>
    <row r="276" spans="2:12">
      <c r="B276" t="s">
        <v>423</v>
      </c>
      <c r="C276" t="s">
        <v>689</v>
      </c>
      <c r="D276" t="s">
        <v>689</v>
      </c>
      <c r="F276" t="s">
        <v>689</v>
      </c>
      <c r="G276" t="s">
        <v>772</v>
      </c>
      <c r="H276" t="s">
        <v>794</v>
      </c>
      <c r="J276" t="s">
        <v>801</v>
      </c>
      <c r="K276" t="s">
        <v>1067</v>
      </c>
      <c r="L276" t="s">
        <v>1067</v>
      </c>
    </row>
    <row r="277" spans="2:12">
      <c r="B277" t="s">
        <v>423</v>
      </c>
      <c r="C277" t="s">
        <v>690</v>
      </c>
      <c r="D277" t="s">
        <v>690</v>
      </c>
      <c r="F277" t="s">
        <v>690</v>
      </c>
      <c r="G277" t="s">
        <v>772</v>
      </c>
      <c r="H277" t="s">
        <v>788</v>
      </c>
      <c r="J277" t="s">
        <v>801</v>
      </c>
      <c r="K277" t="s">
        <v>1068</v>
      </c>
      <c r="L277" t="s">
        <v>1068</v>
      </c>
    </row>
    <row r="278" spans="2:12">
      <c r="B278" t="s">
        <v>423</v>
      </c>
      <c r="C278" t="s">
        <v>691</v>
      </c>
      <c r="D278" t="s">
        <v>691</v>
      </c>
      <c r="F278" t="s">
        <v>691</v>
      </c>
      <c r="G278" t="s">
        <v>772</v>
      </c>
      <c r="H278" t="s">
        <v>796</v>
      </c>
      <c r="J278" t="s">
        <v>801</v>
      </c>
      <c r="K278" t="s">
        <v>1069</v>
      </c>
      <c r="L278" t="s">
        <v>1069</v>
      </c>
    </row>
    <row r="279" spans="2:12">
      <c r="B279" t="s">
        <v>423</v>
      </c>
      <c r="C279" t="s">
        <v>692</v>
      </c>
      <c r="D279" t="s">
        <v>692</v>
      </c>
      <c r="F279" t="s">
        <v>692</v>
      </c>
      <c r="G279" t="s">
        <v>772</v>
      </c>
      <c r="H279" t="s">
        <v>788</v>
      </c>
      <c r="J279" t="s">
        <v>801</v>
      </c>
      <c r="K279" t="s">
        <v>1070</v>
      </c>
      <c r="L279" t="s">
        <v>1070</v>
      </c>
    </row>
    <row r="280" spans="2:12">
      <c r="B280" t="s">
        <v>423</v>
      </c>
      <c r="C280" t="s">
        <v>693</v>
      </c>
      <c r="D280" t="s">
        <v>693</v>
      </c>
      <c r="F280" t="s">
        <v>693</v>
      </c>
      <c r="G280" t="s">
        <v>772</v>
      </c>
      <c r="H280" t="s">
        <v>789</v>
      </c>
      <c r="J280" t="s">
        <v>801</v>
      </c>
      <c r="K280" t="s">
        <v>1071</v>
      </c>
      <c r="L280" t="s">
        <v>1071</v>
      </c>
    </row>
    <row r="281" spans="2:12">
      <c r="B281" t="s">
        <v>423</v>
      </c>
      <c r="C281" t="s">
        <v>694</v>
      </c>
      <c r="D281" t="s">
        <v>694</v>
      </c>
      <c r="F281" t="s">
        <v>694</v>
      </c>
      <c r="G281" t="s">
        <v>772</v>
      </c>
      <c r="H281" t="s">
        <v>775</v>
      </c>
      <c r="J281" t="s">
        <v>801</v>
      </c>
      <c r="K281" t="s">
        <v>1072</v>
      </c>
      <c r="L281" t="s">
        <v>1072</v>
      </c>
    </row>
    <row r="282" spans="2:12">
      <c r="B282" t="s">
        <v>423</v>
      </c>
      <c r="C282" t="s">
        <v>695</v>
      </c>
      <c r="D282" t="s">
        <v>695</v>
      </c>
      <c r="F282" t="s">
        <v>695</v>
      </c>
      <c r="G282" t="s">
        <v>772</v>
      </c>
      <c r="H282" t="s">
        <v>788</v>
      </c>
      <c r="J282" t="s">
        <v>801</v>
      </c>
      <c r="K282" t="s">
        <v>1073</v>
      </c>
      <c r="L282" t="s">
        <v>1073</v>
      </c>
    </row>
    <row r="283" spans="2:12">
      <c r="B283" t="s">
        <v>423</v>
      </c>
      <c r="C283" t="s">
        <v>696</v>
      </c>
      <c r="D283" t="s">
        <v>696</v>
      </c>
      <c r="F283" t="s">
        <v>696</v>
      </c>
      <c r="G283" t="s">
        <v>772</v>
      </c>
      <c r="H283" t="s">
        <v>774</v>
      </c>
      <c r="J283" t="s">
        <v>801</v>
      </c>
      <c r="K283" t="s">
        <v>1074</v>
      </c>
      <c r="L283" t="s">
        <v>1074</v>
      </c>
    </row>
    <row r="284" spans="2:12">
      <c r="B284" t="s">
        <v>423</v>
      </c>
      <c r="C284" t="s">
        <v>697</v>
      </c>
      <c r="D284" t="s">
        <v>697</v>
      </c>
      <c r="F284" t="s">
        <v>697</v>
      </c>
      <c r="G284" t="s">
        <v>772</v>
      </c>
      <c r="H284" t="s">
        <v>774</v>
      </c>
      <c r="J284" t="s">
        <v>801</v>
      </c>
      <c r="K284" t="s">
        <v>1075</v>
      </c>
      <c r="L284" t="s">
        <v>1075</v>
      </c>
    </row>
    <row r="285" spans="2:12">
      <c r="B285" t="s">
        <v>423</v>
      </c>
      <c r="C285" t="s">
        <v>698</v>
      </c>
      <c r="D285" t="s">
        <v>698</v>
      </c>
      <c r="F285" t="s">
        <v>698</v>
      </c>
      <c r="G285" t="s">
        <v>772</v>
      </c>
      <c r="H285" t="s">
        <v>774</v>
      </c>
      <c r="J285" t="s">
        <v>801</v>
      </c>
      <c r="K285" t="s">
        <v>1076</v>
      </c>
      <c r="L285" t="s">
        <v>1076</v>
      </c>
    </row>
    <row r="286" spans="2:12">
      <c r="B286" t="s">
        <v>423</v>
      </c>
      <c r="C286" t="s">
        <v>699</v>
      </c>
      <c r="D286" t="s">
        <v>699</v>
      </c>
      <c r="F286" t="s">
        <v>699</v>
      </c>
      <c r="G286" t="s">
        <v>772</v>
      </c>
      <c r="H286" t="s">
        <v>775</v>
      </c>
      <c r="J286" t="s">
        <v>801</v>
      </c>
      <c r="K286" t="s">
        <v>1077</v>
      </c>
      <c r="L286" t="s">
        <v>1077</v>
      </c>
    </row>
    <row r="287" spans="2:12">
      <c r="B287" t="s">
        <v>423</v>
      </c>
      <c r="C287" t="s">
        <v>700</v>
      </c>
      <c r="D287" t="s">
        <v>700</v>
      </c>
      <c r="F287" t="s">
        <v>700</v>
      </c>
      <c r="G287" t="s">
        <v>772</v>
      </c>
      <c r="H287" t="s">
        <v>775</v>
      </c>
      <c r="J287" t="s">
        <v>801</v>
      </c>
      <c r="K287" t="s">
        <v>1078</v>
      </c>
      <c r="L287" t="s">
        <v>1078</v>
      </c>
    </row>
    <row r="288" spans="2:12">
      <c r="B288" t="s">
        <v>423</v>
      </c>
      <c r="C288" t="s">
        <v>701</v>
      </c>
      <c r="D288" t="s">
        <v>701</v>
      </c>
      <c r="F288" t="s">
        <v>701</v>
      </c>
      <c r="G288" t="s">
        <v>772</v>
      </c>
      <c r="H288" t="s">
        <v>786</v>
      </c>
      <c r="J288" t="s">
        <v>801</v>
      </c>
      <c r="K288" t="s">
        <v>1079</v>
      </c>
      <c r="L288" t="s">
        <v>1079</v>
      </c>
    </row>
    <row r="289" spans="2:12">
      <c r="B289" t="s">
        <v>423</v>
      </c>
      <c r="C289" t="s">
        <v>702</v>
      </c>
      <c r="D289" t="s">
        <v>702</v>
      </c>
      <c r="F289" t="s">
        <v>702</v>
      </c>
      <c r="G289" t="s">
        <v>772</v>
      </c>
      <c r="H289" t="s">
        <v>789</v>
      </c>
      <c r="J289" t="s">
        <v>801</v>
      </c>
      <c r="K289" t="s">
        <v>1080</v>
      </c>
      <c r="L289" t="s">
        <v>1080</v>
      </c>
    </row>
    <row r="290" spans="2:12">
      <c r="B290" t="s">
        <v>423</v>
      </c>
      <c r="C290" t="s">
        <v>703</v>
      </c>
      <c r="D290" t="s">
        <v>703</v>
      </c>
      <c r="F290" t="s">
        <v>703</v>
      </c>
      <c r="G290" t="s">
        <v>772</v>
      </c>
      <c r="H290" t="s">
        <v>789</v>
      </c>
      <c r="J290" t="s">
        <v>801</v>
      </c>
      <c r="K290" t="s">
        <v>1081</v>
      </c>
      <c r="L290" t="s">
        <v>1081</v>
      </c>
    </row>
    <row r="291" spans="2:12">
      <c r="B291" t="s">
        <v>423</v>
      </c>
      <c r="C291" t="s">
        <v>704</v>
      </c>
      <c r="D291" t="s">
        <v>704</v>
      </c>
      <c r="F291" t="s">
        <v>704</v>
      </c>
      <c r="G291" t="s">
        <v>772</v>
      </c>
      <c r="H291" t="s">
        <v>776</v>
      </c>
      <c r="J291" t="s">
        <v>801</v>
      </c>
      <c r="K291" t="s">
        <v>1082</v>
      </c>
      <c r="L291" t="s">
        <v>1082</v>
      </c>
    </row>
    <row r="292" spans="2:12">
      <c r="B292" t="s">
        <v>423</v>
      </c>
      <c r="C292" t="s">
        <v>705</v>
      </c>
      <c r="D292" t="s">
        <v>705</v>
      </c>
      <c r="F292" t="s">
        <v>705</v>
      </c>
      <c r="G292" t="s">
        <v>772</v>
      </c>
      <c r="H292" t="s">
        <v>776</v>
      </c>
      <c r="J292" t="s">
        <v>801</v>
      </c>
      <c r="K292" t="s">
        <v>1083</v>
      </c>
      <c r="L292" t="s">
        <v>1083</v>
      </c>
    </row>
    <row r="293" spans="2:12">
      <c r="B293" t="s">
        <v>423</v>
      </c>
      <c r="C293" t="s">
        <v>706</v>
      </c>
      <c r="D293" t="s">
        <v>706</v>
      </c>
      <c r="F293" t="s">
        <v>706</v>
      </c>
      <c r="G293" t="s">
        <v>772</v>
      </c>
      <c r="H293" t="s">
        <v>780</v>
      </c>
      <c r="J293" t="s">
        <v>801</v>
      </c>
      <c r="K293" t="s">
        <v>1084</v>
      </c>
      <c r="L293" t="s">
        <v>1084</v>
      </c>
    </row>
    <row r="294" spans="2:12">
      <c r="B294" t="s">
        <v>423</v>
      </c>
      <c r="C294" t="s">
        <v>707</v>
      </c>
      <c r="D294" t="s">
        <v>707</v>
      </c>
      <c r="F294" t="s">
        <v>707</v>
      </c>
      <c r="G294" t="s">
        <v>772</v>
      </c>
      <c r="H294" t="s">
        <v>780</v>
      </c>
      <c r="J294" t="s">
        <v>801</v>
      </c>
      <c r="K294" t="s">
        <v>1085</v>
      </c>
      <c r="L294" t="s">
        <v>1085</v>
      </c>
    </row>
    <row r="295" spans="2:12">
      <c r="B295" t="s">
        <v>423</v>
      </c>
      <c r="C295" t="s">
        <v>708</v>
      </c>
      <c r="D295" t="s">
        <v>708</v>
      </c>
      <c r="F295" t="s">
        <v>708</v>
      </c>
      <c r="G295" t="s">
        <v>772</v>
      </c>
      <c r="H295" t="s">
        <v>780</v>
      </c>
      <c r="J295" t="s">
        <v>801</v>
      </c>
      <c r="K295" t="s">
        <v>1086</v>
      </c>
      <c r="L295" t="s">
        <v>1086</v>
      </c>
    </row>
    <row r="296" spans="2:12">
      <c r="B296" t="s">
        <v>423</v>
      </c>
      <c r="C296" t="s">
        <v>709</v>
      </c>
      <c r="D296" t="s">
        <v>709</v>
      </c>
      <c r="F296" t="s">
        <v>709</v>
      </c>
      <c r="G296" t="s">
        <v>772</v>
      </c>
      <c r="H296" t="s">
        <v>776</v>
      </c>
      <c r="J296" t="s">
        <v>801</v>
      </c>
      <c r="K296" t="s">
        <v>1087</v>
      </c>
      <c r="L296" t="s">
        <v>1087</v>
      </c>
    </row>
    <row r="297" spans="2:12">
      <c r="B297" t="s">
        <v>423</v>
      </c>
      <c r="C297" t="s">
        <v>710</v>
      </c>
      <c r="D297" t="s">
        <v>710</v>
      </c>
      <c r="F297" t="s">
        <v>710</v>
      </c>
      <c r="G297" t="s">
        <v>772</v>
      </c>
      <c r="H297" t="s">
        <v>777</v>
      </c>
      <c r="J297" t="s">
        <v>801</v>
      </c>
      <c r="K297" t="s">
        <v>1088</v>
      </c>
      <c r="L297" t="s">
        <v>1088</v>
      </c>
    </row>
    <row r="298" spans="2:12">
      <c r="B298" t="s">
        <v>423</v>
      </c>
      <c r="C298" t="s">
        <v>711</v>
      </c>
      <c r="D298" t="s">
        <v>711</v>
      </c>
      <c r="F298" t="s">
        <v>711</v>
      </c>
      <c r="G298" t="s">
        <v>772</v>
      </c>
      <c r="H298" t="s">
        <v>797</v>
      </c>
      <c r="J298" t="s">
        <v>801</v>
      </c>
      <c r="K298" t="s">
        <v>1089</v>
      </c>
      <c r="L298" t="s">
        <v>1089</v>
      </c>
    </row>
    <row r="299" spans="2:12">
      <c r="B299" t="s">
        <v>423</v>
      </c>
      <c r="C299" t="s">
        <v>712</v>
      </c>
      <c r="D299" t="s">
        <v>712</v>
      </c>
      <c r="F299" t="s">
        <v>712</v>
      </c>
      <c r="G299" t="s">
        <v>772</v>
      </c>
      <c r="H299" t="s">
        <v>780</v>
      </c>
      <c r="J299" t="s">
        <v>801</v>
      </c>
      <c r="K299" t="s">
        <v>1090</v>
      </c>
      <c r="L299" t="s">
        <v>1090</v>
      </c>
    </row>
    <row r="300" spans="2:12">
      <c r="B300" t="s">
        <v>423</v>
      </c>
      <c r="C300" t="s">
        <v>713</v>
      </c>
      <c r="D300" t="s">
        <v>713</v>
      </c>
      <c r="F300" t="s">
        <v>713</v>
      </c>
      <c r="G300" t="s">
        <v>772</v>
      </c>
      <c r="H300" t="s">
        <v>783</v>
      </c>
      <c r="J300" t="s">
        <v>801</v>
      </c>
      <c r="K300" t="s">
        <v>1091</v>
      </c>
      <c r="L300" t="s">
        <v>1091</v>
      </c>
    </row>
    <row r="301" spans="2:12">
      <c r="B301" t="s">
        <v>423</v>
      </c>
      <c r="C301" t="s">
        <v>714</v>
      </c>
      <c r="D301" t="s">
        <v>714</v>
      </c>
      <c r="F301" t="s">
        <v>714</v>
      </c>
      <c r="G301" t="s">
        <v>772</v>
      </c>
      <c r="H301" t="s">
        <v>776</v>
      </c>
      <c r="J301" t="s">
        <v>801</v>
      </c>
      <c r="K301" t="s">
        <v>1092</v>
      </c>
      <c r="L301" t="s">
        <v>1092</v>
      </c>
    </row>
    <row r="302" spans="2:12">
      <c r="B302" t="s">
        <v>423</v>
      </c>
      <c r="C302" t="s">
        <v>715</v>
      </c>
      <c r="D302" t="s">
        <v>715</v>
      </c>
      <c r="F302" t="s">
        <v>715</v>
      </c>
      <c r="G302" t="s">
        <v>772</v>
      </c>
      <c r="H302" t="s">
        <v>797</v>
      </c>
      <c r="J302" t="s">
        <v>801</v>
      </c>
      <c r="K302" t="s">
        <v>1093</v>
      </c>
      <c r="L302" t="s">
        <v>1093</v>
      </c>
    </row>
    <row r="303" spans="2:12">
      <c r="B303" t="s">
        <v>423</v>
      </c>
      <c r="C303" t="s">
        <v>716</v>
      </c>
      <c r="D303" t="s">
        <v>716</v>
      </c>
      <c r="F303" t="s">
        <v>716</v>
      </c>
      <c r="G303" t="s">
        <v>772</v>
      </c>
      <c r="H303" t="s">
        <v>797</v>
      </c>
      <c r="J303" t="s">
        <v>801</v>
      </c>
      <c r="K303" t="s">
        <v>1094</v>
      </c>
      <c r="L303" t="s">
        <v>1094</v>
      </c>
    </row>
    <row r="304" spans="2:12">
      <c r="B304" t="s">
        <v>423</v>
      </c>
      <c r="C304" t="s">
        <v>717</v>
      </c>
      <c r="D304" t="s">
        <v>717</v>
      </c>
      <c r="F304" t="s">
        <v>717</v>
      </c>
      <c r="G304" t="s">
        <v>772</v>
      </c>
      <c r="H304" t="s">
        <v>774</v>
      </c>
      <c r="J304" t="s">
        <v>801</v>
      </c>
      <c r="K304" t="s">
        <v>1095</v>
      </c>
      <c r="L304" t="s">
        <v>1095</v>
      </c>
    </row>
    <row r="305" spans="2:12">
      <c r="B305" t="s">
        <v>423</v>
      </c>
      <c r="C305" t="s">
        <v>718</v>
      </c>
      <c r="D305" t="s">
        <v>718</v>
      </c>
      <c r="F305" t="s">
        <v>718</v>
      </c>
      <c r="G305" t="s">
        <v>772</v>
      </c>
      <c r="H305" t="s">
        <v>796</v>
      </c>
      <c r="J305" t="s">
        <v>801</v>
      </c>
      <c r="K305" t="s">
        <v>1096</v>
      </c>
      <c r="L305" t="s">
        <v>1096</v>
      </c>
    </row>
    <row r="306" spans="2:12">
      <c r="B306" t="s">
        <v>423</v>
      </c>
      <c r="C306" t="s">
        <v>719</v>
      </c>
      <c r="D306" t="s">
        <v>719</v>
      </c>
      <c r="F306" t="s">
        <v>719</v>
      </c>
      <c r="G306" t="s">
        <v>772</v>
      </c>
      <c r="H306" t="s">
        <v>783</v>
      </c>
      <c r="J306" t="s">
        <v>801</v>
      </c>
      <c r="K306" t="s">
        <v>1097</v>
      </c>
      <c r="L306" t="s">
        <v>1097</v>
      </c>
    </row>
    <row r="307" spans="2:12">
      <c r="B307" t="s">
        <v>423</v>
      </c>
      <c r="C307" t="s">
        <v>720</v>
      </c>
      <c r="D307" t="s">
        <v>720</v>
      </c>
      <c r="F307" t="s">
        <v>720</v>
      </c>
      <c r="G307" t="s">
        <v>772</v>
      </c>
      <c r="H307" t="s">
        <v>796</v>
      </c>
      <c r="J307" t="s">
        <v>801</v>
      </c>
      <c r="K307" t="s">
        <v>1098</v>
      </c>
      <c r="L307" t="s">
        <v>1098</v>
      </c>
    </row>
    <row r="308" spans="2:12">
      <c r="B308" t="s">
        <v>423</v>
      </c>
      <c r="C308" t="s">
        <v>721</v>
      </c>
      <c r="D308" t="s">
        <v>721</v>
      </c>
      <c r="F308" t="s">
        <v>721</v>
      </c>
      <c r="G308" t="s">
        <v>772</v>
      </c>
      <c r="H308" t="s">
        <v>781</v>
      </c>
      <c r="J308" t="s">
        <v>801</v>
      </c>
      <c r="K308" t="s">
        <v>1099</v>
      </c>
      <c r="L308" t="s">
        <v>1099</v>
      </c>
    </row>
    <row r="309" spans="2:12">
      <c r="B309" t="s">
        <v>423</v>
      </c>
      <c r="C309" t="s">
        <v>722</v>
      </c>
      <c r="D309" t="s">
        <v>722</v>
      </c>
      <c r="F309" t="s">
        <v>722</v>
      </c>
      <c r="G309" t="s">
        <v>772</v>
      </c>
      <c r="H309" t="s">
        <v>777</v>
      </c>
      <c r="J309" t="s">
        <v>801</v>
      </c>
      <c r="K309" t="s">
        <v>1100</v>
      </c>
      <c r="L309" t="s">
        <v>1100</v>
      </c>
    </row>
    <row r="310" spans="2:12">
      <c r="B310" t="s">
        <v>423</v>
      </c>
      <c r="C310" t="s">
        <v>723</v>
      </c>
      <c r="D310" t="s">
        <v>723</v>
      </c>
      <c r="F310" t="s">
        <v>723</v>
      </c>
      <c r="G310" t="s">
        <v>772</v>
      </c>
      <c r="H310" t="s">
        <v>780</v>
      </c>
      <c r="J310" t="s">
        <v>801</v>
      </c>
      <c r="K310" t="s">
        <v>1101</v>
      </c>
      <c r="L310" t="s">
        <v>1101</v>
      </c>
    </row>
    <row r="311" spans="2:12">
      <c r="B311" t="s">
        <v>423</v>
      </c>
      <c r="C311" t="s">
        <v>724</v>
      </c>
      <c r="D311" t="s">
        <v>724</v>
      </c>
      <c r="F311" t="s">
        <v>724</v>
      </c>
      <c r="G311" t="s">
        <v>772</v>
      </c>
      <c r="H311" t="s">
        <v>780</v>
      </c>
      <c r="J311" t="s">
        <v>801</v>
      </c>
      <c r="K311" t="s">
        <v>1102</v>
      </c>
      <c r="L311" t="s">
        <v>1102</v>
      </c>
    </row>
    <row r="312" spans="2:12">
      <c r="B312" t="s">
        <v>423</v>
      </c>
      <c r="C312" t="s">
        <v>725</v>
      </c>
      <c r="D312" t="s">
        <v>725</v>
      </c>
      <c r="F312" t="s">
        <v>725</v>
      </c>
      <c r="G312" t="s">
        <v>772</v>
      </c>
      <c r="H312" t="s">
        <v>783</v>
      </c>
      <c r="J312" t="s">
        <v>801</v>
      </c>
      <c r="K312" t="s">
        <v>1103</v>
      </c>
      <c r="L312" t="s">
        <v>1103</v>
      </c>
    </row>
    <row r="313" spans="2:12">
      <c r="B313" t="s">
        <v>423</v>
      </c>
      <c r="C313" t="s">
        <v>726</v>
      </c>
      <c r="D313" t="s">
        <v>726</v>
      </c>
      <c r="F313" t="s">
        <v>726</v>
      </c>
      <c r="G313" t="s">
        <v>772</v>
      </c>
      <c r="H313" t="s">
        <v>783</v>
      </c>
      <c r="J313" t="s">
        <v>801</v>
      </c>
      <c r="K313" t="s">
        <v>1104</v>
      </c>
      <c r="L313" t="s">
        <v>1104</v>
      </c>
    </row>
    <row r="314" spans="2:12">
      <c r="B314" t="s">
        <v>423</v>
      </c>
      <c r="C314" t="s">
        <v>727</v>
      </c>
      <c r="D314" t="s">
        <v>727</v>
      </c>
      <c r="F314" t="s">
        <v>727</v>
      </c>
      <c r="G314" t="s">
        <v>772</v>
      </c>
      <c r="H314" t="s">
        <v>783</v>
      </c>
      <c r="J314" t="s">
        <v>801</v>
      </c>
      <c r="K314" t="s">
        <v>1105</v>
      </c>
      <c r="L314" t="s">
        <v>1105</v>
      </c>
    </row>
    <row r="315" spans="2:12">
      <c r="B315" t="s">
        <v>423</v>
      </c>
      <c r="C315" t="s">
        <v>728</v>
      </c>
      <c r="D315" t="s">
        <v>728</v>
      </c>
      <c r="F315" t="s">
        <v>728</v>
      </c>
      <c r="G315" t="s">
        <v>772</v>
      </c>
      <c r="H315" t="s">
        <v>779</v>
      </c>
      <c r="J315" t="s">
        <v>801</v>
      </c>
      <c r="K315" t="s">
        <v>1106</v>
      </c>
      <c r="L315" t="s">
        <v>1106</v>
      </c>
    </row>
    <row r="316" spans="2:12">
      <c r="B316" t="s">
        <v>423</v>
      </c>
      <c r="C316" t="s">
        <v>729</v>
      </c>
      <c r="D316" t="s">
        <v>729</v>
      </c>
      <c r="F316" t="s">
        <v>729</v>
      </c>
      <c r="G316" t="s">
        <v>772</v>
      </c>
      <c r="H316" t="s">
        <v>779</v>
      </c>
      <c r="J316" t="s">
        <v>801</v>
      </c>
      <c r="K316" t="s">
        <v>1107</v>
      </c>
      <c r="L316" t="s">
        <v>1107</v>
      </c>
    </row>
    <row r="317" spans="2:12">
      <c r="B317" t="s">
        <v>423</v>
      </c>
      <c r="C317" t="s">
        <v>730</v>
      </c>
      <c r="D317" t="s">
        <v>730</v>
      </c>
      <c r="F317" t="s">
        <v>730</v>
      </c>
      <c r="G317" t="s">
        <v>772</v>
      </c>
      <c r="H317" t="s">
        <v>779</v>
      </c>
      <c r="J317" t="s">
        <v>801</v>
      </c>
      <c r="K317" t="s">
        <v>1108</v>
      </c>
      <c r="L317" t="s">
        <v>1108</v>
      </c>
    </row>
    <row r="318" spans="2:12">
      <c r="B318" t="s">
        <v>423</v>
      </c>
      <c r="C318" t="s">
        <v>731</v>
      </c>
      <c r="D318" t="s">
        <v>731</v>
      </c>
      <c r="F318" t="s">
        <v>731</v>
      </c>
      <c r="G318" t="s">
        <v>772</v>
      </c>
      <c r="H318" t="s">
        <v>779</v>
      </c>
      <c r="J318" t="s">
        <v>801</v>
      </c>
      <c r="K318" t="s">
        <v>1109</v>
      </c>
      <c r="L318" t="s">
        <v>1109</v>
      </c>
    </row>
    <row r="319" spans="2:12">
      <c r="B319" t="s">
        <v>423</v>
      </c>
      <c r="C319" t="s">
        <v>732</v>
      </c>
      <c r="D319" t="s">
        <v>732</v>
      </c>
      <c r="F319" t="s">
        <v>732</v>
      </c>
      <c r="G319" t="s">
        <v>772</v>
      </c>
      <c r="H319" t="s">
        <v>782</v>
      </c>
      <c r="J319" t="s">
        <v>801</v>
      </c>
      <c r="K319" t="s">
        <v>1110</v>
      </c>
      <c r="L319" t="s">
        <v>1110</v>
      </c>
    </row>
    <row r="320" spans="2:12">
      <c r="B320" t="s">
        <v>423</v>
      </c>
      <c r="C320" t="s">
        <v>733</v>
      </c>
      <c r="D320" t="s">
        <v>733</v>
      </c>
      <c r="F320" t="s">
        <v>733</v>
      </c>
      <c r="G320" t="s">
        <v>772</v>
      </c>
      <c r="H320" t="s">
        <v>782</v>
      </c>
      <c r="J320" t="s">
        <v>801</v>
      </c>
      <c r="K320" t="s">
        <v>1111</v>
      </c>
      <c r="L320" t="s">
        <v>1111</v>
      </c>
    </row>
    <row r="321" spans="2:12">
      <c r="B321" t="s">
        <v>423</v>
      </c>
      <c r="C321" t="s">
        <v>734</v>
      </c>
      <c r="D321" t="s">
        <v>734</v>
      </c>
      <c r="F321" t="s">
        <v>734</v>
      </c>
      <c r="G321" t="s">
        <v>772</v>
      </c>
      <c r="H321" t="s">
        <v>774</v>
      </c>
      <c r="J321" t="s">
        <v>801</v>
      </c>
      <c r="K321" t="s">
        <v>1112</v>
      </c>
      <c r="L321" t="s">
        <v>1112</v>
      </c>
    </row>
    <row r="322" spans="2:12">
      <c r="B322" t="s">
        <v>423</v>
      </c>
      <c r="C322" t="s">
        <v>735</v>
      </c>
      <c r="D322" t="s">
        <v>735</v>
      </c>
      <c r="F322" t="s">
        <v>735</v>
      </c>
      <c r="G322" t="s">
        <v>772</v>
      </c>
      <c r="H322" t="s">
        <v>774</v>
      </c>
      <c r="J322" t="s">
        <v>801</v>
      </c>
      <c r="K322" t="s">
        <v>1113</v>
      </c>
      <c r="L322" t="s">
        <v>1113</v>
      </c>
    </row>
    <row r="323" spans="2:12">
      <c r="B323" t="s">
        <v>423</v>
      </c>
      <c r="C323" t="s">
        <v>736</v>
      </c>
      <c r="D323" t="s">
        <v>736</v>
      </c>
      <c r="F323" t="s">
        <v>736</v>
      </c>
      <c r="G323" t="s">
        <v>772</v>
      </c>
      <c r="H323" t="s">
        <v>774</v>
      </c>
      <c r="J323" t="s">
        <v>801</v>
      </c>
      <c r="K323" t="s">
        <v>1114</v>
      </c>
      <c r="L323" t="s">
        <v>1114</v>
      </c>
    </row>
    <row r="324" spans="2:12">
      <c r="B324" t="s">
        <v>423</v>
      </c>
      <c r="C324" t="s">
        <v>737</v>
      </c>
      <c r="D324" t="s">
        <v>737</v>
      </c>
      <c r="F324" t="s">
        <v>737</v>
      </c>
      <c r="G324" t="s">
        <v>772</v>
      </c>
      <c r="H324" t="s">
        <v>782</v>
      </c>
      <c r="J324" t="s">
        <v>801</v>
      </c>
      <c r="K324" t="s">
        <v>1115</v>
      </c>
      <c r="L324" t="s">
        <v>1115</v>
      </c>
    </row>
    <row r="325" spans="2:12">
      <c r="B325" t="s">
        <v>423</v>
      </c>
      <c r="C325" t="s">
        <v>738</v>
      </c>
      <c r="D325" t="s">
        <v>738</v>
      </c>
      <c r="F325" t="s">
        <v>738</v>
      </c>
      <c r="G325" t="s">
        <v>772</v>
      </c>
      <c r="H325" t="s">
        <v>782</v>
      </c>
      <c r="J325" t="s">
        <v>801</v>
      </c>
      <c r="K325" t="s">
        <v>1116</v>
      </c>
      <c r="L325" t="s">
        <v>1116</v>
      </c>
    </row>
    <row r="326" spans="2:12">
      <c r="B326" t="s">
        <v>423</v>
      </c>
      <c r="C326" t="s">
        <v>739</v>
      </c>
      <c r="D326" t="s">
        <v>739</v>
      </c>
      <c r="F326" t="s">
        <v>739</v>
      </c>
      <c r="G326" t="s">
        <v>772</v>
      </c>
      <c r="H326" t="s">
        <v>786</v>
      </c>
      <c r="J326" t="s">
        <v>801</v>
      </c>
      <c r="K326" t="s">
        <v>1117</v>
      </c>
      <c r="L326" t="s">
        <v>1117</v>
      </c>
    </row>
    <row r="327" spans="2:12">
      <c r="B327" t="s">
        <v>423</v>
      </c>
      <c r="C327" t="s">
        <v>740</v>
      </c>
      <c r="D327" t="s">
        <v>740</v>
      </c>
      <c r="F327" t="s">
        <v>740</v>
      </c>
      <c r="G327" t="s">
        <v>772</v>
      </c>
      <c r="H327" t="s">
        <v>774</v>
      </c>
      <c r="J327" t="s">
        <v>801</v>
      </c>
      <c r="K327" t="s">
        <v>1118</v>
      </c>
      <c r="L327" t="s">
        <v>1118</v>
      </c>
    </row>
    <row r="328" spans="2:12">
      <c r="B328" t="s">
        <v>423</v>
      </c>
      <c r="C328" t="s">
        <v>741</v>
      </c>
      <c r="D328" t="s">
        <v>741</v>
      </c>
      <c r="F328" t="s">
        <v>741</v>
      </c>
      <c r="G328" t="s">
        <v>772</v>
      </c>
      <c r="H328" t="s">
        <v>784</v>
      </c>
      <c r="J328" t="s">
        <v>801</v>
      </c>
      <c r="K328" t="s">
        <v>1119</v>
      </c>
      <c r="L328" t="s">
        <v>1119</v>
      </c>
    </row>
    <row r="329" spans="2:12">
      <c r="B329" t="s">
        <v>423</v>
      </c>
      <c r="C329" t="s">
        <v>742</v>
      </c>
      <c r="D329" t="s">
        <v>742</v>
      </c>
      <c r="F329" t="s">
        <v>742</v>
      </c>
      <c r="G329" t="s">
        <v>772</v>
      </c>
      <c r="H329" t="s">
        <v>782</v>
      </c>
      <c r="J329" t="s">
        <v>801</v>
      </c>
      <c r="K329" t="s">
        <v>1120</v>
      </c>
      <c r="L329" t="s">
        <v>1120</v>
      </c>
    </row>
    <row r="330" spans="2:12">
      <c r="B330" t="s">
        <v>423</v>
      </c>
      <c r="C330" t="s">
        <v>743</v>
      </c>
      <c r="D330" t="s">
        <v>743</v>
      </c>
      <c r="F330" t="s">
        <v>743</v>
      </c>
      <c r="G330" t="s">
        <v>772</v>
      </c>
      <c r="H330" t="s">
        <v>773</v>
      </c>
      <c r="J330" t="s">
        <v>801</v>
      </c>
      <c r="K330" t="s">
        <v>1121</v>
      </c>
      <c r="L330" t="s">
        <v>1121</v>
      </c>
    </row>
    <row r="331" spans="2:12">
      <c r="B331" t="s">
        <v>423</v>
      </c>
      <c r="C331" t="s">
        <v>744</v>
      </c>
      <c r="D331" t="s">
        <v>744</v>
      </c>
      <c r="F331" t="s">
        <v>744</v>
      </c>
      <c r="G331" t="s">
        <v>772</v>
      </c>
      <c r="H331" t="s">
        <v>782</v>
      </c>
      <c r="J331" t="s">
        <v>801</v>
      </c>
      <c r="K331" t="s">
        <v>1122</v>
      </c>
      <c r="L331" t="s">
        <v>1122</v>
      </c>
    </row>
    <row r="332" spans="2:12">
      <c r="B332" t="s">
        <v>423</v>
      </c>
      <c r="C332" t="s">
        <v>745</v>
      </c>
      <c r="D332" t="s">
        <v>745</v>
      </c>
      <c r="F332" t="s">
        <v>745</v>
      </c>
      <c r="G332" t="s">
        <v>772</v>
      </c>
      <c r="H332" t="s">
        <v>782</v>
      </c>
      <c r="J332" t="s">
        <v>801</v>
      </c>
      <c r="K332" t="s">
        <v>1123</v>
      </c>
      <c r="L332" t="s">
        <v>1123</v>
      </c>
    </row>
    <row r="333" spans="2:12">
      <c r="B333" t="s">
        <v>423</v>
      </c>
      <c r="C333" t="s">
        <v>746</v>
      </c>
      <c r="D333" t="s">
        <v>746</v>
      </c>
      <c r="F333" t="s">
        <v>746</v>
      </c>
      <c r="G333" t="s">
        <v>772</v>
      </c>
      <c r="H333" t="s">
        <v>782</v>
      </c>
      <c r="J333" t="s">
        <v>801</v>
      </c>
      <c r="K333" t="s">
        <v>1124</v>
      </c>
      <c r="L333" t="s">
        <v>1124</v>
      </c>
    </row>
    <row r="334" spans="2:12">
      <c r="B334" t="s">
        <v>423</v>
      </c>
      <c r="C334" t="s">
        <v>747</v>
      </c>
      <c r="D334" t="s">
        <v>747</v>
      </c>
      <c r="F334" t="s">
        <v>747</v>
      </c>
      <c r="G334" t="s">
        <v>772</v>
      </c>
      <c r="H334" t="s">
        <v>782</v>
      </c>
      <c r="J334" t="s">
        <v>801</v>
      </c>
      <c r="K334" t="s">
        <v>1125</v>
      </c>
      <c r="L334" t="s">
        <v>1125</v>
      </c>
    </row>
    <row r="335" spans="2:12">
      <c r="B335" t="s">
        <v>423</v>
      </c>
      <c r="C335" t="s">
        <v>748</v>
      </c>
      <c r="D335" t="s">
        <v>748</v>
      </c>
      <c r="F335" t="s">
        <v>748</v>
      </c>
      <c r="G335" t="s">
        <v>772</v>
      </c>
      <c r="H335" t="s">
        <v>800</v>
      </c>
      <c r="J335" t="s">
        <v>801</v>
      </c>
      <c r="K335" t="s">
        <v>1126</v>
      </c>
      <c r="L335" t="s">
        <v>1126</v>
      </c>
    </row>
    <row r="336" spans="2:12">
      <c r="B336" t="s">
        <v>423</v>
      </c>
      <c r="C336" t="s">
        <v>749</v>
      </c>
      <c r="D336" t="s">
        <v>749</v>
      </c>
      <c r="F336" t="s">
        <v>749</v>
      </c>
      <c r="G336" t="s">
        <v>772</v>
      </c>
      <c r="H336" t="s">
        <v>800</v>
      </c>
      <c r="J336" t="s">
        <v>801</v>
      </c>
      <c r="K336" t="s">
        <v>1127</v>
      </c>
      <c r="L336" t="s">
        <v>1127</v>
      </c>
    </row>
    <row r="337" spans="2:12">
      <c r="B337" t="s">
        <v>423</v>
      </c>
      <c r="C337" t="s">
        <v>750</v>
      </c>
      <c r="D337" t="s">
        <v>750</v>
      </c>
      <c r="F337" t="s">
        <v>750</v>
      </c>
      <c r="G337" t="s">
        <v>772</v>
      </c>
      <c r="H337" t="s">
        <v>800</v>
      </c>
      <c r="J337" t="s">
        <v>801</v>
      </c>
      <c r="K337" t="s">
        <v>1128</v>
      </c>
      <c r="L337" t="s">
        <v>1128</v>
      </c>
    </row>
    <row r="338" spans="2:12">
      <c r="B338" t="s">
        <v>423</v>
      </c>
      <c r="C338" t="s">
        <v>751</v>
      </c>
      <c r="D338" t="s">
        <v>751</v>
      </c>
      <c r="F338" t="s">
        <v>751</v>
      </c>
      <c r="G338" t="s">
        <v>772</v>
      </c>
      <c r="H338" t="s">
        <v>800</v>
      </c>
      <c r="J338" t="s">
        <v>801</v>
      </c>
      <c r="K338" t="s">
        <v>1129</v>
      </c>
      <c r="L338" t="s">
        <v>1129</v>
      </c>
    </row>
    <row r="339" spans="2:12">
      <c r="B339" t="s">
        <v>423</v>
      </c>
      <c r="C339" t="s">
        <v>752</v>
      </c>
      <c r="D339" t="s">
        <v>752</v>
      </c>
      <c r="F339" t="s">
        <v>752</v>
      </c>
      <c r="G339" t="s">
        <v>772</v>
      </c>
      <c r="H339" t="s">
        <v>800</v>
      </c>
      <c r="J339" t="s">
        <v>801</v>
      </c>
      <c r="K339" t="s">
        <v>1130</v>
      </c>
      <c r="L339" t="s">
        <v>1130</v>
      </c>
    </row>
    <row r="340" spans="2:12">
      <c r="B340" t="s">
        <v>423</v>
      </c>
      <c r="C340" t="s">
        <v>753</v>
      </c>
      <c r="D340" t="s">
        <v>753</v>
      </c>
      <c r="F340" t="s">
        <v>753</v>
      </c>
      <c r="G340" t="s">
        <v>772</v>
      </c>
      <c r="H340" t="s">
        <v>800</v>
      </c>
      <c r="J340" t="s">
        <v>801</v>
      </c>
      <c r="K340" t="s">
        <v>1131</v>
      </c>
      <c r="L340" t="s">
        <v>1131</v>
      </c>
    </row>
    <row r="341" spans="2:12">
      <c r="B341" t="s">
        <v>423</v>
      </c>
      <c r="C341" t="s">
        <v>754</v>
      </c>
      <c r="D341" t="s">
        <v>754</v>
      </c>
      <c r="F341" t="s">
        <v>754</v>
      </c>
      <c r="G341" t="s">
        <v>772</v>
      </c>
      <c r="H341" t="s">
        <v>800</v>
      </c>
      <c r="J341" t="s">
        <v>801</v>
      </c>
      <c r="K341" t="s">
        <v>1132</v>
      </c>
      <c r="L341" t="s">
        <v>1132</v>
      </c>
    </row>
    <row r="342" spans="2:12">
      <c r="B342" t="s">
        <v>423</v>
      </c>
      <c r="C342" t="s">
        <v>755</v>
      </c>
      <c r="D342" t="s">
        <v>755</v>
      </c>
      <c r="F342" t="s">
        <v>755</v>
      </c>
      <c r="G342" t="s">
        <v>772</v>
      </c>
      <c r="H342" t="s">
        <v>800</v>
      </c>
      <c r="J342" t="s">
        <v>801</v>
      </c>
      <c r="K342" t="s">
        <v>1133</v>
      </c>
      <c r="L342" t="s">
        <v>1133</v>
      </c>
    </row>
    <row r="343" spans="2:12">
      <c r="B343" t="s">
        <v>423</v>
      </c>
      <c r="C343" t="s">
        <v>756</v>
      </c>
      <c r="D343" t="s">
        <v>756</v>
      </c>
      <c r="F343" t="s">
        <v>756</v>
      </c>
      <c r="G343" t="s">
        <v>772</v>
      </c>
      <c r="H343" t="s">
        <v>800</v>
      </c>
      <c r="J343" t="s">
        <v>801</v>
      </c>
      <c r="K343" t="s">
        <v>1134</v>
      </c>
      <c r="L343" t="s">
        <v>1134</v>
      </c>
    </row>
    <row r="344" spans="2:12">
      <c r="B344" t="s">
        <v>423</v>
      </c>
      <c r="C344" t="s">
        <v>757</v>
      </c>
      <c r="D344" t="s">
        <v>757</v>
      </c>
      <c r="F344" t="s">
        <v>757</v>
      </c>
      <c r="G344" t="s">
        <v>772</v>
      </c>
      <c r="H344" t="s">
        <v>800</v>
      </c>
      <c r="J344" t="s">
        <v>801</v>
      </c>
      <c r="K344" t="s">
        <v>1135</v>
      </c>
      <c r="L344" t="s">
        <v>1135</v>
      </c>
    </row>
    <row r="345" spans="2:12">
      <c r="B345" t="s">
        <v>423</v>
      </c>
      <c r="C345" t="s">
        <v>758</v>
      </c>
      <c r="D345" t="s">
        <v>758</v>
      </c>
      <c r="F345" t="s">
        <v>758</v>
      </c>
      <c r="G345" t="s">
        <v>772</v>
      </c>
      <c r="H345" t="s">
        <v>800</v>
      </c>
      <c r="J345" t="s">
        <v>801</v>
      </c>
      <c r="K345" t="s">
        <v>1136</v>
      </c>
      <c r="L345" t="s">
        <v>1136</v>
      </c>
    </row>
    <row r="346" spans="2:12">
      <c r="B346" t="s">
        <v>423</v>
      </c>
      <c r="C346" t="s">
        <v>759</v>
      </c>
      <c r="D346" t="s">
        <v>759</v>
      </c>
      <c r="F346" t="s">
        <v>759</v>
      </c>
      <c r="G346" t="s">
        <v>772</v>
      </c>
      <c r="H346" t="s">
        <v>800</v>
      </c>
      <c r="J346" t="s">
        <v>801</v>
      </c>
      <c r="K346" t="s">
        <v>1137</v>
      </c>
      <c r="L346" t="s">
        <v>1137</v>
      </c>
    </row>
    <row r="347" spans="2:12">
      <c r="B347" t="s">
        <v>423</v>
      </c>
      <c r="C347" t="s">
        <v>760</v>
      </c>
      <c r="D347" t="s">
        <v>760</v>
      </c>
      <c r="F347" t="s">
        <v>760</v>
      </c>
      <c r="G347" t="s">
        <v>772</v>
      </c>
      <c r="H347" t="s">
        <v>800</v>
      </c>
      <c r="J347" t="s">
        <v>801</v>
      </c>
      <c r="K347" t="s">
        <v>1138</v>
      </c>
      <c r="L347" t="s">
        <v>1138</v>
      </c>
    </row>
    <row r="348" spans="2:12">
      <c r="B348" t="s">
        <v>423</v>
      </c>
      <c r="C348" t="s">
        <v>761</v>
      </c>
      <c r="D348" t="s">
        <v>761</v>
      </c>
      <c r="F348" t="s">
        <v>761</v>
      </c>
      <c r="G348" t="s">
        <v>772</v>
      </c>
      <c r="H348" t="s">
        <v>800</v>
      </c>
      <c r="J348" t="s">
        <v>801</v>
      </c>
      <c r="K348" t="s">
        <v>1139</v>
      </c>
      <c r="L348" t="s">
        <v>1139</v>
      </c>
    </row>
    <row r="349" spans="2:12">
      <c r="B349" t="s">
        <v>423</v>
      </c>
      <c r="C349" t="s">
        <v>762</v>
      </c>
      <c r="D349" t="s">
        <v>762</v>
      </c>
      <c r="F349" t="s">
        <v>762</v>
      </c>
      <c r="G349" t="s">
        <v>772</v>
      </c>
      <c r="H349" t="s">
        <v>800</v>
      </c>
      <c r="J349" t="s">
        <v>801</v>
      </c>
      <c r="K349" t="s">
        <v>1140</v>
      </c>
      <c r="L349" t="s">
        <v>1140</v>
      </c>
    </row>
    <row r="350" spans="2:12">
      <c r="B350" t="s">
        <v>423</v>
      </c>
      <c r="C350" t="s">
        <v>763</v>
      </c>
      <c r="D350" t="s">
        <v>763</v>
      </c>
      <c r="F350" t="s">
        <v>763</v>
      </c>
      <c r="G350" t="s">
        <v>772</v>
      </c>
      <c r="H350" t="s">
        <v>800</v>
      </c>
      <c r="J350" t="s">
        <v>801</v>
      </c>
      <c r="K350" t="s">
        <v>1141</v>
      </c>
      <c r="L350" t="s">
        <v>1141</v>
      </c>
    </row>
    <row r="351" spans="2:12">
      <c r="B351" t="s">
        <v>423</v>
      </c>
      <c r="C351" t="s">
        <v>764</v>
      </c>
      <c r="D351" t="s">
        <v>764</v>
      </c>
      <c r="F351" t="s">
        <v>764</v>
      </c>
      <c r="G351" t="s">
        <v>772</v>
      </c>
      <c r="H351" t="s">
        <v>800</v>
      </c>
      <c r="J351" t="s">
        <v>801</v>
      </c>
      <c r="K351" t="s">
        <v>1142</v>
      </c>
      <c r="L351" t="s">
        <v>1142</v>
      </c>
    </row>
    <row r="352" spans="2:12">
      <c r="B352" t="s">
        <v>423</v>
      </c>
      <c r="C352" t="s">
        <v>765</v>
      </c>
      <c r="D352" t="s">
        <v>765</v>
      </c>
      <c r="F352" t="s">
        <v>765</v>
      </c>
      <c r="G352" t="s">
        <v>772</v>
      </c>
      <c r="H352" t="s">
        <v>800</v>
      </c>
      <c r="J352" t="s">
        <v>801</v>
      </c>
      <c r="K352" t="s">
        <v>1143</v>
      </c>
      <c r="L352" t="s">
        <v>1143</v>
      </c>
    </row>
    <row r="353" spans="2:12">
      <c r="B353" t="s">
        <v>423</v>
      </c>
      <c r="C353" t="s">
        <v>766</v>
      </c>
      <c r="D353" t="s">
        <v>766</v>
      </c>
      <c r="F353" t="s">
        <v>766</v>
      </c>
      <c r="G353" t="s">
        <v>772</v>
      </c>
      <c r="H353" t="s">
        <v>800</v>
      </c>
      <c r="J353" t="s">
        <v>801</v>
      </c>
      <c r="K353" t="s">
        <v>1144</v>
      </c>
      <c r="L353" t="s">
        <v>1144</v>
      </c>
    </row>
    <row r="354" spans="2:12">
      <c r="B354" t="s">
        <v>423</v>
      </c>
      <c r="C354" t="s">
        <v>767</v>
      </c>
      <c r="D354" t="s">
        <v>767</v>
      </c>
      <c r="F354" t="s">
        <v>767</v>
      </c>
      <c r="G354" t="s">
        <v>772</v>
      </c>
      <c r="H354" t="s">
        <v>800</v>
      </c>
      <c r="J354" t="s">
        <v>801</v>
      </c>
      <c r="K354" t="s">
        <v>1145</v>
      </c>
      <c r="L354" t="s">
        <v>1145</v>
      </c>
    </row>
    <row r="355" spans="2:12">
      <c r="B355" t="s">
        <v>423</v>
      </c>
      <c r="C355" t="s">
        <v>768</v>
      </c>
      <c r="D355" t="s">
        <v>768</v>
      </c>
      <c r="F355" t="s">
        <v>768</v>
      </c>
      <c r="G355" t="s">
        <v>772</v>
      </c>
      <c r="H355" t="s">
        <v>800</v>
      </c>
      <c r="J355" t="s">
        <v>801</v>
      </c>
      <c r="K355" t="s">
        <v>1146</v>
      </c>
      <c r="L355" t="s">
        <v>1146</v>
      </c>
    </row>
    <row r="356" spans="2:12">
      <c r="B356" t="s">
        <v>423</v>
      </c>
      <c r="C356" t="s">
        <v>769</v>
      </c>
      <c r="D356" t="s">
        <v>769</v>
      </c>
      <c r="F356" t="s">
        <v>769</v>
      </c>
      <c r="G356" t="s">
        <v>772</v>
      </c>
      <c r="H356" t="s">
        <v>800</v>
      </c>
      <c r="J356" t="s">
        <v>801</v>
      </c>
      <c r="K356" t="s">
        <v>1147</v>
      </c>
      <c r="L356" t="s">
        <v>1147</v>
      </c>
    </row>
    <row r="357" spans="2:12">
      <c r="B357" t="s">
        <v>423</v>
      </c>
      <c r="C357" t="s">
        <v>770</v>
      </c>
      <c r="D357" t="s">
        <v>770</v>
      </c>
      <c r="F357" t="s">
        <v>770</v>
      </c>
      <c r="G357" t="s">
        <v>772</v>
      </c>
      <c r="H357" t="s">
        <v>800</v>
      </c>
      <c r="J357" t="s">
        <v>801</v>
      </c>
      <c r="K357" t="s">
        <v>1148</v>
      </c>
      <c r="L357" t="s">
        <v>1148</v>
      </c>
    </row>
    <row r="358" spans="2:12">
      <c r="B358" t="s">
        <v>423</v>
      </c>
      <c r="C358" t="s">
        <v>771</v>
      </c>
      <c r="D358" t="s">
        <v>771</v>
      </c>
      <c r="F358" t="s">
        <v>771</v>
      </c>
      <c r="G358" t="s">
        <v>772</v>
      </c>
      <c r="H358" t="s">
        <v>800</v>
      </c>
      <c r="J358" t="s">
        <v>801</v>
      </c>
      <c r="K358" t="s">
        <v>1149</v>
      </c>
      <c r="L358" t="s">
        <v>1149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2"/>
  <sheetViews>
    <sheetView zoomScaleNormal="100" workbookViewId="0">
      <pane ySplit="2" topLeftCell="A3" activePane="bottomLeft" state="frozen"/>
      <selection pane="bottomLeft" activeCell="F22" sqref="F22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21</v>
      </c>
    </row>
    <row r="2" spans="1:21" ht="15" thickTop="1" thickBot="1">
      <c r="A2" s="6" t="s">
        <v>11</v>
      </c>
      <c r="B2" s="6" t="s">
        <v>22</v>
      </c>
      <c r="C2" s="6" t="s">
        <v>12</v>
      </c>
      <c r="D2" s="6" t="s">
        <v>13</v>
      </c>
      <c r="E2" s="6" t="s">
        <v>17</v>
      </c>
      <c r="F2" s="6" t="s">
        <v>18</v>
      </c>
      <c r="G2" s="6" t="s">
        <v>19</v>
      </c>
      <c r="H2" s="6" t="s">
        <v>14</v>
      </c>
      <c r="I2" s="6" t="s">
        <v>15</v>
      </c>
      <c r="J2" s="6" t="s">
        <v>16</v>
      </c>
      <c r="K2" s="6" t="s">
        <v>0</v>
      </c>
      <c r="L2" s="6" t="s">
        <v>6</v>
      </c>
      <c r="M2" s="6" t="s">
        <v>23</v>
      </c>
      <c r="N2" s="6" t="s">
        <v>2</v>
      </c>
      <c r="O2" s="6" t="s">
        <v>1</v>
      </c>
      <c r="P2" s="6" t="s">
        <v>10</v>
      </c>
      <c r="Q2" s="6" t="s">
        <v>58</v>
      </c>
      <c r="R2" s="6" t="s">
        <v>59</v>
      </c>
    </row>
    <row r="3" spans="1:21">
      <c r="A3" t="s">
        <v>7</v>
      </c>
      <c r="C3" t="s">
        <v>115</v>
      </c>
      <c r="D3" s="2" t="s">
        <v>157</v>
      </c>
      <c r="K3" t="s">
        <v>8</v>
      </c>
      <c r="N3" t="s">
        <v>70</v>
      </c>
    </row>
    <row r="4" spans="1:21">
      <c r="A4" t="s">
        <v>36</v>
      </c>
      <c r="C4" t="s">
        <v>115</v>
      </c>
      <c r="D4" s="2" t="s">
        <v>157</v>
      </c>
      <c r="K4" t="s">
        <v>8</v>
      </c>
      <c r="N4" t="s">
        <v>79</v>
      </c>
      <c r="T4" s="8" t="s">
        <v>43</v>
      </c>
      <c r="U4" s="8"/>
    </row>
    <row r="5" spans="1:21">
      <c r="A5" t="s">
        <v>5</v>
      </c>
      <c r="C5" t="s">
        <v>116</v>
      </c>
      <c r="D5" s="2" t="s">
        <v>157</v>
      </c>
      <c r="I5" t="s">
        <v>387</v>
      </c>
      <c r="K5" t="s">
        <v>80</v>
      </c>
      <c r="N5" t="s">
        <v>81</v>
      </c>
      <c r="T5" s="3" t="s">
        <v>44</v>
      </c>
      <c r="U5" s="3" t="s">
        <v>52</v>
      </c>
    </row>
    <row r="6" spans="1:21">
      <c r="A6" t="s">
        <v>60</v>
      </c>
      <c r="C6" t="s">
        <v>143</v>
      </c>
      <c r="D6" s="2"/>
      <c r="H6" t="s">
        <v>26</v>
      </c>
      <c r="I6" s="2" t="s">
        <v>99</v>
      </c>
      <c r="K6" t="s">
        <v>86</v>
      </c>
      <c r="N6" t="s">
        <v>42</v>
      </c>
      <c r="Q6" t="s">
        <v>118</v>
      </c>
      <c r="T6" s="3"/>
      <c r="U6" s="3"/>
    </row>
    <row r="7" spans="1:21">
      <c r="A7" t="s">
        <v>5</v>
      </c>
      <c r="I7" s="2" t="s">
        <v>125</v>
      </c>
      <c r="K7" t="s">
        <v>127</v>
      </c>
      <c r="N7" t="s">
        <v>129</v>
      </c>
      <c r="T7" s="3"/>
      <c r="U7" s="3"/>
    </row>
    <row r="8" spans="1:21">
      <c r="A8" t="s">
        <v>5</v>
      </c>
      <c r="I8" s="2" t="s">
        <v>126</v>
      </c>
      <c r="K8" t="s">
        <v>128</v>
      </c>
      <c r="N8" t="s">
        <v>130</v>
      </c>
      <c r="T8" s="3"/>
      <c r="U8" s="3"/>
    </row>
    <row r="9" spans="1:21">
      <c r="A9" t="s">
        <v>30</v>
      </c>
      <c r="C9" t="s">
        <v>115</v>
      </c>
      <c r="D9" s="2" t="s">
        <v>117</v>
      </c>
      <c r="K9" t="s">
        <v>291</v>
      </c>
      <c r="N9" t="s">
        <v>82</v>
      </c>
    </row>
    <row r="10" spans="1:21">
      <c r="A10" s="4" t="s">
        <v>29</v>
      </c>
      <c r="B10" s="4" t="s">
        <v>56</v>
      </c>
      <c r="H10" t="s">
        <v>26</v>
      </c>
      <c r="K10" t="s">
        <v>83</v>
      </c>
      <c r="N10" t="s">
        <v>45</v>
      </c>
      <c r="P10" t="s">
        <v>46</v>
      </c>
      <c r="Q10" t="s">
        <v>47</v>
      </c>
    </row>
    <row r="11" spans="1:21">
      <c r="A11" s="4" t="s">
        <v>29</v>
      </c>
      <c r="B11" s="4" t="s">
        <v>56</v>
      </c>
      <c r="I11" t="s">
        <v>139</v>
      </c>
      <c r="K11" t="s">
        <v>140</v>
      </c>
      <c r="N11" t="s">
        <v>141</v>
      </c>
    </row>
    <row r="12" spans="1:21">
      <c r="A12" t="s">
        <v>48</v>
      </c>
      <c r="K12" t="s">
        <v>84</v>
      </c>
      <c r="N12" t="s">
        <v>49</v>
      </c>
      <c r="P12" t="s">
        <v>51</v>
      </c>
      <c r="Q12" t="s">
        <v>50</v>
      </c>
    </row>
    <row r="13" spans="1:21">
      <c r="A13" s="4" t="s">
        <v>57</v>
      </c>
      <c r="B13" s="4" t="s">
        <v>36</v>
      </c>
      <c r="K13" t="s">
        <v>83</v>
      </c>
      <c r="N13" t="s">
        <v>61</v>
      </c>
      <c r="Q13" t="s">
        <v>44</v>
      </c>
    </row>
    <row r="14" spans="1:21">
      <c r="A14" s="4" t="s">
        <v>289</v>
      </c>
      <c r="K14" t="s">
        <v>291</v>
      </c>
      <c r="N14" t="s">
        <v>292</v>
      </c>
      <c r="Q14" t="s">
        <v>50</v>
      </c>
    </row>
    <row r="15" spans="1:21">
      <c r="A15" s="4" t="s">
        <v>290</v>
      </c>
      <c r="K15" t="s">
        <v>291</v>
      </c>
      <c r="N15" t="s">
        <v>293</v>
      </c>
      <c r="Q15" t="s">
        <v>50</v>
      </c>
    </row>
    <row r="16" spans="1:21">
      <c r="A16" t="s">
        <v>7</v>
      </c>
      <c r="C16" t="s">
        <v>388</v>
      </c>
      <c r="D16" t="s">
        <v>389</v>
      </c>
      <c r="K16" t="s">
        <v>8</v>
      </c>
      <c r="N16" t="s">
        <v>390</v>
      </c>
    </row>
    <row r="17" spans="1:17">
      <c r="A17" t="s">
        <v>36</v>
      </c>
      <c r="C17" t="s">
        <v>388</v>
      </c>
      <c r="D17" t="s">
        <v>389</v>
      </c>
      <c r="K17" t="s">
        <v>8</v>
      </c>
      <c r="N17" t="s">
        <v>391</v>
      </c>
    </row>
    <row r="18" spans="1:17">
      <c r="A18" s="4" t="s">
        <v>161</v>
      </c>
      <c r="D18" t="s">
        <v>397</v>
      </c>
      <c r="I18" t="s">
        <v>398</v>
      </c>
      <c r="K18" t="s">
        <v>80</v>
      </c>
      <c r="N18" t="s">
        <v>162</v>
      </c>
    </row>
    <row r="19" spans="1:17">
      <c r="A19" t="s">
        <v>161</v>
      </c>
      <c r="I19" t="s">
        <v>400</v>
      </c>
      <c r="K19" t="s">
        <v>80</v>
      </c>
      <c r="N19" t="s">
        <v>418</v>
      </c>
      <c r="P19" t="s">
        <v>415</v>
      </c>
      <c r="Q19" t="s">
        <v>399</v>
      </c>
    </row>
    <row r="20" spans="1:17">
      <c r="A20" t="s">
        <v>5</v>
      </c>
      <c r="I20" t="s">
        <v>400</v>
      </c>
      <c r="K20" t="s">
        <v>80</v>
      </c>
      <c r="N20" t="s">
        <v>419</v>
      </c>
      <c r="P20" t="s">
        <v>415</v>
      </c>
      <c r="Q20" t="s">
        <v>399</v>
      </c>
    </row>
    <row r="21" spans="1:17">
      <c r="A21" t="s">
        <v>7</v>
      </c>
      <c r="F21" t="s">
        <v>422</v>
      </c>
      <c r="G21" t="s">
        <v>422</v>
      </c>
      <c r="K21" t="s">
        <v>8</v>
      </c>
      <c r="N21" t="s">
        <v>420</v>
      </c>
      <c r="P21" t="s">
        <v>416</v>
      </c>
      <c r="Q21" t="s">
        <v>44</v>
      </c>
    </row>
    <row r="22" spans="1:17">
      <c r="A22" t="s">
        <v>36</v>
      </c>
      <c r="F22" t="s">
        <v>422</v>
      </c>
      <c r="G22" t="s">
        <v>422</v>
      </c>
      <c r="K22" t="s">
        <v>8</v>
      </c>
      <c r="N22" t="s">
        <v>421</v>
      </c>
      <c r="P22" t="s">
        <v>417</v>
      </c>
      <c r="Q22" t="s">
        <v>44</v>
      </c>
    </row>
  </sheetData>
  <mergeCells count="1">
    <mergeCell ref="T4:U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103</v>
      </c>
    </row>
    <row r="2" spans="3:11">
      <c r="C2" t="s">
        <v>104</v>
      </c>
      <c r="D2" t="s">
        <v>105</v>
      </c>
      <c r="E2" s="1" t="s">
        <v>2</v>
      </c>
      <c r="F2" t="s">
        <v>0</v>
      </c>
      <c r="G2" t="s">
        <v>58</v>
      </c>
      <c r="H2" t="s">
        <v>106</v>
      </c>
      <c r="I2" t="s">
        <v>107</v>
      </c>
      <c r="J2" t="s">
        <v>108</v>
      </c>
      <c r="K2" t="s">
        <v>10</v>
      </c>
    </row>
    <row r="3" spans="3:11">
      <c r="C3" t="s">
        <v>81</v>
      </c>
      <c r="D3" t="s">
        <v>70</v>
      </c>
      <c r="E3" s="7" t="s">
        <v>109</v>
      </c>
      <c r="F3" t="s">
        <v>110</v>
      </c>
      <c r="G3" t="s">
        <v>44</v>
      </c>
      <c r="I3" t="s">
        <v>111</v>
      </c>
      <c r="J3" t="s">
        <v>44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294</v>
      </c>
    </row>
    <row r="4" spans="1:19" ht="15" thickTop="1" thickBot="1">
      <c r="A4" s="6" t="s">
        <v>11</v>
      </c>
      <c r="B4" s="6" t="s">
        <v>12</v>
      </c>
      <c r="C4" s="6" t="s">
        <v>13</v>
      </c>
      <c r="D4" s="6" t="s">
        <v>17</v>
      </c>
      <c r="E4" s="6" t="s">
        <v>18</v>
      </c>
      <c r="F4" s="6" t="s">
        <v>19</v>
      </c>
      <c r="G4" s="6" t="s">
        <v>14</v>
      </c>
      <c r="H4" s="6" t="s">
        <v>15</v>
      </c>
      <c r="I4" s="6" t="s">
        <v>16</v>
      </c>
      <c r="J4" s="6" t="s">
        <v>0</v>
      </c>
      <c r="K4" s="6" t="s">
        <v>6</v>
      </c>
      <c r="L4" s="6" t="s">
        <v>23</v>
      </c>
      <c r="M4" s="6" t="s">
        <v>2</v>
      </c>
      <c r="N4" s="6" t="s">
        <v>1</v>
      </c>
      <c r="O4" s="6" t="s">
        <v>10</v>
      </c>
      <c r="P4" s="6" t="s">
        <v>58</v>
      </c>
      <c r="Q4" s="6" t="s">
        <v>106</v>
      </c>
      <c r="R4" s="6" t="s">
        <v>158</v>
      </c>
      <c r="S4" s="6" t="s">
        <v>159</v>
      </c>
    </row>
    <row r="5" spans="1:19">
      <c r="A5" t="s">
        <v>5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160</v>
      </c>
      <c r="M5" t="s">
        <v>192</v>
      </c>
      <c r="S5">
        <v>-1</v>
      </c>
    </row>
    <row r="6" spans="1:19">
      <c r="A6" t="s">
        <v>161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160</v>
      </c>
      <c r="M6" t="s">
        <v>193</v>
      </c>
      <c r="S6">
        <v>-1</v>
      </c>
    </row>
    <row r="10" spans="1:19" ht="17.25" thickBot="1">
      <c r="A10" s="5" t="s">
        <v>264</v>
      </c>
    </row>
    <row r="11" spans="1:19" ht="15" thickTop="1" thickBot="1">
      <c r="A11" s="6" t="s">
        <v>11</v>
      </c>
      <c r="B11" s="6" t="s">
        <v>12</v>
      </c>
      <c r="C11" s="6" t="s">
        <v>13</v>
      </c>
      <c r="D11" s="6" t="s">
        <v>17</v>
      </c>
      <c r="E11" s="6" t="s">
        <v>18</v>
      </c>
      <c r="F11" s="6" t="s">
        <v>19</v>
      </c>
      <c r="G11" s="6" t="s">
        <v>14</v>
      </c>
      <c r="H11" s="6" t="s">
        <v>15</v>
      </c>
      <c r="I11" s="6" t="s">
        <v>16</v>
      </c>
      <c r="J11" s="6" t="s">
        <v>0</v>
      </c>
      <c r="K11" s="6" t="s">
        <v>6</v>
      </c>
      <c r="L11" s="6" t="s">
        <v>23</v>
      </c>
      <c r="M11" s="6" t="s">
        <v>2</v>
      </c>
      <c r="N11" s="6" t="s">
        <v>1</v>
      </c>
      <c r="O11" s="6" t="s">
        <v>10</v>
      </c>
      <c r="P11" s="6" t="s">
        <v>58</v>
      </c>
      <c r="Q11" s="6" t="s">
        <v>106</v>
      </c>
      <c r="R11" s="6" t="s">
        <v>158</v>
      </c>
      <c r="S11" s="6" t="s">
        <v>159</v>
      </c>
    </row>
    <row r="12" spans="1:19">
      <c r="A12" t="s">
        <v>120</v>
      </c>
      <c r="B12" s="4" t="s">
        <v>278</v>
      </c>
    </row>
    <row r="13" spans="1:19">
      <c r="A13" t="s">
        <v>5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160</v>
      </c>
      <c r="M13" t="s">
        <v>273</v>
      </c>
      <c r="S13">
        <v>-1</v>
      </c>
    </row>
    <row r="14" spans="1:19">
      <c r="A14" t="s">
        <v>161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160</v>
      </c>
      <c r="M14" t="s">
        <v>274</v>
      </c>
      <c r="S14">
        <v>-1</v>
      </c>
    </row>
    <row r="15" spans="1:19">
      <c r="A15" t="s">
        <v>120</v>
      </c>
      <c r="B15" s="4" t="s">
        <v>275</v>
      </c>
    </row>
    <row r="16" spans="1:19">
      <c r="A16" t="s">
        <v>5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160</v>
      </c>
      <c r="M16" t="s">
        <v>281</v>
      </c>
      <c r="S16">
        <v>-1</v>
      </c>
    </row>
    <row r="17" spans="1:19">
      <c r="A17" t="s">
        <v>161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160</v>
      </c>
      <c r="M17" t="s">
        <v>282</v>
      </c>
      <c r="S17">
        <v>-1</v>
      </c>
    </row>
    <row r="18" spans="1:19">
      <c r="A18" t="s">
        <v>120</v>
      </c>
      <c r="B18" s="4" t="s">
        <v>276</v>
      </c>
    </row>
    <row r="19" spans="1:19">
      <c r="A19" t="s">
        <v>5</v>
      </c>
      <c r="F19" t="str">
        <f>H19</f>
        <v>hydrogen</v>
      </c>
      <c r="H19" t="s">
        <v>185</v>
      </c>
      <c r="J19" t="s">
        <v>160</v>
      </c>
      <c r="M19" t="s">
        <v>273</v>
      </c>
      <c r="S19">
        <v>-1</v>
      </c>
    </row>
    <row r="20" spans="1:19">
      <c r="A20" t="s">
        <v>161</v>
      </c>
      <c r="F20" t="s">
        <v>185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160</v>
      </c>
      <c r="M20" t="s">
        <v>283</v>
      </c>
      <c r="S20">
        <v>-1</v>
      </c>
    </row>
    <row r="23" spans="1:19">
      <c r="A23" t="s">
        <v>161</v>
      </c>
      <c r="E23" t="s">
        <v>185</v>
      </c>
      <c r="H23" t="s">
        <v>185</v>
      </c>
      <c r="J23" t="s">
        <v>160</v>
      </c>
      <c r="M23" t="s">
        <v>277</v>
      </c>
      <c r="S2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24</v>
      </c>
    </row>
    <row r="2" spans="1:3">
      <c r="A2" t="s">
        <v>25</v>
      </c>
      <c r="B2" t="s">
        <v>1</v>
      </c>
      <c r="C2" t="s">
        <v>10</v>
      </c>
    </row>
    <row r="3" spans="1:3">
      <c r="A3" t="s">
        <v>87</v>
      </c>
      <c r="B3" t="str">
        <f>A3</f>
        <v>CCGT</v>
      </c>
    </row>
    <row r="4" spans="1:3">
      <c r="A4" t="s">
        <v>88</v>
      </c>
      <c r="B4" t="str">
        <f t="shared" ref="B4:B47" si="0">A4</f>
        <v>Int Comb</v>
      </c>
    </row>
    <row r="5" spans="1:3">
      <c r="A5" t="s">
        <v>89</v>
      </c>
      <c r="B5" t="str">
        <f t="shared" si="0"/>
        <v>Gas_Oil Steam</v>
      </c>
    </row>
    <row r="6" spans="1:3">
      <c r="A6" t="s">
        <v>90</v>
      </c>
      <c r="B6" t="str">
        <f t="shared" si="0"/>
        <v>OCGT (Peaker)</v>
      </c>
    </row>
    <row r="7" spans="1:3">
      <c r="A7" t="s">
        <v>91</v>
      </c>
      <c r="B7" t="str">
        <f t="shared" si="0"/>
        <v>Subcritical Coal</v>
      </c>
    </row>
    <row r="8" spans="1:3">
      <c r="A8" t="s">
        <v>92</v>
      </c>
      <c r="B8" t="str">
        <f t="shared" si="0"/>
        <v>Supercritical Coal</v>
      </c>
    </row>
    <row r="9" spans="1:3">
      <c r="A9" t="s">
        <v>93</v>
      </c>
      <c r="B9" t="str">
        <f t="shared" si="0"/>
        <v>IGCC</v>
      </c>
    </row>
    <row r="10" spans="1:3">
      <c r="A10" t="s">
        <v>195</v>
      </c>
      <c r="B10" t="str">
        <f t="shared" si="0"/>
        <v>Bio Power</v>
      </c>
    </row>
    <row r="11" spans="1:3">
      <c r="A11" t="s">
        <v>196</v>
      </c>
      <c r="B11" t="str">
        <f t="shared" si="0"/>
        <v>Solar Util</v>
      </c>
    </row>
    <row r="12" spans="1:3">
      <c r="A12" t="s">
        <v>94</v>
      </c>
      <c r="B12" t="s">
        <v>279</v>
      </c>
    </row>
    <row r="13" spans="1:3">
      <c r="A13" t="s">
        <v>95</v>
      </c>
      <c r="B13" t="s">
        <v>280</v>
      </c>
    </row>
    <row r="14" spans="1:3">
      <c r="A14" t="s">
        <v>197</v>
      </c>
      <c r="B14" t="str">
        <f t="shared" si="0"/>
        <v>Geothermal P</v>
      </c>
    </row>
    <row r="15" spans="1:3">
      <c r="A15" t="s">
        <v>201</v>
      </c>
      <c r="B15" t="str">
        <f t="shared" si="0"/>
        <v>Hydro Dam</v>
      </c>
    </row>
    <row r="16" spans="1:3">
      <c r="A16" t="s">
        <v>198</v>
      </c>
      <c r="B16" t="str">
        <f t="shared" si="0"/>
        <v>Hydro RoR</v>
      </c>
    </row>
    <row r="17" spans="1:2">
      <c r="A17" t="s">
        <v>199</v>
      </c>
      <c r="B17" t="str">
        <f t="shared" si="0"/>
        <v>Nuclear P</v>
      </c>
    </row>
    <row r="18" spans="1:2">
      <c r="A18" t="s">
        <v>200</v>
      </c>
      <c r="B18" t="str">
        <f t="shared" si="0"/>
        <v>Nuclear SMR</v>
      </c>
    </row>
    <row r="19" spans="1:2">
      <c r="A19" t="s">
        <v>96</v>
      </c>
      <c r="B19" t="str">
        <f t="shared" si="0"/>
        <v>Hydro pumped stg</v>
      </c>
    </row>
    <row r="20" spans="1:2">
      <c r="A20" t="s">
        <v>97</v>
      </c>
      <c r="B20" t="str">
        <f t="shared" si="0"/>
        <v>Util Batt Stg</v>
      </c>
    </row>
    <row r="21" spans="1:2">
      <c r="A21" t="s">
        <v>98</v>
      </c>
      <c r="B21" t="str">
        <f t="shared" si="0"/>
        <v>EV Batt</v>
      </c>
    </row>
    <row r="22" spans="1:2">
      <c r="A22" t="s">
        <v>162</v>
      </c>
      <c r="B22" t="str">
        <f t="shared" si="0"/>
        <v>Demand</v>
      </c>
    </row>
    <row r="23" spans="1:2">
      <c r="A23" t="s">
        <v>228</v>
      </c>
      <c r="B23" t="str">
        <f t="shared" si="0"/>
        <v>Transformers Dn</v>
      </c>
    </row>
    <row r="24" spans="1:2">
      <c r="A24" t="s">
        <v>229</v>
      </c>
      <c r="B24" t="str">
        <f t="shared" si="0"/>
        <v>Transformers Up</v>
      </c>
    </row>
    <row r="25" spans="1:2">
      <c r="A25" t="s">
        <v>205</v>
      </c>
      <c r="B25" t="str">
        <f t="shared" si="0"/>
        <v>Grid-220V</v>
      </c>
    </row>
    <row r="26" spans="1:2">
      <c r="A26" t="s">
        <v>206</v>
      </c>
      <c r="B26" t="str">
        <f t="shared" si="0"/>
        <v>Grid-400V</v>
      </c>
    </row>
    <row r="27" spans="1:2">
      <c r="A27" t="s">
        <v>207</v>
      </c>
      <c r="B27" t="str">
        <f t="shared" si="0"/>
        <v>Grid-380V</v>
      </c>
    </row>
    <row r="28" spans="1:2">
      <c r="A28" t="s">
        <v>208</v>
      </c>
      <c r="B28" t="str">
        <f t="shared" si="0"/>
        <v>Grid-225V</v>
      </c>
    </row>
    <row r="29" spans="1:2">
      <c r="A29" t="s">
        <v>209</v>
      </c>
      <c r="B29" t="str">
        <f t="shared" si="0"/>
        <v>Grid-330V</v>
      </c>
    </row>
    <row r="30" spans="1:2">
      <c r="A30" t="s">
        <v>210</v>
      </c>
      <c r="B30" t="str">
        <f t="shared" si="0"/>
        <v>Grid-275V</v>
      </c>
    </row>
    <row r="31" spans="1:2">
      <c r="A31" t="s">
        <v>211</v>
      </c>
      <c r="B31" t="str">
        <f t="shared" si="0"/>
        <v>Grid-420V</v>
      </c>
    </row>
    <row r="32" spans="1:2">
      <c r="A32" t="s">
        <v>212</v>
      </c>
      <c r="B32" t="str">
        <f t="shared" si="0"/>
        <v>Grid-300V</v>
      </c>
    </row>
    <row r="33" spans="1:2">
      <c r="A33" t="s">
        <v>213</v>
      </c>
      <c r="B33" t="str">
        <f t="shared" si="0"/>
        <v>Grid-500V</v>
      </c>
    </row>
    <row r="34" spans="1:2">
      <c r="A34" t="s">
        <v>214</v>
      </c>
      <c r="B34" t="str">
        <f t="shared" si="0"/>
        <v>Grid-750V</v>
      </c>
    </row>
    <row r="35" spans="1:2">
      <c r="A35" t="s">
        <v>215</v>
      </c>
      <c r="B35" t="str">
        <f t="shared" si="0"/>
        <v>Grid-450V</v>
      </c>
    </row>
    <row r="36" spans="1:2">
      <c r="A36" t="s">
        <v>216</v>
      </c>
      <c r="B36" t="str">
        <f t="shared" si="0"/>
        <v>Grid-515V</v>
      </c>
    </row>
    <row r="37" spans="1:2">
      <c r="A37" t="s">
        <v>217</v>
      </c>
      <c r="B37" t="str">
        <f t="shared" si="0"/>
        <v>Grid-525V</v>
      </c>
    </row>
    <row r="38" spans="1:2">
      <c r="A38" t="s">
        <v>218</v>
      </c>
      <c r="B38" t="str">
        <f t="shared" si="0"/>
        <v>Grid-320V</v>
      </c>
    </row>
    <row r="39" spans="1:2">
      <c r="A39" t="s">
        <v>219</v>
      </c>
      <c r="B39" t="str">
        <f t="shared" si="0"/>
        <v>Grid-150V</v>
      </c>
    </row>
    <row r="40" spans="1:2">
      <c r="A40" t="s">
        <v>220</v>
      </c>
      <c r="B40" t="str">
        <f t="shared" si="0"/>
        <v>Grid-270V</v>
      </c>
    </row>
    <row r="41" spans="1:2">
      <c r="A41" t="s">
        <v>221</v>
      </c>
      <c r="B41" t="str">
        <f t="shared" si="0"/>
        <v>Grid-350V</v>
      </c>
    </row>
    <row r="42" spans="1:2">
      <c r="A42" t="s">
        <v>222</v>
      </c>
      <c r="B42" t="str">
        <f t="shared" si="0"/>
        <v>Grid-250V</v>
      </c>
    </row>
    <row r="43" spans="1:2">
      <c r="A43" t="s">
        <v>223</v>
      </c>
      <c r="B43" t="str">
        <f t="shared" si="0"/>
        <v>Grid-200V</v>
      </c>
    </row>
    <row r="44" spans="1:2">
      <c r="A44" t="s">
        <v>224</v>
      </c>
      <c r="B44" t="str">
        <f t="shared" si="0"/>
        <v>Grid-236V</v>
      </c>
    </row>
    <row r="45" spans="1:2">
      <c r="A45" t="s">
        <v>225</v>
      </c>
      <c r="B45" t="str">
        <f t="shared" si="0"/>
        <v>Grid-600V</v>
      </c>
    </row>
    <row r="46" spans="1:2">
      <c r="A46" t="s">
        <v>226</v>
      </c>
      <c r="B46" t="str">
        <f t="shared" si="0"/>
        <v>Aggregators</v>
      </c>
    </row>
    <row r="47" spans="1:2">
      <c r="A47" t="s">
        <v>227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71</v>
      </c>
    </row>
    <row r="2" spans="1:3">
      <c r="A2" t="s">
        <v>72</v>
      </c>
      <c r="B2" t="s">
        <v>1</v>
      </c>
      <c r="C2" t="s">
        <v>10</v>
      </c>
    </row>
    <row r="3" spans="1:3">
      <c r="A3" t="s">
        <v>163</v>
      </c>
      <c r="B3" t="str">
        <f>A3</f>
        <v>Elec-220V</v>
      </c>
    </row>
    <row r="4" spans="1:3">
      <c r="A4" t="s">
        <v>164</v>
      </c>
      <c r="B4" t="str">
        <f t="shared" ref="B4:B23" si="0">A4</f>
        <v>Elec-400V</v>
      </c>
    </row>
    <row r="5" spans="1:3">
      <c r="A5" t="s">
        <v>165</v>
      </c>
      <c r="B5" t="str">
        <f t="shared" si="0"/>
        <v>Elec-380V</v>
      </c>
    </row>
    <row r="6" spans="1:3">
      <c r="A6" t="s">
        <v>166</v>
      </c>
      <c r="B6" t="str">
        <f t="shared" si="0"/>
        <v>Elec-225V</v>
      </c>
    </row>
    <row r="7" spans="1:3">
      <c r="A7" t="s">
        <v>167</v>
      </c>
      <c r="B7" t="str">
        <f t="shared" si="0"/>
        <v>Elec-330V</v>
      </c>
    </row>
    <row r="8" spans="1:3">
      <c r="A8" t="s">
        <v>168</v>
      </c>
      <c r="B8" t="str">
        <f t="shared" si="0"/>
        <v>Elec-275V</v>
      </c>
    </row>
    <row r="9" spans="1:3">
      <c r="A9" t="s">
        <v>169</v>
      </c>
      <c r="B9" t="str">
        <f t="shared" si="0"/>
        <v>Elec-420V</v>
      </c>
    </row>
    <row r="10" spans="1:3">
      <c r="A10" t="s">
        <v>170</v>
      </c>
      <c r="B10" t="str">
        <f t="shared" si="0"/>
        <v>Elec-300V</v>
      </c>
    </row>
    <row r="11" spans="1:3">
      <c r="A11" t="s">
        <v>171</v>
      </c>
      <c r="B11" t="str">
        <f t="shared" si="0"/>
        <v>Elec-500V</v>
      </c>
    </row>
    <row r="12" spans="1:3">
      <c r="A12" t="s">
        <v>172</v>
      </c>
      <c r="B12" t="str">
        <f t="shared" si="0"/>
        <v>Elec-750V</v>
      </c>
    </row>
    <row r="13" spans="1:3">
      <c r="A13" t="s">
        <v>173</v>
      </c>
      <c r="B13" t="str">
        <f t="shared" si="0"/>
        <v>Elec-450V</v>
      </c>
    </row>
    <row r="14" spans="1:3">
      <c r="A14" t="s">
        <v>174</v>
      </c>
      <c r="B14" t="str">
        <f t="shared" si="0"/>
        <v>Elec-515V</v>
      </c>
    </row>
    <row r="15" spans="1:3">
      <c r="A15" t="s">
        <v>175</v>
      </c>
      <c r="B15" t="str">
        <f t="shared" si="0"/>
        <v>Elec-525V</v>
      </c>
    </row>
    <row r="16" spans="1:3">
      <c r="A16" t="s">
        <v>176</v>
      </c>
      <c r="B16" t="str">
        <f t="shared" si="0"/>
        <v>Elec-320V</v>
      </c>
    </row>
    <row r="17" spans="1:2">
      <c r="A17" t="s">
        <v>177</v>
      </c>
      <c r="B17" t="str">
        <f t="shared" si="0"/>
        <v>Elec-150V</v>
      </c>
    </row>
    <row r="18" spans="1:2">
      <c r="A18" t="s">
        <v>178</v>
      </c>
      <c r="B18" t="str">
        <f t="shared" si="0"/>
        <v>Elec-270V</v>
      </c>
    </row>
    <row r="19" spans="1:2">
      <c r="A19" t="s">
        <v>179</v>
      </c>
      <c r="B19" t="str">
        <f t="shared" si="0"/>
        <v>Elec-350V</v>
      </c>
    </row>
    <row r="20" spans="1:2">
      <c r="A20" t="s">
        <v>180</v>
      </c>
      <c r="B20" t="str">
        <f t="shared" si="0"/>
        <v>Elec-250V</v>
      </c>
    </row>
    <row r="21" spans="1:2">
      <c r="A21" t="s">
        <v>181</v>
      </c>
      <c r="B21" t="str">
        <f t="shared" si="0"/>
        <v>Elec-200V</v>
      </c>
    </row>
    <row r="22" spans="1:2">
      <c r="A22" t="s">
        <v>182</v>
      </c>
      <c r="B22" t="str">
        <f t="shared" si="0"/>
        <v>Elec-236V</v>
      </c>
    </row>
    <row r="23" spans="1:2">
      <c r="A23" t="s">
        <v>183</v>
      </c>
      <c r="B23" t="str">
        <f t="shared" si="0"/>
        <v>Elec-600V</v>
      </c>
    </row>
    <row r="24" spans="1:2">
      <c r="A24" t="s">
        <v>202</v>
      </c>
      <c r="B24" t="s">
        <v>275</v>
      </c>
    </row>
    <row r="25" spans="1:2">
      <c r="A25" t="s">
        <v>203</v>
      </c>
      <c r="B25" t="s">
        <v>275</v>
      </c>
    </row>
    <row r="26" spans="1:2">
      <c r="A26" t="s">
        <v>185</v>
      </c>
      <c r="B26" t="str">
        <f t="shared" ref="B26" si="1">A26</f>
        <v>hydrogen</v>
      </c>
    </row>
    <row r="27" spans="1:2">
      <c r="A27" t="s">
        <v>187</v>
      </c>
      <c r="B27" t="s">
        <v>275</v>
      </c>
    </row>
    <row r="28" spans="1:2">
      <c r="A28" t="s">
        <v>188</v>
      </c>
      <c r="B28" t="str">
        <f t="shared" ref="B28:B35" si="2">A28</f>
        <v>buildings</v>
      </c>
    </row>
    <row r="29" spans="1:2">
      <c r="A29" t="s">
        <v>189</v>
      </c>
      <c r="B29" t="str">
        <f t="shared" si="2"/>
        <v>industry</v>
      </c>
    </row>
    <row r="30" spans="1:2">
      <c r="A30" t="s">
        <v>190</v>
      </c>
      <c r="B30" t="str">
        <f t="shared" si="2"/>
        <v>transport</v>
      </c>
    </row>
    <row r="31" spans="1:2">
      <c r="A31" t="s">
        <v>191</v>
      </c>
      <c r="B31" t="str">
        <f t="shared" si="2"/>
        <v>EVs</v>
      </c>
    </row>
    <row r="32" spans="1:2">
      <c r="A32" s="7" t="s">
        <v>194</v>
      </c>
      <c r="B32" s="7" t="str">
        <f t="shared" si="2"/>
        <v>fossil</v>
      </c>
    </row>
    <row r="33" spans="1:2">
      <c r="A33" s="7" t="s">
        <v>204</v>
      </c>
      <c r="B33" s="7" t="str">
        <f t="shared" si="2"/>
        <v>renewable</v>
      </c>
    </row>
    <row r="34" spans="1:2">
      <c r="A34" s="7" t="s">
        <v>184</v>
      </c>
      <c r="B34" s="7" t="str">
        <f t="shared" si="2"/>
        <v>bioenergy</v>
      </c>
    </row>
    <row r="35" spans="1:2">
      <c r="A35" s="7" t="s">
        <v>186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27</v>
      </c>
    </row>
    <row r="2" spans="1:3">
      <c r="A2" t="s">
        <v>28</v>
      </c>
      <c r="B2" t="s">
        <v>1</v>
      </c>
      <c r="C2" t="s">
        <v>10</v>
      </c>
    </row>
    <row r="3" spans="1:3">
      <c r="A3" t="s">
        <v>184</v>
      </c>
      <c r="B3" t="str">
        <f>A3</f>
        <v>bioenergy</v>
      </c>
    </row>
    <row r="4" spans="1:3">
      <c r="A4" t="s">
        <v>136</v>
      </c>
      <c r="B4" t="str">
        <f t="shared" ref="B4:B11" si="0">A4</f>
        <v>coal</v>
      </c>
    </row>
    <row r="5" spans="1:3">
      <c r="A5" t="s">
        <v>137</v>
      </c>
      <c r="B5" t="str">
        <f t="shared" si="0"/>
        <v>gas</v>
      </c>
    </row>
    <row r="6" spans="1:3">
      <c r="A6" t="s">
        <v>265</v>
      </c>
      <c r="B6" t="str">
        <f t="shared" si="0"/>
        <v>geothermal</v>
      </c>
    </row>
    <row r="7" spans="1:3">
      <c r="A7" t="s">
        <v>266</v>
      </c>
      <c r="B7" t="str">
        <f t="shared" si="0"/>
        <v>hydro</v>
      </c>
    </row>
    <row r="8" spans="1:3">
      <c r="A8" t="s">
        <v>185</v>
      </c>
      <c r="B8" t="str">
        <f t="shared" si="0"/>
        <v>hydrogen</v>
      </c>
    </row>
    <row r="9" spans="1:3">
      <c r="A9" t="s">
        <v>186</v>
      </c>
      <c r="B9" t="str">
        <f t="shared" si="0"/>
        <v>nuclear</v>
      </c>
    </row>
    <row r="10" spans="1:3">
      <c r="A10" t="s">
        <v>267</v>
      </c>
      <c r="B10" t="str">
        <f t="shared" si="0"/>
        <v>oil</v>
      </c>
    </row>
    <row r="11" spans="1:3">
      <c r="A11" t="s">
        <v>268</v>
      </c>
      <c r="B11" t="str">
        <f t="shared" si="0"/>
        <v>solar</v>
      </c>
    </row>
    <row r="12" spans="1:3">
      <c r="A12" t="s">
        <v>269</v>
      </c>
      <c r="B12" t="s">
        <v>271</v>
      </c>
    </row>
    <row r="13" spans="1:3">
      <c r="A13" t="s">
        <v>270</v>
      </c>
      <c r="B13" t="s">
        <v>272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156</v>
      </c>
    </row>
    <row r="2" spans="1:3">
      <c r="A2" t="s">
        <v>53</v>
      </c>
      <c r="B2" t="s">
        <v>54</v>
      </c>
      <c r="C2" t="s">
        <v>55</v>
      </c>
    </row>
    <row r="3" spans="1:3">
      <c r="A3" t="s">
        <v>148</v>
      </c>
      <c r="B3" t="s">
        <v>145</v>
      </c>
      <c r="C3" t="s">
        <v>146</v>
      </c>
    </row>
    <row r="4" spans="1:3">
      <c r="A4" t="s">
        <v>148</v>
      </c>
      <c r="B4" t="s">
        <v>144</v>
      </c>
      <c r="C4" t="s">
        <v>147</v>
      </c>
    </row>
    <row r="5" spans="1:3">
      <c r="A5" t="s">
        <v>149</v>
      </c>
      <c r="B5" t="s">
        <v>150</v>
      </c>
      <c r="C5" t="str">
        <f>LEFT(B5,2)</f>
        <v>S1</v>
      </c>
    </row>
    <row r="6" spans="1:3">
      <c r="A6" t="s">
        <v>149</v>
      </c>
      <c r="B6" t="s">
        <v>151</v>
      </c>
      <c r="C6" t="str">
        <f t="shared" ref="C6:C10" si="0">LEFT(B6,2)</f>
        <v>S2</v>
      </c>
    </row>
    <row r="7" spans="1:3">
      <c r="A7" t="s">
        <v>149</v>
      </c>
      <c r="B7" t="s">
        <v>152</v>
      </c>
      <c r="C7" t="str">
        <f t="shared" si="0"/>
        <v>S3</v>
      </c>
    </row>
    <row r="8" spans="1:3">
      <c r="A8" t="s">
        <v>149</v>
      </c>
      <c r="B8" t="s">
        <v>153</v>
      </c>
      <c r="C8" t="str">
        <f t="shared" si="0"/>
        <v>S4</v>
      </c>
    </row>
    <row r="9" spans="1:3">
      <c r="A9" t="s">
        <v>149</v>
      </c>
      <c r="B9" t="s">
        <v>154</v>
      </c>
      <c r="C9" t="str">
        <f t="shared" si="0"/>
        <v>S5</v>
      </c>
    </row>
    <row r="10" spans="1:3">
      <c r="A10" t="s">
        <v>149</v>
      </c>
      <c r="B10" t="s">
        <v>155</v>
      </c>
      <c r="C10" t="str">
        <f t="shared" si="0"/>
        <v>S6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66"/>
  <sheetViews>
    <sheetView workbookViewId="0">
      <pane ySplit="2" topLeftCell="A39" activePane="bottomLeft" state="frozen"/>
      <selection pane="bottomLeft" activeCell="A61" sqref="A61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64</v>
      </c>
    </row>
    <row r="2" spans="1:7" ht="15" thickTop="1" thickBot="1">
      <c r="A2" s="6" t="s">
        <v>53</v>
      </c>
      <c r="B2" s="6" t="s">
        <v>54</v>
      </c>
      <c r="C2" s="6" t="s">
        <v>55</v>
      </c>
      <c r="D2" s="6" t="s">
        <v>65</v>
      </c>
      <c r="E2" s="6" t="s">
        <v>66</v>
      </c>
      <c r="F2" s="6" t="s">
        <v>67</v>
      </c>
      <c r="G2" s="6" t="s">
        <v>68</v>
      </c>
    </row>
    <row r="3" spans="1:7">
      <c r="A3" t="s">
        <v>119</v>
      </c>
      <c r="B3" t="s">
        <v>120</v>
      </c>
      <c r="C3" t="s">
        <v>121</v>
      </c>
    </row>
    <row r="4" spans="1:7">
      <c r="A4" t="s">
        <v>119</v>
      </c>
      <c r="B4" t="s">
        <v>122</v>
      </c>
      <c r="C4" t="s">
        <v>123</v>
      </c>
    </row>
    <row r="5" spans="1:7">
      <c r="A5" t="s">
        <v>69</v>
      </c>
      <c r="C5" t="str">
        <f>D5</f>
        <v>CCGT</v>
      </c>
      <c r="D5" t="s">
        <v>87</v>
      </c>
    </row>
    <row r="6" spans="1:7">
      <c r="A6" t="s">
        <v>69</v>
      </c>
      <c r="C6" t="str">
        <f t="shared" ref="C6:C49" si="0">D6</f>
        <v>Int Comb</v>
      </c>
      <c r="D6" t="s">
        <v>88</v>
      </c>
    </row>
    <row r="7" spans="1:7">
      <c r="A7" t="s">
        <v>69</v>
      </c>
      <c r="C7" t="str">
        <f t="shared" si="0"/>
        <v>Gas_Oil Steam</v>
      </c>
      <c r="D7" t="s">
        <v>89</v>
      </c>
    </row>
    <row r="8" spans="1:7">
      <c r="A8" t="s">
        <v>69</v>
      </c>
      <c r="C8" t="str">
        <f t="shared" si="0"/>
        <v>OCGT (Peaker)</v>
      </c>
      <c r="D8" t="s">
        <v>90</v>
      </c>
    </row>
    <row r="9" spans="1:7">
      <c r="A9" t="s">
        <v>69</v>
      </c>
      <c r="C9" t="str">
        <f t="shared" si="0"/>
        <v>Subcritical Coal</v>
      </c>
      <c r="D9" t="s">
        <v>91</v>
      </c>
    </row>
    <row r="10" spans="1:7">
      <c r="A10" t="s">
        <v>69</v>
      </c>
      <c r="C10" t="str">
        <f t="shared" si="0"/>
        <v>Supercritical Coal</v>
      </c>
      <c r="D10" t="s">
        <v>92</v>
      </c>
    </row>
    <row r="11" spans="1:7">
      <c r="A11" t="s">
        <v>69</v>
      </c>
      <c r="C11" t="str">
        <f t="shared" si="0"/>
        <v>IGCC</v>
      </c>
      <c r="D11" t="s">
        <v>93</v>
      </c>
    </row>
    <row r="12" spans="1:7">
      <c r="A12" t="s">
        <v>69</v>
      </c>
      <c r="C12" t="str">
        <f t="shared" si="0"/>
        <v>Bio Power</v>
      </c>
      <c r="D12" t="s">
        <v>195</v>
      </c>
    </row>
    <row r="13" spans="1:7">
      <c r="A13" t="s">
        <v>69</v>
      </c>
      <c r="C13" t="str">
        <f t="shared" si="0"/>
        <v>Solar Util</v>
      </c>
      <c r="D13" t="s">
        <v>196</v>
      </c>
    </row>
    <row r="14" spans="1:7">
      <c r="A14" t="s">
        <v>69</v>
      </c>
      <c r="C14" t="str">
        <f t="shared" si="0"/>
        <v>Wind onshore</v>
      </c>
      <c r="D14" t="s">
        <v>94</v>
      </c>
    </row>
    <row r="15" spans="1:7">
      <c r="A15" t="s">
        <v>69</v>
      </c>
      <c r="C15" t="str">
        <f t="shared" si="0"/>
        <v>Wind offshore</v>
      </c>
      <c r="D15" t="s">
        <v>95</v>
      </c>
    </row>
    <row r="16" spans="1:7">
      <c r="A16" t="s">
        <v>69</v>
      </c>
      <c r="C16" t="str">
        <f t="shared" si="0"/>
        <v>Geothermal P</v>
      </c>
      <c r="D16" t="s">
        <v>197</v>
      </c>
    </row>
    <row r="17" spans="1:4">
      <c r="A17" t="s">
        <v>69</v>
      </c>
      <c r="C17" t="str">
        <f t="shared" si="0"/>
        <v>Hydro Dam</v>
      </c>
      <c r="D17" t="s">
        <v>201</v>
      </c>
    </row>
    <row r="18" spans="1:4">
      <c r="A18" t="s">
        <v>69</v>
      </c>
      <c r="C18" t="str">
        <f t="shared" si="0"/>
        <v>Hydro RoR</v>
      </c>
      <c r="D18" t="s">
        <v>198</v>
      </c>
    </row>
    <row r="19" spans="1:4">
      <c r="A19" t="s">
        <v>69</v>
      </c>
      <c r="C19" t="str">
        <f t="shared" si="0"/>
        <v>Nuclear P</v>
      </c>
      <c r="D19" t="s">
        <v>199</v>
      </c>
    </row>
    <row r="20" spans="1:4">
      <c r="A20" t="s">
        <v>69</v>
      </c>
      <c r="C20" t="str">
        <f t="shared" si="0"/>
        <v>Nuclear SMR</v>
      </c>
      <c r="D20" t="s">
        <v>200</v>
      </c>
    </row>
    <row r="21" spans="1:4">
      <c r="A21" t="s">
        <v>69</v>
      </c>
      <c r="C21" t="str">
        <f t="shared" si="0"/>
        <v>Hydro pumped stg</v>
      </c>
      <c r="D21" t="s">
        <v>96</v>
      </c>
    </row>
    <row r="22" spans="1:4">
      <c r="A22" t="s">
        <v>69</v>
      </c>
      <c r="C22" t="str">
        <f t="shared" si="0"/>
        <v>Util Batt Stg</v>
      </c>
      <c r="D22" t="s">
        <v>97</v>
      </c>
    </row>
    <row r="23" spans="1:4">
      <c r="A23" t="s">
        <v>69</v>
      </c>
      <c r="C23" t="str">
        <f t="shared" si="0"/>
        <v>EV Batt</v>
      </c>
      <c r="D23" t="s">
        <v>98</v>
      </c>
    </row>
    <row r="24" spans="1:4">
      <c r="A24" t="s">
        <v>69</v>
      </c>
      <c r="C24" t="str">
        <f t="shared" si="0"/>
        <v>Demand</v>
      </c>
      <c r="D24" t="s">
        <v>162</v>
      </c>
    </row>
    <row r="25" spans="1:4">
      <c r="A25" t="s">
        <v>69</v>
      </c>
      <c r="C25" t="str">
        <f t="shared" si="0"/>
        <v>Transformers Dn</v>
      </c>
      <c r="D25" t="s">
        <v>228</v>
      </c>
    </row>
    <row r="26" spans="1:4">
      <c r="A26" t="s">
        <v>69</v>
      </c>
      <c r="C26" t="str">
        <f t="shared" si="0"/>
        <v>Transformers Up</v>
      </c>
      <c r="D26" t="s">
        <v>229</v>
      </c>
    </row>
    <row r="27" spans="1:4">
      <c r="A27" t="s">
        <v>69</v>
      </c>
      <c r="C27" t="str">
        <f t="shared" si="0"/>
        <v>Grid-220V</v>
      </c>
      <c r="D27" t="s">
        <v>205</v>
      </c>
    </row>
    <row r="28" spans="1:4">
      <c r="A28" t="s">
        <v>69</v>
      </c>
      <c r="C28" t="str">
        <f t="shared" si="0"/>
        <v>Grid-400V</v>
      </c>
      <c r="D28" t="s">
        <v>206</v>
      </c>
    </row>
    <row r="29" spans="1:4">
      <c r="A29" t="s">
        <v>69</v>
      </c>
      <c r="C29" t="str">
        <f t="shared" si="0"/>
        <v>Grid-380V</v>
      </c>
      <c r="D29" t="s">
        <v>207</v>
      </c>
    </row>
    <row r="30" spans="1:4">
      <c r="A30" t="s">
        <v>69</v>
      </c>
      <c r="C30" t="str">
        <f t="shared" si="0"/>
        <v>Grid-225V</v>
      </c>
      <c r="D30" t="s">
        <v>208</v>
      </c>
    </row>
    <row r="31" spans="1:4">
      <c r="A31" t="s">
        <v>69</v>
      </c>
      <c r="C31" t="str">
        <f t="shared" si="0"/>
        <v>Grid-330V</v>
      </c>
      <c r="D31" t="s">
        <v>209</v>
      </c>
    </row>
    <row r="32" spans="1:4">
      <c r="A32" t="s">
        <v>69</v>
      </c>
      <c r="C32" t="str">
        <f t="shared" si="0"/>
        <v>Grid-275V</v>
      </c>
      <c r="D32" t="s">
        <v>210</v>
      </c>
    </row>
    <row r="33" spans="1:4">
      <c r="A33" t="s">
        <v>69</v>
      </c>
      <c r="C33" t="str">
        <f t="shared" si="0"/>
        <v>Grid-420V</v>
      </c>
      <c r="D33" t="s">
        <v>211</v>
      </c>
    </row>
    <row r="34" spans="1:4">
      <c r="A34" t="s">
        <v>69</v>
      </c>
      <c r="C34" t="str">
        <f t="shared" si="0"/>
        <v>Grid-300V</v>
      </c>
      <c r="D34" t="s">
        <v>212</v>
      </c>
    </row>
    <row r="35" spans="1:4">
      <c r="A35" t="s">
        <v>69</v>
      </c>
      <c r="C35" t="str">
        <f t="shared" si="0"/>
        <v>Grid-500V</v>
      </c>
      <c r="D35" t="s">
        <v>213</v>
      </c>
    </row>
    <row r="36" spans="1:4">
      <c r="A36" t="s">
        <v>69</v>
      </c>
      <c r="C36" t="str">
        <f t="shared" si="0"/>
        <v>Grid-750V</v>
      </c>
      <c r="D36" t="s">
        <v>214</v>
      </c>
    </row>
    <row r="37" spans="1:4">
      <c r="A37" t="s">
        <v>69</v>
      </c>
      <c r="C37" t="str">
        <f t="shared" si="0"/>
        <v>Grid-450V</v>
      </c>
      <c r="D37" t="s">
        <v>215</v>
      </c>
    </row>
    <row r="38" spans="1:4">
      <c r="A38" t="s">
        <v>69</v>
      </c>
      <c r="C38" t="str">
        <f t="shared" si="0"/>
        <v>Grid-515V</v>
      </c>
      <c r="D38" t="s">
        <v>216</v>
      </c>
    </row>
    <row r="39" spans="1:4">
      <c r="A39" t="s">
        <v>69</v>
      </c>
      <c r="C39" t="str">
        <f t="shared" si="0"/>
        <v>Grid-525V</v>
      </c>
      <c r="D39" t="s">
        <v>217</v>
      </c>
    </row>
    <row r="40" spans="1:4">
      <c r="A40" t="s">
        <v>69</v>
      </c>
      <c r="C40" t="str">
        <f t="shared" si="0"/>
        <v>Grid-320V</v>
      </c>
      <c r="D40" t="s">
        <v>218</v>
      </c>
    </row>
    <row r="41" spans="1:4">
      <c r="A41" t="s">
        <v>69</v>
      </c>
      <c r="C41" t="str">
        <f t="shared" si="0"/>
        <v>Grid-150V</v>
      </c>
      <c r="D41" t="s">
        <v>219</v>
      </c>
    </row>
    <row r="42" spans="1:4">
      <c r="A42" t="s">
        <v>69</v>
      </c>
      <c r="C42" t="str">
        <f t="shared" si="0"/>
        <v>Grid-270V</v>
      </c>
      <c r="D42" t="s">
        <v>220</v>
      </c>
    </row>
    <row r="43" spans="1:4">
      <c r="A43" t="s">
        <v>69</v>
      </c>
      <c r="C43" t="str">
        <f t="shared" si="0"/>
        <v>Grid-350V</v>
      </c>
      <c r="D43" t="s">
        <v>221</v>
      </c>
    </row>
    <row r="44" spans="1:4">
      <c r="A44" t="s">
        <v>69</v>
      </c>
      <c r="C44" t="str">
        <f t="shared" si="0"/>
        <v>Grid-250V</v>
      </c>
      <c r="D44" t="s">
        <v>222</v>
      </c>
    </row>
    <row r="45" spans="1:4">
      <c r="A45" t="s">
        <v>69</v>
      </c>
      <c r="C45" t="str">
        <f t="shared" si="0"/>
        <v>Grid-200V</v>
      </c>
      <c r="D45" t="s">
        <v>223</v>
      </c>
    </row>
    <row r="46" spans="1:4">
      <c r="A46" t="s">
        <v>69</v>
      </c>
      <c r="C46" t="str">
        <f t="shared" si="0"/>
        <v>Grid-236V</v>
      </c>
      <c r="D46" t="s">
        <v>224</v>
      </c>
    </row>
    <row r="47" spans="1:4">
      <c r="A47" t="s">
        <v>69</v>
      </c>
      <c r="C47" t="str">
        <f t="shared" si="0"/>
        <v>Grid-600V</v>
      </c>
      <c r="D47" t="s">
        <v>225</v>
      </c>
    </row>
    <row r="48" spans="1:4">
      <c r="A48" t="s">
        <v>69</v>
      </c>
      <c r="C48" t="str">
        <f t="shared" si="0"/>
        <v>Aggregators</v>
      </c>
      <c r="D48" t="s">
        <v>226</v>
      </c>
    </row>
    <row r="49" spans="1:5">
      <c r="A49" t="s">
        <v>69</v>
      </c>
      <c r="C49" t="str">
        <f t="shared" si="0"/>
        <v>DUMMY_IMP</v>
      </c>
      <c r="D49" t="s">
        <v>227</v>
      </c>
    </row>
    <row r="50" spans="1:5">
      <c r="A50" t="s">
        <v>69</v>
      </c>
      <c r="B50" t="s">
        <v>261</v>
      </c>
      <c r="C50" t="s">
        <v>132</v>
      </c>
      <c r="E50" t="s">
        <v>136</v>
      </c>
    </row>
    <row r="51" spans="1:5">
      <c r="A51" t="s">
        <v>69</v>
      </c>
      <c r="B51" t="s">
        <v>261</v>
      </c>
      <c r="C51" t="s">
        <v>133</v>
      </c>
      <c r="E51" t="s">
        <v>137</v>
      </c>
    </row>
    <row r="52" spans="1:5">
      <c r="A52" t="s">
        <v>69</v>
      </c>
      <c r="B52" t="s">
        <v>138</v>
      </c>
      <c r="C52" t="s">
        <v>134</v>
      </c>
      <c r="E52" t="s">
        <v>136</v>
      </c>
    </row>
    <row r="53" spans="1:5">
      <c r="A53" t="s">
        <v>69</v>
      </c>
      <c r="B53" t="s">
        <v>138</v>
      </c>
      <c r="C53" t="s">
        <v>135</v>
      </c>
      <c r="E53" t="s">
        <v>137</v>
      </c>
    </row>
    <row r="54" spans="1:5">
      <c r="A54" t="s">
        <v>69</v>
      </c>
      <c r="B54" t="s">
        <v>100</v>
      </c>
      <c r="C54" t="s">
        <v>3</v>
      </c>
    </row>
    <row r="55" spans="1:5">
      <c r="A55" t="s">
        <v>69</v>
      </c>
      <c r="B55" t="s">
        <v>101</v>
      </c>
      <c r="C55" t="s">
        <v>102</v>
      </c>
    </row>
    <row r="56" spans="1:5">
      <c r="A56" t="s">
        <v>69</v>
      </c>
      <c r="B56" t="s">
        <v>113</v>
      </c>
      <c r="C56" t="s">
        <v>114</v>
      </c>
    </row>
    <row r="57" spans="1:5">
      <c r="A57" t="s">
        <v>392</v>
      </c>
      <c r="B57" t="s">
        <v>393</v>
      </c>
      <c r="C57" t="s">
        <v>394</v>
      </c>
    </row>
    <row r="58" spans="1:5">
      <c r="A58" t="s">
        <v>392</v>
      </c>
      <c r="B58" t="s">
        <v>395</v>
      </c>
      <c r="C58" t="s">
        <v>98</v>
      </c>
    </row>
    <row r="59" spans="1:5">
      <c r="A59" t="s">
        <v>392</v>
      </c>
      <c r="B59" t="s">
        <v>396</v>
      </c>
      <c r="C59" t="s">
        <v>276</v>
      </c>
    </row>
    <row r="60" spans="1:5">
      <c r="A60" t="s">
        <v>402</v>
      </c>
      <c r="B60" t="s">
        <v>120</v>
      </c>
      <c r="C60" t="s">
        <v>401</v>
      </c>
    </row>
    <row r="61" spans="1:5">
      <c r="A61" t="s">
        <v>402</v>
      </c>
      <c r="B61" t="s">
        <v>403</v>
      </c>
      <c r="C61" t="s">
        <v>404</v>
      </c>
    </row>
    <row r="62" spans="1:5">
      <c r="A62" t="s">
        <v>402</v>
      </c>
      <c r="B62" t="s">
        <v>405</v>
      </c>
      <c r="C62" t="s">
        <v>406</v>
      </c>
    </row>
    <row r="63" spans="1:5">
      <c r="A63" t="s">
        <v>402</v>
      </c>
      <c r="B63" t="s">
        <v>407</v>
      </c>
      <c r="C63" t="s">
        <v>408</v>
      </c>
    </row>
    <row r="64" spans="1:5">
      <c r="A64" t="s">
        <v>402</v>
      </c>
      <c r="B64" t="s">
        <v>409</v>
      </c>
      <c r="C64" t="s">
        <v>410</v>
      </c>
    </row>
    <row r="65" spans="1:3">
      <c r="A65" t="s">
        <v>402</v>
      </c>
      <c r="B65" t="s">
        <v>411</v>
      </c>
      <c r="C65" t="s">
        <v>412</v>
      </c>
    </row>
    <row r="66" spans="1:3">
      <c r="A66" t="s">
        <v>402</v>
      </c>
      <c r="B66" t="s">
        <v>413</v>
      </c>
      <c r="C66" t="s">
        <v>414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73</v>
      </c>
    </row>
    <row r="2" spans="1:8">
      <c r="A2" t="s">
        <v>53</v>
      </c>
      <c r="B2" t="s">
        <v>54</v>
      </c>
      <c r="C2" t="s">
        <v>55</v>
      </c>
      <c r="D2" t="s">
        <v>74</v>
      </c>
      <c r="E2" t="s">
        <v>75</v>
      </c>
      <c r="F2" t="s">
        <v>77</v>
      </c>
      <c r="G2" t="s">
        <v>76</v>
      </c>
      <c r="H2" t="s">
        <v>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3"/>
  <sheetViews>
    <sheetView workbookViewId="0"/>
  </sheetViews>
  <sheetFormatPr defaultRowHeight="14.25"/>
  <cols>
    <col min="4" max="4" width="10.86328125" bestFit="1" customWidth="1"/>
  </cols>
  <sheetData>
    <row r="1" spans="1:7">
      <c r="A1" t="s">
        <v>38</v>
      </c>
    </row>
    <row r="2" spans="1:7">
      <c r="A2" t="s">
        <v>32</v>
      </c>
      <c r="B2" t="s">
        <v>9</v>
      </c>
      <c r="C2" t="s">
        <v>39</v>
      </c>
      <c r="D2" t="s">
        <v>4</v>
      </c>
      <c r="E2" t="s">
        <v>0</v>
      </c>
      <c r="F2" t="s">
        <v>40</v>
      </c>
      <c r="G2" t="s">
        <v>41</v>
      </c>
    </row>
    <row r="3" spans="1:7">
      <c r="F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D8" sqref="D8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31</v>
      </c>
    </row>
    <row r="2" spans="1:4">
      <c r="A2" t="s">
        <v>32</v>
      </c>
      <c r="B2" s="1" t="s">
        <v>33</v>
      </c>
      <c r="C2" s="1" t="s">
        <v>34</v>
      </c>
      <c r="D2" s="1" t="s">
        <v>35</v>
      </c>
    </row>
    <row r="3" spans="1:4">
      <c r="A3" t="s">
        <v>85</v>
      </c>
      <c r="B3" t="s">
        <v>86</v>
      </c>
      <c r="C3" t="s">
        <v>8</v>
      </c>
      <c r="D3">
        <f>1/8.76</f>
        <v>0.11415525114155252</v>
      </c>
    </row>
    <row r="4" spans="1:4">
      <c r="A4" t="s">
        <v>85</v>
      </c>
      <c r="B4" t="s">
        <v>110</v>
      </c>
      <c r="C4" t="s">
        <v>112</v>
      </c>
      <c r="D4">
        <f>1/8.76*100</f>
        <v>11.415525114155251</v>
      </c>
    </row>
    <row r="5" spans="1:4">
      <c r="A5" t="s">
        <v>85</v>
      </c>
      <c r="B5" t="s">
        <v>127</v>
      </c>
      <c r="C5" t="s">
        <v>131</v>
      </c>
      <c r="D5">
        <v>1E-3</v>
      </c>
    </row>
    <row r="6" spans="1:4">
      <c r="A6" t="s">
        <v>85</v>
      </c>
      <c r="B6" t="s">
        <v>128</v>
      </c>
      <c r="C6" t="s">
        <v>131</v>
      </c>
      <c r="D6">
        <v>-1E-3</v>
      </c>
    </row>
    <row r="7" spans="1:4">
      <c r="A7" t="s">
        <v>85</v>
      </c>
      <c r="B7" t="s">
        <v>140</v>
      </c>
      <c r="C7" t="s">
        <v>142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ScenMap_OLD</vt:lpstr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2025-10-12T15:16:00Z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