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HRV_grids_kan10\SubRES_Tmpl\"/>
    </mc:Choice>
  </mc:AlternateContent>
  <xr:revisionPtr revIDLastSave="0" documentId="8_{8510709B-D846-4C1B-B155-71D9C8DC9F6D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7" l="1"/>
  <c r="K29" i="7"/>
  <c r="L28" i="7"/>
  <c r="J25" i="7"/>
  <c r="J27" i="7"/>
  <c r="J26" i="7"/>
  <c r="J24" i="7"/>
  <c r="J21" i="7"/>
  <c r="O27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9" i="7" l="1"/>
  <c r="J2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6" i="7"/>
  <c r="O25" i="7"/>
  <c r="O20" i="7"/>
  <c r="O24" i="7"/>
  <c r="O22" i="7"/>
  <c r="O21" i="7"/>
  <c r="O19" i="7"/>
  <c r="O18" i="7"/>
  <c r="O23" i="7"/>
  <c r="J18" i="7"/>
  <c r="J15" i="7"/>
  <c r="J14" i="7"/>
  <c r="J13" i="7"/>
</calcChain>
</file>

<file path=xl/sharedStrings.xml><?xml version="1.0" encoding="utf-8"?>
<sst xmlns="http://schemas.openxmlformats.org/spreadsheetml/2006/main" count="1515" uniqueCount="400">
  <si>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</si>
  <si>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</si>
  <si>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</si>
  <si>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</si>
  <si>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</si>
  <si>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</si>
  <si>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</si>
  <si>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</si>
  <si>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</si>
  <si>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</si>
  <si>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</si>
  <si>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</si>
  <si>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</si>
  <si>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</si>
  <si>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</si>
  <si>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</si>
  <si>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</si>
  <si>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</si>
  <si>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</si>
  <si>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</si>
  <si>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</si>
  <si>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</si>
  <si>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</si>
  <si>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</si>
  <si>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</si>
  <si>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</si>
  <si>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</si>
  <si>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</si>
  <si>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</si>
  <si>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</si>
  <si>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</si>
  <si>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</si>
  <si>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</si>
  <si>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</si>
  <si>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</si>
  <si>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</si>
  <si>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</si>
  <si>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</si>
  <si>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</si>
  <si>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</si>
  <si>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</si>
  <si>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</si>
  <si>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</si>
  <si>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</si>
  <si>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</si>
  <si>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</si>
  <si>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</si>
  <si>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</si>
  <si>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</si>
  <si>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</si>
  <si>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</si>
  <si>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</si>
  <si>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</si>
  <si>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</si>
  <si>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</si>
  <si>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</si>
  <si>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</si>
  <si>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</si>
  <si>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</si>
  <si>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</si>
  <si>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</si>
  <si>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</si>
  <si>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</si>
  <si>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</si>
  <si>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</si>
  <si>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</si>
  <si>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</si>
  <si>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</si>
  <si>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</si>
  <si>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</si>
  <si>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</si>
  <si>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</si>
  <si>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</si>
  <si>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</si>
  <si>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</si>
  <si>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</si>
  <si>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</si>
  <si>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</si>
  <si>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</si>
  <si>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</si>
  <si>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</si>
  <si>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</si>
  <si>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</si>
  <si>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</si>
  <si>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</si>
  <si>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</si>
  <si>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</si>
  <si>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</si>
  <si>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</si>
  <si>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</si>
  <si>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</si>
  <si>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</si>
  <si>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</si>
  <si>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</si>
  <si>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</si>
  <si>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</si>
  <si>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</si>
  <si>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</si>
  <si>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</si>
  <si>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</si>
  <si>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</si>
  <si>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</si>
  <si>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</si>
  <si>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</si>
  <si>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</si>
  <si>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</si>
  <si>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</si>
  <si>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</si>
  <si>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</si>
  <si>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</si>
  <si>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</si>
  <si>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</si>
  <si>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</si>
  <si>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</si>
  <si>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</si>
  <si>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</si>
  <si>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</si>
  <si>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</si>
  <si>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</si>
  <si>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</si>
  <si>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</si>
  <si>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</si>
  <si>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</si>
  <si>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</si>
  <si>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</si>
  <si>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</si>
  <si>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</si>
  <si>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</si>
  <si>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</si>
  <si>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</si>
  <si>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</si>
  <si>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</si>
  <si>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</si>
  <si>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</si>
  <si>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</si>
  <si>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</si>
  <si>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</si>
  <si>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</si>
  <si>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</si>
  <si>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</si>
  <si>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</si>
  <si>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</si>
  <si>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</si>
  <si>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</si>
  <si>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</si>
  <si>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</si>
  <si>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</si>
  <si>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</si>
  <si>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</si>
  <si>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</si>
  <si>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</si>
  <si>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</si>
  <si>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</si>
  <si>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</si>
  <si>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</si>
  <si>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</si>
  <si>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</si>
  <si>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</si>
  <si>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</si>
  <si>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</si>
  <si>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</si>
  <si>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</si>
  <si>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</si>
  <si>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~FI_T: USD25~FX~ACT_BND</t>
  </si>
  <si>
    <t>h2_demand</t>
  </si>
  <si>
    <t>Heat demand</t>
  </si>
  <si>
    <t>het_buildings,het_industry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</si>
  <si>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</si>
  <si>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</si>
  <si>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</si>
  <si>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</si>
  <si>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</si>
  <si>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</si>
  <si>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</si>
  <si>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</si>
  <si>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</si>
  <si>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e_spv_HRV_001</t>
  </si>
  <si>
    <t>solar resource in cluster 1</t>
  </si>
  <si>
    <t>annual</t>
  </si>
  <si>
    <t>no</t>
  </si>
  <si>
    <t>e_spv_HRV_002</t>
  </si>
  <si>
    <t>solar resource in cluster 2</t>
  </si>
  <si>
    <t>e_spv_HRV_003</t>
  </si>
  <si>
    <t>solar resource in cluster 3</t>
  </si>
  <si>
    <t>e_spv_HRV_004</t>
  </si>
  <si>
    <t>solar resource in cluster 4</t>
  </si>
  <si>
    <t>e_spv_HRV_005</t>
  </si>
  <si>
    <t>solar resource in cluster 5</t>
  </si>
  <si>
    <t>e_spv_HRV_006</t>
  </si>
  <si>
    <t>solar resource in cluster 6</t>
  </si>
  <si>
    <t>e_spv_HRV_007</t>
  </si>
  <si>
    <t>solar resource in cluster 7</t>
  </si>
  <si>
    <t>e_spv_HRV_008</t>
  </si>
  <si>
    <t>solar resource in cluster 8</t>
  </si>
  <si>
    <t>e_spv_HRV_009</t>
  </si>
  <si>
    <t>solar resource in cluster 9</t>
  </si>
  <si>
    <t>e_spv_HRV_010</t>
  </si>
  <si>
    <t>solar resource in cluster 10</t>
  </si>
  <si>
    <t>e_spv_HRV_011</t>
  </si>
  <si>
    <t>solar resource in cluster 11</t>
  </si>
  <si>
    <t>e_spv_HRV_012</t>
  </si>
  <si>
    <t>solar resource in cluster 12</t>
  </si>
  <si>
    <t>e_spv_HRV_013</t>
  </si>
  <si>
    <t>solar resource in cluster 13</t>
  </si>
  <si>
    <t>e_spv_HRV_014</t>
  </si>
  <si>
    <t>solar resource in cluster 14</t>
  </si>
  <si>
    <t>e_spv_HRV_015</t>
  </si>
  <si>
    <t>solar resource in cluster 15</t>
  </si>
  <si>
    <t>~fi_t</t>
  </si>
  <si>
    <t>comm-out</t>
  </si>
  <si>
    <t>cap_bnd</t>
  </si>
  <si>
    <t>af~fx</t>
  </si>
  <si>
    <t>elc_spv_HRV_001</t>
  </si>
  <si>
    <t>elc_spv_HRV_002</t>
  </si>
  <si>
    <t>elc_spv_HRV_003</t>
  </si>
  <si>
    <t>elc_spv_HRV_004</t>
  </si>
  <si>
    <t>elc_spv_HRV_005</t>
  </si>
  <si>
    <t>elc_spv_HRV_006</t>
  </si>
  <si>
    <t>elc_spv_HRV_007</t>
  </si>
  <si>
    <t>elc_spv_HRV_008</t>
  </si>
  <si>
    <t>elc_spv_HRV_009</t>
  </si>
  <si>
    <t>elc_spv_HRV_010</t>
  </si>
  <si>
    <t>elc_spv_HRV_011</t>
  </si>
  <si>
    <t>elc_spv_HRV_012</t>
  </si>
  <si>
    <t>elc_spv_HRV_013</t>
  </si>
  <si>
    <t>elc_spv_HRV_014</t>
  </si>
  <si>
    <t>elc_spv_HRV_015</t>
  </si>
  <si>
    <t>primarycg</t>
  </si>
  <si>
    <t>pre</t>
  </si>
  <si>
    <t>distr_solelc_spv_HRV_005</t>
  </si>
  <si>
    <t>connecting solar to buses in cluster 5</t>
  </si>
  <si>
    <t>NRGI</t>
  </si>
  <si>
    <t>daynite</t>
  </si>
  <si>
    <t>distr_solelc_spv_HRV_014</t>
  </si>
  <si>
    <t>connecting solar to buses in cluster 14</t>
  </si>
  <si>
    <t>distr_solelc_spv_HRV_004</t>
  </si>
  <si>
    <t>connecting solar to buses in cluster 4</t>
  </si>
  <si>
    <t>distr_solelc_spv_HRV_015</t>
  </si>
  <si>
    <t>connecting solar to buses in cluster 15</t>
  </si>
  <si>
    <t>distr_solelc_spv_HRV_002</t>
  </si>
  <si>
    <t>connecting solar to buses in cluster 2</t>
  </si>
  <si>
    <t>distr_solelc_spv_HRV_012</t>
  </si>
  <si>
    <t>connecting solar to buses in cluster 12</t>
  </si>
  <si>
    <t>distr_solelc_spv_HRV_010</t>
  </si>
  <si>
    <t>connecting solar to buses in cluster 10</t>
  </si>
  <si>
    <t>distr_solelc_spv_HRV_007</t>
  </si>
  <si>
    <t>connecting solar to buses in cluster 7</t>
  </si>
  <si>
    <t>distr_solelc_spv_HRV_003</t>
  </si>
  <si>
    <t>connecting solar to buses in cluster 3</t>
  </si>
  <si>
    <t>distr_solelc_spv_HRV_013</t>
  </si>
  <si>
    <t>connecting solar to buses in cluster 13</t>
  </si>
  <si>
    <t>distr_solelc_spv_HRV_001</t>
  </si>
  <si>
    <t>connecting solar to buses in cluster 1</t>
  </si>
  <si>
    <t>distr_solelc_spv_HRV_006</t>
  </si>
  <si>
    <t>connecting solar to buses in cluster 6</t>
  </si>
  <si>
    <t>distr_solelc_spv_HRV_008</t>
  </si>
  <si>
    <t>connecting solar to buses in cluster 8</t>
  </si>
  <si>
    <t>distr_solelc_spv_HRV_009</t>
  </si>
  <si>
    <t>connecting solar to buses in cluster 9</t>
  </si>
  <si>
    <t>distr_solelc_spv_HRV_011</t>
  </si>
  <si>
    <t>connecting solar to buses in cluster 11</t>
  </si>
  <si>
    <t>comm-in</t>
  </si>
  <si>
    <t>ncap_cost~USD21_alt</t>
  </si>
  <si>
    <t>e_Ogulin_HRV,e_Rijeka_HRV</t>
  </si>
  <si>
    <t>e_Kutina_HRV</t>
  </si>
  <si>
    <t>e_Pula_HRV,e_Viskovo_HRV,e_Rijeka_HRV</t>
  </si>
  <si>
    <t>e_Sisak_HRV,e_Kutina_HRV</t>
  </si>
  <si>
    <t>e_Knin_HRV,e_Sibenik_HRV,e_KastelStari_HRV,e_Split_HRV</t>
  </si>
  <si>
    <t>e_Osijek_HRV</t>
  </si>
  <si>
    <t>e_VelikaGorica_HRV,e_Sesvete_HRV,e_Zagreb_HRV,e_Kutina_HRV</t>
  </si>
  <si>
    <t>e_Ogulin_HRV,e_Knin_HRV,e_Sibenik_HRV</t>
  </si>
  <si>
    <t>e_Pula_HRV</t>
  </si>
  <si>
    <t>e_Kutina_HRV,e_Vinkovci_HRV</t>
  </si>
  <si>
    <t>e_Sibenik_HRV,e_Split_HRV</t>
  </si>
  <si>
    <t>e_Knin_HRV,e_Ogulin_HRV</t>
  </si>
  <si>
    <t>e_VelikaGorica_HRV,e_Sisak_HRV,e_Sesvete_HRV</t>
  </si>
  <si>
    <t>e_Zagreb_HRV</t>
  </si>
  <si>
    <t>e_Vinkovci_HRV,e_Osijek_HRV</t>
  </si>
  <si>
    <t>distr_wonelc_won_HRV_007</t>
  </si>
  <si>
    <t>connecting wind onshore to buses in cluster 7</t>
  </si>
  <si>
    <t>distr_wonelc_won_HRV_004</t>
  </si>
  <si>
    <t>connecting wind onshore to buses in cluster 4</t>
  </si>
  <si>
    <t>distr_wonelc_won_HRV_005</t>
  </si>
  <si>
    <t>connecting wind onshore to buses in cluster 5</t>
  </si>
  <si>
    <t>distr_wonelc_won_HRV_003</t>
  </si>
  <si>
    <t>connecting wind onshore to buses in cluster 3</t>
  </si>
  <si>
    <t>distr_wonelc_won_HRV_008</t>
  </si>
  <si>
    <t>connecting wind onshore to buses in cluster 8</t>
  </si>
  <si>
    <t>distr_wonelc_won_HRV_006</t>
  </si>
  <si>
    <t>connecting wind onshore to buses in cluster 6</t>
  </si>
  <si>
    <t>distr_wonelc_won_HRV_011</t>
  </si>
  <si>
    <t>connecting wind onshore to buses in cluster 11</t>
  </si>
  <si>
    <t>distr_wonelc_won_HRV_012</t>
  </si>
  <si>
    <t>connecting wind onshore to buses in cluster 12</t>
  </si>
  <si>
    <t>distr_wonelc_won_HRV_001</t>
  </si>
  <si>
    <t>connecting wind onshore to buses in cluster 1</t>
  </si>
  <si>
    <t>distr_wonelc_won_HRV_009</t>
  </si>
  <si>
    <t>connecting wind onshore to buses in cluster 9</t>
  </si>
  <si>
    <t>distr_wonelc_won_HRV_010</t>
  </si>
  <si>
    <t>connecting wind onshore to buses in cluster 10</t>
  </si>
  <si>
    <t>distr_wonelc_won_HRV_013</t>
  </si>
  <si>
    <t>connecting wind onshore to buses in cluster 13</t>
  </si>
  <si>
    <t>distr_wonelc_won_HRV_002</t>
  </si>
  <si>
    <t>connecting wind onshore to buses in cluster 2</t>
  </si>
  <si>
    <t>elc_won_HRV_007</t>
  </si>
  <si>
    <t>e_Knin_HRV,e_Ogulin_HRV,e_Sibenik_HRV</t>
  </si>
  <si>
    <t>elc_won_HRV_004</t>
  </si>
  <si>
    <t>e_Pula_HRV,e_Viskovo_HRV,e_Rijeka_HRV,e_Ogulin_HRV</t>
  </si>
  <si>
    <t>elc_won_HRV_005</t>
  </si>
  <si>
    <t>e_Knin_HRV,e_Sibenik_HRV</t>
  </si>
  <si>
    <t>elc_won_HRV_003</t>
  </si>
  <si>
    <t>e_Pula_HRV,e_Viskovo_HRV</t>
  </si>
  <si>
    <t>elc_won_HRV_008</t>
  </si>
  <si>
    <t>e_Vinkovci_HRV</t>
  </si>
  <si>
    <t>elc_won_HRV_006</t>
  </si>
  <si>
    <t>e_Ogulin_HRV</t>
  </si>
  <si>
    <t>elc_won_HRV_011</t>
  </si>
  <si>
    <t>e_VelikaGorica_HRV,e_Sesvete_HRV,e_Zagreb_HRV</t>
  </si>
  <si>
    <t>elc_won_HRV_012</t>
  </si>
  <si>
    <t>elc_won_HRV_001</t>
  </si>
  <si>
    <t>e_Split_HRV</t>
  </si>
  <si>
    <t>elc_won_HRV_009</t>
  </si>
  <si>
    <t>e_Osijek_HRV,e_Vinkovci_HRV</t>
  </si>
  <si>
    <t>elc_won_HRV_010</t>
  </si>
  <si>
    <t>elc_won_HRV_013</t>
  </si>
  <si>
    <t>e_Zagreb_HRV,e_Kutina_HRV</t>
  </si>
  <si>
    <t>elc_won_HRV_002</t>
  </si>
  <si>
    <t>e_won_HRV_001</t>
  </si>
  <si>
    <t>wind resource in cluster 1</t>
  </si>
  <si>
    <t>e_won_HRV_002</t>
  </si>
  <si>
    <t>wind resource in cluster 2</t>
  </si>
  <si>
    <t>e_won_HRV_003</t>
  </si>
  <si>
    <t>wind resource in cluster 3</t>
  </si>
  <si>
    <t>e_won_HRV_004</t>
  </si>
  <si>
    <t>wind resource in cluster 4</t>
  </si>
  <si>
    <t>e_won_HRV_005</t>
  </si>
  <si>
    <t>wind resource in cluster 5</t>
  </si>
  <si>
    <t>e_won_HRV_006</t>
  </si>
  <si>
    <t>wind resource in cluster 6</t>
  </si>
  <si>
    <t>e_won_HRV_007</t>
  </si>
  <si>
    <t>wind resource in cluster 7</t>
  </si>
  <si>
    <t>e_won_HRV_008</t>
  </si>
  <si>
    <t>wind resource in cluster 8</t>
  </si>
  <si>
    <t>e_won_HRV_009</t>
  </si>
  <si>
    <t>wind resource in cluster 9</t>
  </si>
  <si>
    <t>e_won_HRV_010</t>
  </si>
  <si>
    <t>wind resource in cluster 10</t>
  </si>
  <si>
    <t>e_won_HRV_011</t>
  </si>
  <si>
    <t>wind resource in cluster 11</t>
  </si>
  <si>
    <t>e_won_HRV_012</t>
  </si>
  <si>
    <t>wind resource in cluster 12</t>
  </si>
  <si>
    <t>e_won_HRV_013</t>
  </si>
  <si>
    <t>wind resource in cluster 13</t>
  </si>
  <si>
    <t>~fi_t: UP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</si>
  <si>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</si>
  <si>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</si>
  <si>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</si>
  <si>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</si>
  <si>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</si>
  <si>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</si>
  <si>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</si>
  <si>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en_chp_gas_cc_ext</t>
  </si>
  <si>
    <t>HET</t>
  </si>
  <si>
    <t>ncap_chpr</t>
  </si>
  <si>
    <t>ncap_ceh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</si>
  <si>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</si>
  <si>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</si>
  <si>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</si>
  <si>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</si>
  <si>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</si>
  <si>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</si>
  <si>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en_nuclear</t>
  </si>
  <si>
    <t>en_nuclear_smr</t>
  </si>
  <si>
    <t>en_biomass</t>
  </si>
  <si>
    <t>ncap_af</t>
  </si>
  <si>
    <t>en_chp_biomass_chips_ext</t>
  </si>
  <si>
    <t>en_hop_gas_boiler</t>
  </si>
  <si>
    <t>en_hop_biomass_chips</t>
  </si>
  <si>
    <t>en_hop_electric_boiler</t>
  </si>
  <si>
    <t>en_hp_air_10mw</t>
  </si>
  <si>
    <t>en_chp_gas_cc_ext_ccs</t>
  </si>
  <si>
    <t>HET,CO2Cap</t>
  </si>
  <si>
    <t>yes</t>
  </si>
  <si>
    <t>CHP</t>
  </si>
  <si>
    <t>HPL</t>
  </si>
  <si>
    <t>season</t>
  </si>
  <si>
    <t>stepdown_w43337263_HRV_400to220</t>
  </si>
  <si>
    <t>e_KastelStari_HRV</t>
  </si>
  <si>
    <t>stepup_w43337263_HRV_220to400</t>
  </si>
  <si>
    <t>stepdown_w89817617_HRV_400to220</t>
  </si>
  <si>
    <t>e_Rijeka_HRV</t>
  </si>
  <si>
    <t>e_Viskovo_HRV</t>
  </si>
  <si>
    <t>stepup_w89817617_HRV_220to400</t>
  </si>
  <si>
    <t>activityunit</t>
  </si>
  <si>
    <t>capacityunit</t>
  </si>
  <si>
    <t>Transformer: e_KastelStari_HRV → e_Split_HRV</t>
  </si>
  <si>
    <t>Transformer: e_Split_HRV → e_KastelStari_HRV</t>
  </si>
  <si>
    <t>Transformer: e_Rijeka_HRV → e_Viskovo_HRV</t>
  </si>
  <si>
    <t>Transformer: e_Viskovo_HRV → e_Rijeka_HRV</t>
  </si>
  <si>
    <t>e_KastelStari_HRV,e_Kutina_HRV,e_Osijek_HRV,e_Rijeka_HRV,e_VelikaGorica_HRV,e_Vinkovci_HRV,e_Zagreb_HRV,e_w89820062-220_HRV,e_w96722667-220_HRV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</si>
</sst>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9"/>
  <sheetViews>
    <sheetView workbookViewId="0">
      <selection activeCell="A17" sqref="A17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163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104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103</v>
      </c>
      <c r="D15" s="1" t="s">
        <v>105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/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164</v>
      </c>
      <c r="D16" s="1" t="s">
        <v>147</v>
      </c>
      <c r="E16" s="1" t="s">
        <v>21</v>
      </c>
      <c r="F16" t="s">
        <v>10</v>
      </c>
      <c r="G16" s="1"/>
      <c r="H16" s="1"/>
      <c r="I16" s="1"/>
      <c r="J16" s="1" t="str">
        <f>C16</f>
        <v>h2_demand</v>
      </c>
      <c r="K16" s="1" t="s">
        <v>35</v>
      </c>
      <c r="L16" t="s">
        <v>148</v>
      </c>
      <c r="M16" s="1">
        <v>1</v>
      </c>
      <c r="N16" s="1">
        <v>8.76</v>
      </c>
      <c r="O16" s="1"/>
      <c r="P16" s="1"/>
      <c r="Q16" s="1"/>
    </row>
    <row r="17" spans="2:22">
      <c r="B17" t="s">
        <v>20</v>
      </c>
      <c r="C17" t="s">
        <v>146</v>
      </c>
      <c r="D17" t="s">
        <v>165</v>
      </c>
      <c r="E17" s="1" t="s">
        <v>21</v>
      </c>
      <c r="F17" t="s">
        <v>10</v>
      </c>
      <c r="G17" s="1"/>
      <c r="H17" s="1"/>
      <c r="I17" s="1"/>
      <c r="J17" t="str">
        <f>C17</f>
        <v>h_demand</v>
      </c>
      <c r="K17" s="1"/>
      <c r="L17" t="s">
        <v>166</v>
      </c>
      <c r="M17" s="1">
        <v>1</v>
      </c>
      <c r="N17" s="1">
        <v>8.76</v>
      </c>
      <c r="O17" s="1"/>
      <c r="P17" s="1"/>
      <c r="Q17" s="1"/>
    </row>
    <row r="18" spans="2:22">
      <c r="B18" t="s">
        <v>29</v>
      </c>
      <c r="C18" t="s">
        <v>98</v>
      </c>
      <c r="D18" s="1"/>
      <c r="E18" s="1" t="s">
        <v>21</v>
      </c>
      <c r="F18" t="s">
        <v>10</v>
      </c>
      <c r="G18" t="s">
        <v>14</v>
      </c>
      <c r="H18" s="1"/>
      <c r="I18" s="1"/>
      <c r="J18" s="1" t="str">
        <f>C20</f>
        <v>fossil_supply</v>
      </c>
      <c r="K18" s="1"/>
      <c r="L18" s="1" t="s">
        <v>32</v>
      </c>
      <c r="M18" s="1"/>
      <c r="N18" s="1"/>
      <c r="O18" s="1">
        <f t="shared" ref="O18:O22" si="0">V18*3.6</f>
        <v>7.2</v>
      </c>
      <c r="P18" s="1"/>
      <c r="V18" s="1">
        <v>2</v>
      </c>
    </row>
    <row r="19" spans="2:22">
      <c r="B19" t="s">
        <v>97</v>
      </c>
      <c r="C19" t="s">
        <v>99</v>
      </c>
      <c r="D19" s="1"/>
      <c r="E19" s="1" t="s">
        <v>21</v>
      </c>
      <c r="F19" t="s">
        <v>10</v>
      </c>
      <c r="G19" t="s">
        <v>14</v>
      </c>
      <c r="H19" s="1"/>
      <c r="I19" s="1"/>
      <c r="K19" s="1"/>
      <c r="L19" s="1" t="s">
        <v>33</v>
      </c>
      <c r="M19" s="1"/>
      <c r="N19" s="1"/>
      <c r="O19" s="1">
        <f t="shared" si="0"/>
        <v>18</v>
      </c>
      <c r="P19" s="1"/>
      <c r="V19" s="1">
        <v>5</v>
      </c>
    </row>
    <row r="20" spans="2:22">
      <c r="B20" s="1" t="s">
        <v>29</v>
      </c>
      <c r="C20" s="1" t="s">
        <v>151</v>
      </c>
      <c r="D20" s="1" t="s">
        <v>106</v>
      </c>
      <c r="E20" s="1" t="s">
        <v>21</v>
      </c>
      <c r="F20" t="s">
        <v>10</v>
      </c>
      <c r="G20" s="1"/>
      <c r="H20" s="1"/>
      <c r="I20" s="1"/>
      <c r="K20" s="1"/>
      <c r="L20" s="1" t="s">
        <v>37</v>
      </c>
      <c r="M20" s="1"/>
      <c r="N20" s="1"/>
      <c r="O20" s="1">
        <f>V20*3.6</f>
        <v>36</v>
      </c>
      <c r="P20" s="1"/>
      <c r="V20">
        <v>10</v>
      </c>
    </row>
    <row r="21" spans="2:22">
      <c r="B21" s="1" t="s">
        <v>29</v>
      </c>
      <c r="C21" s="1" t="s">
        <v>153</v>
      </c>
      <c r="D21" s="1" t="s">
        <v>152</v>
      </c>
      <c r="E21" s="1" t="s">
        <v>21</v>
      </c>
      <c r="F21" t="s">
        <v>10</v>
      </c>
      <c r="G21" s="1"/>
      <c r="H21" s="1"/>
      <c r="I21" s="1"/>
      <c r="J21" s="1" t="str">
        <f>C21</f>
        <v>renewable</v>
      </c>
      <c r="K21" s="1"/>
      <c r="L21" s="1" t="s">
        <v>34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154</v>
      </c>
      <c r="D22" s="1" t="s">
        <v>155</v>
      </c>
      <c r="E22" s="1" t="s">
        <v>21</v>
      </c>
      <c r="F22" t="s">
        <v>10</v>
      </c>
      <c r="G22" s="1"/>
      <c r="H22" s="1"/>
      <c r="I22" s="1"/>
      <c r="K22" s="1"/>
      <c r="L22" s="1" t="s">
        <v>28</v>
      </c>
      <c r="M22" s="1"/>
      <c r="N22" s="1"/>
      <c r="O22" s="1">
        <f t="shared" si="0"/>
        <v>0.36000000000000004</v>
      </c>
      <c r="P22" s="1"/>
      <c r="V22">
        <v>0.1</v>
      </c>
    </row>
    <row r="23" spans="2:22">
      <c r="B23" s="1" t="s">
        <v>29</v>
      </c>
      <c r="C23" s="1" t="s">
        <v>156</v>
      </c>
      <c r="D23" s="1" t="s">
        <v>159</v>
      </c>
      <c r="E23" s="1" t="s">
        <v>21</v>
      </c>
      <c r="F23" t="s">
        <v>10</v>
      </c>
      <c r="G23" s="1"/>
      <c r="H23" s="1"/>
      <c r="I23" s="1"/>
      <c r="L23" s="1" t="s">
        <v>31</v>
      </c>
      <c r="M23" s="1"/>
      <c r="N23" s="1"/>
      <c r="O23" s="1">
        <f>V23*3.6</f>
        <v>25.2</v>
      </c>
      <c r="P23" s="1"/>
      <c r="V23" s="1">
        <v>7</v>
      </c>
    </row>
    <row r="24" spans="2:22">
      <c r="B24" s="1" t="s">
        <v>29</v>
      </c>
      <c r="C24" t="s">
        <v>157</v>
      </c>
      <c r="D24" t="s">
        <v>160</v>
      </c>
      <c r="E24" s="1" t="s">
        <v>21</v>
      </c>
      <c r="F24" t="s">
        <v>10</v>
      </c>
      <c r="G24" s="1"/>
      <c r="H24" s="1"/>
      <c r="I24" s="1"/>
      <c r="J24" s="1" t="str">
        <f>C22</f>
        <v>nuclear_fuel</v>
      </c>
      <c r="K24" s="1"/>
      <c r="L24" s="1" t="s">
        <v>36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 t="s">
        <v>29</v>
      </c>
      <c r="C25" t="s">
        <v>158</v>
      </c>
      <c r="D25" t="s">
        <v>161</v>
      </c>
      <c r="E25" s="1" t="s">
        <v>21</v>
      </c>
      <c r="F25" t="s">
        <v>10</v>
      </c>
      <c r="G25" s="1"/>
      <c r="H25" s="1"/>
      <c r="I25" s="1"/>
      <c r="J25" s="1" t="str">
        <f>C23</f>
        <v>solar_potential</v>
      </c>
      <c r="K25" s="1"/>
      <c r="L25" s="1" t="s">
        <v>27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winon_potential</v>
      </c>
      <c r="K26" s="1"/>
      <c r="L26" s="1" t="s">
        <v>149</v>
      </c>
      <c r="M26" s="1"/>
      <c r="N26" s="1"/>
      <c r="O26" s="1">
        <f>V26*3.6</f>
        <v>0.36000000000000004</v>
      </c>
      <c r="P26" s="1"/>
      <c r="V26">
        <v>0.1</v>
      </c>
    </row>
    <row r="27" spans="2:22">
      <c r="B27" s="1"/>
      <c r="C27" s="1"/>
      <c r="D27" s="1"/>
      <c r="E27" s="1"/>
      <c r="F27" s="1"/>
      <c r="G27" s="1"/>
      <c r="H27" s="1"/>
      <c r="I27" s="1"/>
      <c r="J27" s="1" t="str">
        <f>C25</f>
        <v>winoff_potential</v>
      </c>
      <c r="K27" s="1"/>
      <c r="L27" s="1" t="s">
        <v>150</v>
      </c>
      <c r="M27" s="1"/>
      <c r="N27" s="1"/>
      <c r="O27" s="1">
        <f t="shared" ref="O27" si="1">V27*3.6</f>
        <v>0.36000000000000004</v>
      </c>
      <c r="P27" s="1"/>
      <c r="V27">
        <v>0.1</v>
      </c>
    </row>
    <row r="28" spans="2:22">
      <c r="J28" t="str">
        <f>C18</f>
        <v>Trd_electricity import</v>
      </c>
      <c r="L28" t="str">
        <f>$V$29</f>
        <v>ELC</v>
      </c>
      <c r="P28">
        <v>0</v>
      </c>
      <c r="Q28">
        <v>3</v>
      </c>
      <c r="R28">
        <v>1000</v>
      </c>
      <c r="S28">
        <v>50</v>
      </c>
      <c r="V28" t="s">
        <v>399</v>
      </c>
    </row>
    <row r="29" spans="2:22">
      <c r="J29" t="str">
        <f>C19</f>
        <v>Trd_electricity export</v>
      </c>
      <c r="K29" t="str">
        <f>$V$29</f>
        <v>ELC</v>
      </c>
      <c r="P29">
        <v>0</v>
      </c>
      <c r="Q29">
        <v>3</v>
      </c>
      <c r="R29">
        <v>1000</v>
      </c>
      <c r="S29">
        <v>50</v>
      </c>
      <c r="V29" s="14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102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162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107</v>
      </c>
      <c r="C1" s="148" t="s">
        <v>108</v>
      </c>
      <c r="D1" s="148"/>
      <c r="E1" s="148"/>
      <c r="F1" s="149" t="s">
        <v>109</v>
      </c>
      <c r="G1" s="148"/>
      <c r="H1" s="150"/>
      <c r="I1" s="148" t="s">
        <v>110</v>
      </c>
      <c r="J1" s="148"/>
      <c r="K1" s="148"/>
      <c r="L1" s="148"/>
      <c r="M1" s="148"/>
      <c r="N1" s="148"/>
      <c r="O1" s="151" t="s">
        <v>111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112</v>
      </c>
      <c r="G2" s="28" t="s">
        <v>112</v>
      </c>
      <c r="H2" s="28" t="s">
        <v>112</v>
      </c>
      <c r="I2" s="28" t="s">
        <v>113</v>
      </c>
      <c r="J2" s="28" t="s">
        <v>145</v>
      </c>
      <c r="K2" s="28" t="str">
        <f>I2</f>
        <v>input~GASNGA</v>
      </c>
      <c r="L2" s="28" t="s">
        <v>145</v>
      </c>
      <c r="M2" s="28" t="str">
        <f>K2</f>
        <v>input~GASNGA</v>
      </c>
      <c r="N2" s="28" t="s">
        <v>145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114</v>
      </c>
      <c r="F4" s="30">
        <v>2015</v>
      </c>
      <c r="G4" s="29">
        <v>2030</v>
      </c>
      <c r="H4" s="31" t="s">
        <v>114</v>
      </c>
      <c r="I4" s="29" t="s">
        <v>115</v>
      </c>
      <c r="J4" s="29" t="s">
        <v>116</v>
      </c>
      <c r="K4" s="32" t="s">
        <v>117</v>
      </c>
      <c r="L4" s="33" t="s">
        <v>118</v>
      </c>
      <c r="M4" s="29" t="s">
        <v>119</v>
      </c>
      <c r="N4" s="29" t="s">
        <v>120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121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122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123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124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125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126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127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128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129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130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131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132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133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134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135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136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137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138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139</v>
      </c>
      <c r="P23" s="123"/>
      <c r="Q23" s="123"/>
      <c r="R23" s="123"/>
    </row>
    <row r="26" spans="1:26" ht="17.25" thickBot="1">
      <c r="C26" s="143" t="s">
        <v>140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145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141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143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142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144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142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8E780-4788-44FD-A757-7053946BB2B9}">
  <dimension ref="B9:AP25"/>
  <sheetViews>
    <sheetView workbookViewId="0"/>
  </sheetViews>
  <sheetFormatPr defaultRowHeight="14.25"/>
  <sheetData>
    <row r="9" spans="2:42">
      <c r="B9" t="s">
        <v>167</v>
      </c>
      <c r="J9" t="s">
        <v>208</v>
      </c>
      <c r="O9" t="s">
        <v>167</v>
      </c>
      <c r="X9" t="s">
        <v>208</v>
      </c>
      <c r="AD9" t="s">
        <v>167</v>
      </c>
      <c r="AL9" t="s">
        <v>208</v>
      </c>
    </row>
    <row r="10" spans="2:42">
      <c r="B10" t="s">
        <v>168</v>
      </c>
      <c r="C10" t="s">
        <v>169</v>
      </c>
      <c r="D10" t="s">
        <v>170</v>
      </c>
      <c r="E10" t="s">
        <v>171</v>
      </c>
      <c r="F10" t="s">
        <v>172</v>
      </c>
      <c r="G10" t="s">
        <v>173</v>
      </c>
      <c r="H10" t="s">
        <v>174</v>
      </c>
      <c r="J10" t="s">
        <v>169</v>
      </c>
      <c r="K10" t="s">
        <v>209</v>
      </c>
      <c r="L10" t="s">
        <v>210</v>
      </c>
      <c r="M10" t="s">
        <v>211</v>
      </c>
      <c r="O10" t="s">
        <v>168</v>
      </c>
      <c r="P10" t="s">
        <v>169</v>
      </c>
      <c r="Q10" t="s">
        <v>170</v>
      </c>
      <c r="R10" t="s">
        <v>171</v>
      </c>
      <c r="S10" t="s">
        <v>172</v>
      </c>
      <c r="T10" t="s">
        <v>227</v>
      </c>
      <c r="U10" t="s">
        <v>173</v>
      </c>
      <c r="V10" t="s">
        <v>174</v>
      </c>
      <c r="X10" t="s">
        <v>169</v>
      </c>
      <c r="Y10" t="s">
        <v>261</v>
      </c>
      <c r="Z10" t="s">
        <v>209</v>
      </c>
      <c r="AA10" t="s">
        <v>145</v>
      </c>
      <c r="AB10" t="s">
        <v>262</v>
      </c>
      <c r="AD10" t="s">
        <v>168</v>
      </c>
      <c r="AE10" t="s">
        <v>169</v>
      </c>
      <c r="AF10" t="s">
        <v>170</v>
      </c>
      <c r="AG10" t="s">
        <v>171</v>
      </c>
      <c r="AH10" t="s">
        <v>172</v>
      </c>
      <c r="AI10" t="s">
        <v>173</v>
      </c>
      <c r="AJ10" t="s">
        <v>174</v>
      </c>
      <c r="AL10" t="s">
        <v>169</v>
      </c>
      <c r="AM10" t="s">
        <v>261</v>
      </c>
      <c r="AN10" t="s">
        <v>209</v>
      </c>
      <c r="AO10" t="s">
        <v>145</v>
      </c>
      <c r="AP10" t="s">
        <v>262</v>
      </c>
    </row>
    <row r="11" spans="2:42">
      <c r="B11" t="s">
        <v>175</v>
      </c>
      <c r="C11" t="s">
        <v>176</v>
      </c>
      <c r="D11" t="s">
        <v>177</v>
      </c>
      <c r="E11" t="s">
        <v>10</v>
      </c>
      <c r="F11" t="s">
        <v>21</v>
      </c>
      <c r="G11" t="s">
        <v>178</v>
      </c>
      <c r="H11" t="s">
        <v>179</v>
      </c>
      <c r="J11" t="s">
        <v>176</v>
      </c>
      <c r="K11" t="s">
        <v>212</v>
      </c>
      <c r="L11">
        <v>0.95028350564569364</v>
      </c>
      <c r="M11">
        <v>0.2032438851711921</v>
      </c>
      <c r="O11" t="s">
        <v>228</v>
      </c>
      <c r="P11" t="s">
        <v>229</v>
      </c>
      <c r="Q11" t="s">
        <v>230</v>
      </c>
      <c r="R11" t="s">
        <v>10</v>
      </c>
      <c r="S11" t="s">
        <v>21</v>
      </c>
      <c r="T11" t="s">
        <v>231</v>
      </c>
      <c r="U11" t="s">
        <v>232</v>
      </c>
      <c r="V11" t="s">
        <v>179</v>
      </c>
      <c r="X11" t="s">
        <v>229</v>
      </c>
      <c r="Y11" t="s">
        <v>216</v>
      </c>
      <c r="Z11" t="s">
        <v>263</v>
      </c>
      <c r="AA11">
        <v>0.99841413454839123</v>
      </c>
      <c r="AB11">
        <v>29.074199946161183</v>
      </c>
      <c r="AD11" t="s">
        <v>228</v>
      </c>
      <c r="AE11" t="s">
        <v>278</v>
      </c>
      <c r="AF11" t="s">
        <v>279</v>
      </c>
      <c r="AG11" t="s">
        <v>10</v>
      </c>
      <c r="AH11" t="s">
        <v>21</v>
      </c>
      <c r="AI11" t="s">
        <v>232</v>
      </c>
      <c r="AJ11" t="s">
        <v>179</v>
      </c>
      <c r="AL11" t="s">
        <v>278</v>
      </c>
      <c r="AM11" t="s">
        <v>304</v>
      </c>
      <c r="AN11" t="s">
        <v>305</v>
      </c>
      <c r="AO11">
        <v>0.99831383758599213</v>
      </c>
      <c r="AP11">
        <v>30.912977590144003</v>
      </c>
    </row>
    <row r="12" spans="2:42">
      <c r="B12" t="s">
        <v>175</v>
      </c>
      <c r="C12" t="s">
        <v>180</v>
      </c>
      <c r="D12" t="s">
        <v>181</v>
      </c>
      <c r="E12" t="s">
        <v>10</v>
      </c>
      <c r="F12" t="s">
        <v>21</v>
      </c>
      <c r="G12" t="s">
        <v>178</v>
      </c>
      <c r="H12" t="s">
        <v>179</v>
      </c>
      <c r="J12" t="s">
        <v>180</v>
      </c>
      <c r="K12" t="s">
        <v>213</v>
      </c>
      <c r="L12">
        <v>2.2879732570392961</v>
      </c>
      <c r="M12">
        <v>0.1939317130416614</v>
      </c>
      <c r="O12" t="s">
        <v>228</v>
      </c>
      <c r="P12" t="s">
        <v>233</v>
      </c>
      <c r="Q12" t="s">
        <v>234</v>
      </c>
      <c r="R12" t="s">
        <v>10</v>
      </c>
      <c r="S12" t="s">
        <v>21</v>
      </c>
      <c r="T12" t="s">
        <v>231</v>
      </c>
      <c r="U12" t="s">
        <v>232</v>
      </c>
      <c r="V12" t="s">
        <v>179</v>
      </c>
      <c r="X12" t="s">
        <v>233</v>
      </c>
      <c r="Y12" t="s">
        <v>225</v>
      </c>
      <c r="Z12" t="s">
        <v>264</v>
      </c>
      <c r="AA12">
        <v>0.99606139674621874</v>
      </c>
      <c r="AB12">
        <v>72.207726319322958</v>
      </c>
      <c r="AD12" t="s">
        <v>228</v>
      </c>
      <c r="AE12" t="s">
        <v>280</v>
      </c>
      <c r="AF12" t="s">
        <v>281</v>
      </c>
      <c r="AG12" t="s">
        <v>10</v>
      </c>
      <c r="AH12" t="s">
        <v>21</v>
      </c>
      <c r="AI12" t="s">
        <v>232</v>
      </c>
      <c r="AJ12" t="s">
        <v>179</v>
      </c>
      <c r="AL12" t="s">
        <v>280</v>
      </c>
      <c r="AM12" t="s">
        <v>306</v>
      </c>
      <c r="AN12" t="s">
        <v>307</v>
      </c>
      <c r="AO12">
        <v>0.99842569630166256</v>
      </c>
      <c r="AP12">
        <v>28.86223446951988</v>
      </c>
    </row>
    <row r="13" spans="2:42">
      <c r="B13" t="s">
        <v>175</v>
      </c>
      <c r="C13" t="s">
        <v>182</v>
      </c>
      <c r="D13" t="s">
        <v>183</v>
      </c>
      <c r="E13" t="s">
        <v>10</v>
      </c>
      <c r="F13" t="s">
        <v>21</v>
      </c>
      <c r="G13" t="s">
        <v>178</v>
      </c>
      <c r="H13" t="s">
        <v>179</v>
      </c>
      <c r="J13" t="s">
        <v>182</v>
      </c>
      <c r="K13" t="s">
        <v>214</v>
      </c>
      <c r="L13">
        <v>1.038378818156078</v>
      </c>
      <c r="M13">
        <v>0.1854331675133718</v>
      </c>
      <c r="O13" t="s">
        <v>228</v>
      </c>
      <c r="P13" t="s">
        <v>235</v>
      </c>
      <c r="Q13" t="s">
        <v>236</v>
      </c>
      <c r="R13" t="s">
        <v>10</v>
      </c>
      <c r="S13" t="s">
        <v>21</v>
      </c>
      <c r="T13" t="s">
        <v>231</v>
      </c>
      <c r="U13" t="s">
        <v>232</v>
      </c>
      <c r="V13" t="s">
        <v>179</v>
      </c>
      <c r="X13" t="s">
        <v>235</v>
      </c>
      <c r="Y13" t="s">
        <v>215</v>
      </c>
      <c r="Z13" t="s">
        <v>265</v>
      </c>
      <c r="AA13">
        <v>0.99867337680137247</v>
      </c>
      <c r="AB13">
        <v>24.321425308170515</v>
      </c>
      <c r="AD13" t="s">
        <v>228</v>
      </c>
      <c r="AE13" t="s">
        <v>282</v>
      </c>
      <c r="AF13" t="s">
        <v>283</v>
      </c>
      <c r="AG13" t="s">
        <v>10</v>
      </c>
      <c r="AH13" t="s">
        <v>21</v>
      </c>
      <c r="AI13" t="s">
        <v>232</v>
      </c>
      <c r="AJ13" t="s">
        <v>179</v>
      </c>
      <c r="AL13" t="s">
        <v>282</v>
      </c>
      <c r="AM13" t="s">
        <v>308</v>
      </c>
      <c r="AN13" t="s">
        <v>309</v>
      </c>
      <c r="AO13">
        <v>0.99864406184009369</v>
      </c>
      <c r="AP13">
        <v>24.858866264948823</v>
      </c>
    </row>
    <row r="14" spans="2:42">
      <c r="B14" t="s">
        <v>175</v>
      </c>
      <c r="C14" t="s">
        <v>184</v>
      </c>
      <c r="D14" t="s">
        <v>185</v>
      </c>
      <c r="E14" t="s">
        <v>10</v>
      </c>
      <c r="F14" t="s">
        <v>21</v>
      </c>
      <c r="G14" t="s">
        <v>178</v>
      </c>
      <c r="H14" t="s">
        <v>179</v>
      </c>
      <c r="J14" t="s">
        <v>184</v>
      </c>
      <c r="K14" t="s">
        <v>215</v>
      </c>
      <c r="L14">
        <v>1.5856552653238307</v>
      </c>
      <c r="M14">
        <v>0.1687174270309707</v>
      </c>
      <c r="O14" t="s">
        <v>228</v>
      </c>
      <c r="P14" t="s">
        <v>237</v>
      </c>
      <c r="Q14" t="s">
        <v>238</v>
      </c>
      <c r="R14" t="s">
        <v>10</v>
      </c>
      <c r="S14" t="s">
        <v>21</v>
      </c>
      <c r="T14" t="s">
        <v>231</v>
      </c>
      <c r="U14" t="s">
        <v>232</v>
      </c>
      <c r="V14" t="s">
        <v>179</v>
      </c>
      <c r="X14" t="s">
        <v>237</v>
      </c>
      <c r="Y14" t="s">
        <v>226</v>
      </c>
      <c r="Z14" t="s">
        <v>266</v>
      </c>
      <c r="AA14">
        <v>0.99878927154998876</v>
      </c>
      <c r="AB14">
        <v>22.196688250206851</v>
      </c>
      <c r="AD14" t="s">
        <v>228</v>
      </c>
      <c r="AE14" t="s">
        <v>284</v>
      </c>
      <c r="AF14" t="s">
        <v>285</v>
      </c>
      <c r="AG14" t="s">
        <v>10</v>
      </c>
      <c r="AH14" t="s">
        <v>21</v>
      </c>
      <c r="AI14" t="s">
        <v>232</v>
      </c>
      <c r="AJ14" t="s">
        <v>179</v>
      </c>
      <c r="AL14" t="s">
        <v>284</v>
      </c>
      <c r="AM14" t="s">
        <v>310</v>
      </c>
      <c r="AN14" t="s">
        <v>311</v>
      </c>
      <c r="AO14">
        <v>0.99790344697198585</v>
      </c>
      <c r="AP14">
        <v>38.436805513593036</v>
      </c>
    </row>
    <row r="15" spans="2:42">
      <c r="B15" t="s">
        <v>175</v>
      </c>
      <c r="C15" t="s">
        <v>186</v>
      </c>
      <c r="D15" t="s">
        <v>187</v>
      </c>
      <c r="E15" t="s">
        <v>10</v>
      </c>
      <c r="F15" t="s">
        <v>21</v>
      </c>
      <c r="G15" t="s">
        <v>178</v>
      </c>
      <c r="H15" t="s">
        <v>179</v>
      </c>
      <c r="J15" t="s">
        <v>186</v>
      </c>
      <c r="K15" t="s">
        <v>216</v>
      </c>
      <c r="L15">
        <v>2.2696065354167105</v>
      </c>
      <c r="M15">
        <v>0.16581520779865491</v>
      </c>
      <c r="O15" t="s">
        <v>228</v>
      </c>
      <c r="P15" t="s">
        <v>239</v>
      </c>
      <c r="Q15" t="s">
        <v>240</v>
      </c>
      <c r="R15" t="s">
        <v>10</v>
      </c>
      <c r="S15" t="s">
        <v>21</v>
      </c>
      <c r="T15" t="s">
        <v>231</v>
      </c>
      <c r="U15" t="s">
        <v>232</v>
      </c>
      <c r="V15" t="s">
        <v>179</v>
      </c>
      <c r="X15" t="s">
        <v>239</v>
      </c>
      <c r="Y15" t="s">
        <v>213</v>
      </c>
      <c r="Z15" t="s">
        <v>267</v>
      </c>
      <c r="AA15">
        <v>0.99862410236781662</v>
      </c>
      <c r="AB15">
        <v>25.224789923361115</v>
      </c>
      <c r="AD15" t="s">
        <v>228</v>
      </c>
      <c r="AE15" t="s">
        <v>286</v>
      </c>
      <c r="AF15" t="s">
        <v>287</v>
      </c>
      <c r="AG15" t="s">
        <v>10</v>
      </c>
      <c r="AH15" t="s">
        <v>21</v>
      </c>
      <c r="AI15" t="s">
        <v>232</v>
      </c>
      <c r="AJ15" t="s">
        <v>179</v>
      </c>
      <c r="AL15" t="s">
        <v>286</v>
      </c>
      <c r="AM15" t="s">
        <v>312</v>
      </c>
      <c r="AN15" t="s">
        <v>313</v>
      </c>
      <c r="AO15">
        <v>0.99831382084910869</v>
      </c>
      <c r="AP15">
        <v>30.913284433006623</v>
      </c>
    </row>
    <row r="16" spans="2:42">
      <c r="B16" t="s">
        <v>175</v>
      </c>
      <c r="C16" t="s">
        <v>188</v>
      </c>
      <c r="D16" t="s">
        <v>189</v>
      </c>
      <c r="E16" t="s">
        <v>10</v>
      </c>
      <c r="F16" t="s">
        <v>21</v>
      </c>
      <c r="G16" t="s">
        <v>178</v>
      </c>
      <c r="H16" t="s">
        <v>179</v>
      </c>
      <c r="J16" t="s">
        <v>188</v>
      </c>
      <c r="K16" t="s">
        <v>217</v>
      </c>
      <c r="L16">
        <v>1.4340401764648041</v>
      </c>
      <c r="M16">
        <v>0.18386379919215071</v>
      </c>
      <c r="O16" t="s">
        <v>228</v>
      </c>
      <c r="P16" t="s">
        <v>241</v>
      </c>
      <c r="Q16" t="s">
        <v>242</v>
      </c>
      <c r="R16" t="s">
        <v>10</v>
      </c>
      <c r="S16" t="s">
        <v>21</v>
      </c>
      <c r="T16" t="s">
        <v>231</v>
      </c>
      <c r="U16" t="s">
        <v>232</v>
      </c>
      <c r="V16" t="s">
        <v>179</v>
      </c>
      <c r="X16" t="s">
        <v>241</v>
      </c>
      <c r="Y16" t="s">
        <v>223</v>
      </c>
      <c r="Z16" t="s">
        <v>268</v>
      </c>
      <c r="AA16">
        <v>0.99833598914935617</v>
      </c>
      <c r="AB16">
        <v>30.506865595137178</v>
      </c>
      <c r="AD16" t="s">
        <v>228</v>
      </c>
      <c r="AE16" t="s">
        <v>288</v>
      </c>
      <c r="AF16" t="s">
        <v>289</v>
      </c>
      <c r="AG16" t="s">
        <v>10</v>
      </c>
      <c r="AH16" t="s">
        <v>21</v>
      </c>
      <c r="AI16" t="s">
        <v>232</v>
      </c>
      <c r="AJ16" t="s">
        <v>179</v>
      </c>
      <c r="AL16" t="s">
        <v>288</v>
      </c>
      <c r="AM16" t="s">
        <v>314</v>
      </c>
      <c r="AN16" t="s">
        <v>315</v>
      </c>
      <c r="AO16">
        <v>0.99696949512524791</v>
      </c>
      <c r="AP16">
        <v>55.559256037121919</v>
      </c>
    </row>
    <row r="17" spans="2:42">
      <c r="B17" t="s">
        <v>175</v>
      </c>
      <c r="C17" t="s">
        <v>190</v>
      </c>
      <c r="D17" t="s">
        <v>191</v>
      </c>
      <c r="E17" t="s">
        <v>10</v>
      </c>
      <c r="F17" t="s">
        <v>21</v>
      </c>
      <c r="G17" t="s">
        <v>178</v>
      </c>
      <c r="H17" t="s">
        <v>179</v>
      </c>
      <c r="J17" t="s">
        <v>190</v>
      </c>
      <c r="K17" t="s">
        <v>218</v>
      </c>
      <c r="L17">
        <v>3.5012927969659846</v>
      </c>
      <c r="M17">
        <v>0.17323972585052061</v>
      </c>
      <c r="O17" t="s">
        <v>228</v>
      </c>
      <c r="P17" t="s">
        <v>243</v>
      </c>
      <c r="Q17" t="s">
        <v>244</v>
      </c>
      <c r="R17" t="s">
        <v>10</v>
      </c>
      <c r="S17" t="s">
        <v>21</v>
      </c>
      <c r="T17" t="s">
        <v>231</v>
      </c>
      <c r="U17" t="s">
        <v>232</v>
      </c>
      <c r="V17" t="s">
        <v>179</v>
      </c>
      <c r="X17" t="s">
        <v>243</v>
      </c>
      <c r="Y17" t="s">
        <v>221</v>
      </c>
      <c r="Z17" t="s">
        <v>269</v>
      </c>
      <c r="AA17">
        <v>0.99790259024057815</v>
      </c>
      <c r="AB17">
        <v>38.452512256066314</v>
      </c>
      <c r="AD17" t="s">
        <v>228</v>
      </c>
      <c r="AE17" t="s">
        <v>290</v>
      </c>
      <c r="AF17" t="s">
        <v>291</v>
      </c>
      <c r="AG17" t="s">
        <v>10</v>
      </c>
      <c r="AH17" t="s">
        <v>21</v>
      </c>
      <c r="AI17" t="s">
        <v>232</v>
      </c>
      <c r="AJ17" t="s">
        <v>179</v>
      </c>
      <c r="AL17" t="s">
        <v>290</v>
      </c>
      <c r="AM17" t="s">
        <v>316</v>
      </c>
      <c r="AN17" t="s">
        <v>317</v>
      </c>
      <c r="AO17">
        <v>0.99868561654722476</v>
      </c>
      <c r="AP17">
        <v>24.097029967546128</v>
      </c>
    </row>
    <row r="18" spans="2:42">
      <c r="B18" t="s">
        <v>175</v>
      </c>
      <c r="C18" t="s">
        <v>192</v>
      </c>
      <c r="D18" t="s">
        <v>193</v>
      </c>
      <c r="E18" t="s">
        <v>10</v>
      </c>
      <c r="F18" t="s">
        <v>21</v>
      </c>
      <c r="G18" t="s">
        <v>178</v>
      </c>
      <c r="H18" t="s">
        <v>179</v>
      </c>
      <c r="J18" t="s">
        <v>192</v>
      </c>
      <c r="K18" t="s">
        <v>219</v>
      </c>
      <c r="L18">
        <v>7.2452092416211293</v>
      </c>
      <c r="M18">
        <v>0.16296530566855069</v>
      </c>
      <c r="O18" t="s">
        <v>228</v>
      </c>
      <c r="P18" t="s">
        <v>245</v>
      </c>
      <c r="Q18" t="s">
        <v>246</v>
      </c>
      <c r="R18" t="s">
        <v>10</v>
      </c>
      <c r="S18" t="s">
        <v>21</v>
      </c>
      <c r="T18" t="s">
        <v>231</v>
      </c>
      <c r="U18" t="s">
        <v>232</v>
      </c>
      <c r="V18" t="s">
        <v>179</v>
      </c>
      <c r="X18" t="s">
        <v>245</v>
      </c>
      <c r="Y18" t="s">
        <v>218</v>
      </c>
      <c r="Z18" t="s">
        <v>270</v>
      </c>
      <c r="AA18">
        <v>0.99746297747029244</v>
      </c>
      <c r="AB18">
        <v>46.512079711305255</v>
      </c>
      <c r="AD18" t="s">
        <v>228</v>
      </c>
      <c r="AE18" t="s">
        <v>292</v>
      </c>
      <c r="AF18" t="s">
        <v>293</v>
      </c>
      <c r="AG18" t="s">
        <v>10</v>
      </c>
      <c r="AH18" t="s">
        <v>21</v>
      </c>
      <c r="AI18" t="s">
        <v>232</v>
      </c>
      <c r="AJ18" t="s">
        <v>179</v>
      </c>
      <c r="AL18" t="s">
        <v>292</v>
      </c>
      <c r="AM18" t="s">
        <v>318</v>
      </c>
      <c r="AN18" t="s">
        <v>276</v>
      </c>
      <c r="AO18">
        <v>0.99599733612049879</v>
      </c>
      <c r="AP18">
        <v>73.382171124189711</v>
      </c>
    </row>
    <row r="19" spans="2:42">
      <c r="B19" t="s">
        <v>175</v>
      </c>
      <c r="C19" t="s">
        <v>194</v>
      </c>
      <c r="D19" t="s">
        <v>195</v>
      </c>
      <c r="E19" t="s">
        <v>10</v>
      </c>
      <c r="F19" t="s">
        <v>21</v>
      </c>
      <c r="G19" t="s">
        <v>178</v>
      </c>
      <c r="H19" t="s">
        <v>179</v>
      </c>
      <c r="J19" t="s">
        <v>194</v>
      </c>
      <c r="K19" t="s">
        <v>220</v>
      </c>
      <c r="L19">
        <v>1.7988095690452937</v>
      </c>
      <c r="M19">
        <v>0.16335157650562979</v>
      </c>
      <c r="O19" t="s">
        <v>228</v>
      </c>
      <c r="P19" t="s">
        <v>247</v>
      </c>
      <c r="Q19" t="s">
        <v>248</v>
      </c>
      <c r="R19" t="s">
        <v>10</v>
      </c>
      <c r="S19" t="s">
        <v>21</v>
      </c>
      <c r="T19" t="s">
        <v>231</v>
      </c>
      <c r="U19" t="s">
        <v>232</v>
      </c>
      <c r="V19" t="s">
        <v>179</v>
      </c>
      <c r="X19" t="s">
        <v>247</v>
      </c>
      <c r="Y19" t="s">
        <v>214</v>
      </c>
      <c r="Z19" t="s">
        <v>271</v>
      </c>
      <c r="AA19">
        <v>0.99752410262804614</v>
      </c>
      <c r="AB19">
        <v>45.391451819153936</v>
      </c>
      <c r="AD19" t="s">
        <v>228</v>
      </c>
      <c r="AE19" t="s">
        <v>294</v>
      </c>
      <c r="AF19" t="s">
        <v>295</v>
      </c>
      <c r="AG19" t="s">
        <v>10</v>
      </c>
      <c r="AH19" t="s">
        <v>21</v>
      </c>
      <c r="AI19" t="s">
        <v>232</v>
      </c>
      <c r="AJ19" t="s">
        <v>179</v>
      </c>
      <c r="AL19" t="s">
        <v>294</v>
      </c>
      <c r="AM19" t="s">
        <v>319</v>
      </c>
      <c r="AN19" t="s">
        <v>320</v>
      </c>
      <c r="AO19">
        <v>0.99309131353273861</v>
      </c>
      <c r="AP19">
        <v>126.6592518997923</v>
      </c>
    </row>
    <row r="20" spans="2:42">
      <c r="B20" t="s">
        <v>175</v>
      </c>
      <c r="C20" t="s">
        <v>196</v>
      </c>
      <c r="D20" t="s">
        <v>197</v>
      </c>
      <c r="E20" t="s">
        <v>10</v>
      </c>
      <c r="F20" t="s">
        <v>21</v>
      </c>
      <c r="G20" t="s">
        <v>178</v>
      </c>
      <c r="H20" t="s">
        <v>179</v>
      </c>
      <c r="J20" t="s">
        <v>196</v>
      </c>
      <c r="K20" t="s">
        <v>221</v>
      </c>
      <c r="L20">
        <v>4.3681444797083442</v>
      </c>
      <c r="M20">
        <v>0.1633845094132628</v>
      </c>
      <c r="O20" t="s">
        <v>228</v>
      </c>
      <c r="P20" t="s">
        <v>249</v>
      </c>
      <c r="Q20" t="s">
        <v>250</v>
      </c>
      <c r="R20" t="s">
        <v>10</v>
      </c>
      <c r="S20" t="s">
        <v>21</v>
      </c>
      <c r="T20" t="s">
        <v>231</v>
      </c>
      <c r="U20" t="s">
        <v>232</v>
      </c>
      <c r="V20" t="s">
        <v>179</v>
      </c>
      <c r="X20" t="s">
        <v>249</v>
      </c>
      <c r="Y20" t="s">
        <v>224</v>
      </c>
      <c r="Z20" t="s">
        <v>272</v>
      </c>
      <c r="AA20">
        <v>0.99663785488220757</v>
      </c>
      <c r="AB20">
        <v>61.639327159526964</v>
      </c>
      <c r="AD20" t="s">
        <v>228</v>
      </c>
      <c r="AE20" t="s">
        <v>296</v>
      </c>
      <c r="AF20" t="s">
        <v>297</v>
      </c>
      <c r="AG20" t="s">
        <v>10</v>
      </c>
      <c r="AH20" t="s">
        <v>21</v>
      </c>
      <c r="AI20" t="s">
        <v>232</v>
      </c>
      <c r="AJ20" t="s">
        <v>179</v>
      </c>
      <c r="AL20" t="s">
        <v>296</v>
      </c>
      <c r="AM20" t="s">
        <v>321</v>
      </c>
      <c r="AN20" t="s">
        <v>322</v>
      </c>
      <c r="AO20">
        <v>0.99806647110300117</v>
      </c>
      <c r="AP20">
        <v>35.448029778312126</v>
      </c>
    </row>
    <row r="21" spans="2:42">
      <c r="B21" t="s">
        <v>175</v>
      </c>
      <c r="C21" t="s">
        <v>198</v>
      </c>
      <c r="D21" t="s">
        <v>199</v>
      </c>
      <c r="E21" t="s">
        <v>10</v>
      </c>
      <c r="F21" t="s">
        <v>21</v>
      </c>
      <c r="G21" t="s">
        <v>178</v>
      </c>
      <c r="H21" t="s">
        <v>179</v>
      </c>
      <c r="J21" t="s">
        <v>198</v>
      </c>
      <c r="K21" t="s">
        <v>222</v>
      </c>
      <c r="L21">
        <v>3.268373243490192</v>
      </c>
      <c r="M21">
        <v>0.1734762386263437</v>
      </c>
      <c r="O21" t="s">
        <v>228</v>
      </c>
      <c r="P21" t="s">
        <v>251</v>
      </c>
      <c r="Q21" t="s">
        <v>252</v>
      </c>
      <c r="R21" t="s">
        <v>10</v>
      </c>
      <c r="S21" t="s">
        <v>21</v>
      </c>
      <c r="T21" t="s">
        <v>231</v>
      </c>
      <c r="U21" t="s">
        <v>232</v>
      </c>
      <c r="V21" t="s">
        <v>179</v>
      </c>
      <c r="X21" t="s">
        <v>251</v>
      </c>
      <c r="Y21" t="s">
        <v>212</v>
      </c>
      <c r="Z21" t="s">
        <v>273</v>
      </c>
      <c r="AA21">
        <v>0.99751404781443698</v>
      </c>
      <c r="AB21">
        <v>45.575790068655763</v>
      </c>
      <c r="AD21" t="s">
        <v>228</v>
      </c>
      <c r="AE21" t="s">
        <v>298</v>
      </c>
      <c r="AF21" t="s">
        <v>299</v>
      </c>
      <c r="AG21" t="s">
        <v>10</v>
      </c>
      <c r="AH21" t="s">
        <v>21</v>
      </c>
      <c r="AI21" t="s">
        <v>232</v>
      </c>
      <c r="AJ21" t="s">
        <v>179</v>
      </c>
      <c r="AL21" t="s">
        <v>298</v>
      </c>
      <c r="AM21" t="s">
        <v>323</v>
      </c>
      <c r="AN21" t="s">
        <v>266</v>
      </c>
      <c r="AO21">
        <v>0.99855068763113897</v>
      </c>
      <c r="AP21">
        <v>26.570726762452622</v>
      </c>
    </row>
    <row r="22" spans="2:42">
      <c r="B22" t="s">
        <v>175</v>
      </c>
      <c r="C22" t="s">
        <v>200</v>
      </c>
      <c r="D22" t="s">
        <v>201</v>
      </c>
      <c r="E22" t="s">
        <v>10</v>
      </c>
      <c r="F22" t="s">
        <v>21</v>
      </c>
      <c r="G22" t="s">
        <v>178</v>
      </c>
      <c r="H22" t="s">
        <v>179</v>
      </c>
      <c r="J22" t="s">
        <v>200</v>
      </c>
      <c r="K22" t="s">
        <v>223</v>
      </c>
      <c r="L22">
        <v>2.2451487108109007</v>
      </c>
      <c r="M22">
        <v>0.17186777833524791</v>
      </c>
      <c r="O22" t="s">
        <v>228</v>
      </c>
      <c r="P22" t="s">
        <v>253</v>
      </c>
      <c r="Q22" t="s">
        <v>254</v>
      </c>
      <c r="R22" t="s">
        <v>10</v>
      </c>
      <c r="S22" t="s">
        <v>21</v>
      </c>
      <c r="T22" t="s">
        <v>231</v>
      </c>
      <c r="U22" t="s">
        <v>232</v>
      </c>
      <c r="V22" t="s">
        <v>179</v>
      </c>
      <c r="X22" t="s">
        <v>253</v>
      </c>
      <c r="Y22" t="s">
        <v>217</v>
      </c>
      <c r="Z22" t="s">
        <v>274</v>
      </c>
      <c r="AA22">
        <v>0.99744104449393167</v>
      </c>
      <c r="AB22">
        <v>46.914184277920093</v>
      </c>
      <c r="AD22" t="s">
        <v>228</v>
      </c>
      <c r="AE22" t="s">
        <v>300</v>
      </c>
      <c r="AF22" t="s">
        <v>301</v>
      </c>
      <c r="AG22" t="s">
        <v>10</v>
      </c>
      <c r="AH22" t="s">
        <v>21</v>
      </c>
      <c r="AI22" t="s">
        <v>232</v>
      </c>
      <c r="AJ22" t="s">
        <v>179</v>
      </c>
      <c r="AL22" t="s">
        <v>300</v>
      </c>
      <c r="AM22" t="s">
        <v>324</v>
      </c>
      <c r="AN22" t="s">
        <v>325</v>
      </c>
      <c r="AO22">
        <v>0.99661124612196206</v>
      </c>
      <c r="AP22">
        <v>62.127154430695668</v>
      </c>
    </row>
    <row r="23" spans="2:42">
      <c r="B23" t="s">
        <v>175</v>
      </c>
      <c r="C23" t="s">
        <v>202</v>
      </c>
      <c r="D23" t="s">
        <v>203</v>
      </c>
      <c r="E23" t="s">
        <v>10</v>
      </c>
      <c r="F23" t="s">
        <v>21</v>
      </c>
      <c r="G23" t="s">
        <v>178</v>
      </c>
      <c r="H23" t="s">
        <v>179</v>
      </c>
      <c r="J23" t="s">
        <v>202</v>
      </c>
      <c r="K23" t="s">
        <v>224</v>
      </c>
      <c r="L23">
        <v>9.3680234502001447</v>
      </c>
      <c r="M23">
        <v>0.16996476913748071</v>
      </c>
      <c r="O23" t="s">
        <v>228</v>
      </c>
      <c r="P23" t="s">
        <v>255</v>
      </c>
      <c r="Q23" t="s">
        <v>256</v>
      </c>
      <c r="R23" t="s">
        <v>10</v>
      </c>
      <c r="S23" t="s">
        <v>21</v>
      </c>
      <c r="T23" t="s">
        <v>231</v>
      </c>
      <c r="U23" t="s">
        <v>232</v>
      </c>
      <c r="V23" t="s">
        <v>179</v>
      </c>
      <c r="X23" t="s">
        <v>255</v>
      </c>
      <c r="Y23" t="s">
        <v>219</v>
      </c>
      <c r="Z23" t="s">
        <v>275</v>
      </c>
      <c r="AA23">
        <v>0.99817092025513499</v>
      </c>
      <c r="AB23">
        <v>33.533128655859528</v>
      </c>
      <c r="AD23" t="s">
        <v>228</v>
      </c>
      <c r="AE23" t="s">
        <v>302</v>
      </c>
      <c r="AF23" t="s">
        <v>303</v>
      </c>
      <c r="AG23" t="s">
        <v>10</v>
      </c>
      <c r="AH23" t="s">
        <v>21</v>
      </c>
      <c r="AI23" t="s">
        <v>232</v>
      </c>
      <c r="AJ23" t="s">
        <v>179</v>
      </c>
      <c r="AL23" t="s">
        <v>302</v>
      </c>
      <c r="AM23" t="s">
        <v>326</v>
      </c>
      <c r="AN23" t="s">
        <v>273</v>
      </c>
      <c r="AO23">
        <v>0.99916796132064933</v>
      </c>
      <c r="AP23">
        <v>15.254042454762756</v>
      </c>
    </row>
    <row r="24" spans="2:42">
      <c r="B24" t="s">
        <v>175</v>
      </c>
      <c r="C24" t="s">
        <v>204</v>
      </c>
      <c r="D24" t="s">
        <v>205</v>
      </c>
      <c r="E24" t="s">
        <v>10</v>
      </c>
      <c r="F24" t="s">
        <v>21</v>
      </c>
      <c r="G24" t="s">
        <v>178</v>
      </c>
      <c r="H24" t="s">
        <v>179</v>
      </c>
      <c r="J24" t="s">
        <v>204</v>
      </c>
      <c r="K24" t="s">
        <v>225</v>
      </c>
      <c r="L24">
        <v>2.3775823109988941</v>
      </c>
      <c r="M24">
        <v>0.16699345597548459</v>
      </c>
      <c r="O24" t="s">
        <v>228</v>
      </c>
      <c r="P24" t="s">
        <v>257</v>
      </c>
      <c r="Q24" t="s">
        <v>258</v>
      </c>
      <c r="R24" t="s">
        <v>10</v>
      </c>
      <c r="S24" t="s">
        <v>21</v>
      </c>
      <c r="T24" t="s">
        <v>231</v>
      </c>
      <c r="U24" t="s">
        <v>232</v>
      </c>
      <c r="V24" t="s">
        <v>179</v>
      </c>
      <c r="X24" t="s">
        <v>257</v>
      </c>
      <c r="Y24" t="s">
        <v>220</v>
      </c>
      <c r="Z24" t="s">
        <v>276</v>
      </c>
      <c r="AA24">
        <v>0.99608191256693812</v>
      </c>
      <c r="AB24">
        <v>71.831602939467288</v>
      </c>
    </row>
    <row r="25" spans="2:42">
      <c r="B25" t="s">
        <v>175</v>
      </c>
      <c r="C25" t="s">
        <v>206</v>
      </c>
      <c r="D25" t="s">
        <v>207</v>
      </c>
      <c r="E25" t="s">
        <v>10</v>
      </c>
      <c r="F25" t="s">
        <v>21</v>
      </c>
      <c r="G25" t="s">
        <v>178</v>
      </c>
      <c r="H25" t="s">
        <v>179</v>
      </c>
      <c r="J25" t="s">
        <v>206</v>
      </c>
      <c r="K25" t="s">
        <v>226</v>
      </c>
      <c r="L25">
        <v>4.9878343651478394</v>
      </c>
      <c r="M25">
        <v>0.165455256184011</v>
      </c>
      <c r="O25" t="s">
        <v>228</v>
      </c>
      <c r="P25" t="s">
        <v>259</v>
      </c>
      <c r="Q25" t="s">
        <v>260</v>
      </c>
      <c r="R25" t="s">
        <v>10</v>
      </c>
      <c r="S25" t="s">
        <v>21</v>
      </c>
      <c r="T25" t="s">
        <v>231</v>
      </c>
      <c r="U25" t="s">
        <v>232</v>
      </c>
      <c r="V25" t="s">
        <v>179</v>
      </c>
      <c r="X25" t="s">
        <v>259</v>
      </c>
      <c r="Y25" t="s">
        <v>222</v>
      </c>
      <c r="Z25" t="s">
        <v>277</v>
      </c>
      <c r="AA25">
        <v>0.99696148198205803</v>
      </c>
      <c r="AB25">
        <v>55.706163662270022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AE68F-F15C-4698-AF7A-666A8D6D50FF}">
  <dimension ref="B9:M23"/>
  <sheetViews>
    <sheetView workbookViewId="0"/>
  </sheetViews>
  <sheetFormatPr defaultRowHeight="14.25"/>
  <sheetData>
    <row r="9" spans="2:13">
      <c r="B9" t="s">
        <v>167</v>
      </c>
      <c r="J9" t="s">
        <v>208</v>
      </c>
    </row>
    <row r="10" spans="2:13">
      <c r="B10" t="s">
        <v>168</v>
      </c>
      <c r="C10" t="s">
        <v>169</v>
      </c>
      <c r="D10" t="s">
        <v>170</v>
      </c>
      <c r="E10" t="s">
        <v>171</v>
      </c>
      <c r="F10" t="s">
        <v>172</v>
      </c>
      <c r="G10" t="s">
        <v>173</v>
      </c>
      <c r="H10" t="s">
        <v>174</v>
      </c>
      <c r="J10" t="s">
        <v>169</v>
      </c>
      <c r="K10" t="s">
        <v>209</v>
      </c>
      <c r="L10" t="s">
        <v>210</v>
      </c>
      <c r="M10" t="s">
        <v>211</v>
      </c>
    </row>
    <row r="11" spans="2:13">
      <c r="B11" t="s">
        <v>175</v>
      </c>
      <c r="C11" t="s">
        <v>327</v>
      </c>
      <c r="D11" t="s">
        <v>328</v>
      </c>
      <c r="E11" t="s">
        <v>10</v>
      </c>
      <c r="F11" t="s">
        <v>21</v>
      </c>
      <c r="G11" t="s">
        <v>178</v>
      </c>
      <c r="H11" t="s">
        <v>179</v>
      </c>
      <c r="J11" t="s">
        <v>327</v>
      </c>
      <c r="K11" t="s">
        <v>319</v>
      </c>
      <c r="L11">
        <v>9.2886312097189838E-2</v>
      </c>
      <c r="M11">
        <v>0.15405786738589439</v>
      </c>
    </row>
    <row r="12" spans="2:13">
      <c r="B12" t="s">
        <v>175</v>
      </c>
      <c r="C12" t="s">
        <v>329</v>
      </c>
      <c r="D12" t="s">
        <v>330</v>
      </c>
      <c r="E12" t="s">
        <v>10</v>
      </c>
      <c r="F12" t="s">
        <v>21</v>
      </c>
      <c r="G12" t="s">
        <v>178</v>
      </c>
      <c r="H12" t="s">
        <v>179</v>
      </c>
      <c r="J12" t="s">
        <v>329</v>
      </c>
      <c r="K12" t="s">
        <v>326</v>
      </c>
      <c r="L12">
        <v>0.1738962180995865</v>
      </c>
      <c r="M12">
        <v>0.1702258774374108</v>
      </c>
    </row>
    <row r="13" spans="2:13">
      <c r="B13" t="s">
        <v>175</v>
      </c>
      <c r="C13" t="s">
        <v>331</v>
      </c>
      <c r="D13" t="s">
        <v>332</v>
      </c>
      <c r="E13" t="s">
        <v>10</v>
      </c>
      <c r="F13" t="s">
        <v>21</v>
      </c>
      <c r="G13" t="s">
        <v>178</v>
      </c>
      <c r="H13" t="s">
        <v>179</v>
      </c>
      <c r="J13" t="s">
        <v>331</v>
      </c>
      <c r="K13" t="s">
        <v>310</v>
      </c>
      <c r="L13">
        <v>0.2433090533988331</v>
      </c>
      <c r="M13">
        <v>0.2114500856672481</v>
      </c>
    </row>
    <row r="14" spans="2:13">
      <c r="B14" t="s">
        <v>175</v>
      </c>
      <c r="C14" t="s">
        <v>333</v>
      </c>
      <c r="D14" t="s">
        <v>334</v>
      </c>
      <c r="E14" t="s">
        <v>10</v>
      </c>
      <c r="F14" t="s">
        <v>21</v>
      </c>
      <c r="G14" t="s">
        <v>178</v>
      </c>
      <c r="H14" t="s">
        <v>179</v>
      </c>
      <c r="J14" t="s">
        <v>333</v>
      </c>
      <c r="K14" t="s">
        <v>306</v>
      </c>
      <c r="L14">
        <v>5.1128062243546414E-2</v>
      </c>
      <c r="M14">
        <v>0.108408181125487</v>
      </c>
    </row>
    <row r="15" spans="2:13">
      <c r="B15" t="s">
        <v>175</v>
      </c>
      <c r="C15" t="s">
        <v>335</v>
      </c>
      <c r="D15" t="s">
        <v>336</v>
      </c>
      <c r="E15" t="s">
        <v>10</v>
      </c>
      <c r="F15" t="s">
        <v>21</v>
      </c>
      <c r="G15" t="s">
        <v>178</v>
      </c>
      <c r="H15" t="s">
        <v>179</v>
      </c>
      <c r="J15" t="s">
        <v>335</v>
      </c>
      <c r="K15" t="s">
        <v>308</v>
      </c>
      <c r="L15">
        <v>1.073704635262974</v>
      </c>
      <c r="M15">
        <v>0.19141286458792939</v>
      </c>
    </row>
    <row r="16" spans="2:13">
      <c r="B16" t="s">
        <v>175</v>
      </c>
      <c r="C16" t="s">
        <v>337</v>
      </c>
      <c r="D16" t="s">
        <v>338</v>
      </c>
      <c r="E16" t="s">
        <v>10</v>
      </c>
      <c r="F16" t="s">
        <v>21</v>
      </c>
      <c r="G16" t="s">
        <v>178</v>
      </c>
      <c r="H16" t="s">
        <v>179</v>
      </c>
      <c r="J16" t="s">
        <v>337</v>
      </c>
      <c r="K16" t="s">
        <v>314</v>
      </c>
      <c r="L16">
        <v>2.5331182456020541E-2</v>
      </c>
      <c r="M16">
        <v>0.10174329649985191</v>
      </c>
    </row>
    <row r="17" spans="2:13">
      <c r="B17" t="s">
        <v>175</v>
      </c>
      <c r="C17" t="s">
        <v>339</v>
      </c>
      <c r="D17" t="s">
        <v>340</v>
      </c>
      <c r="E17" t="s">
        <v>10</v>
      </c>
      <c r="F17" t="s">
        <v>21</v>
      </c>
      <c r="G17" t="s">
        <v>178</v>
      </c>
      <c r="H17" t="s">
        <v>179</v>
      </c>
      <c r="J17" t="s">
        <v>339</v>
      </c>
      <c r="K17" t="s">
        <v>304</v>
      </c>
      <c r="L17">
        <v>0.40509336740495844</v>
      </c>
      <c r="M17">
        <v>0.1251653949323632</v>
      </c>
    </row>
    <row r="18" spans="2:13">
      <c r="B18" t="s">
        <v>175</v>
      </c>
      <c r="C18" t="s">
        <v>341</v>
      </c>
      <c r="D18" t="s">
        <v>342</v>
      </c>
      <c r="E18" t="s">
        <v>10</v>
      </c>
      <c r="F18" t="s">
        <v>21</v>
      </c>
      <c r="G18" t="s">
        <v>178</v>
      </c>
      <c r="H18" t="s">
        <v>179</v>
      </c>
      <c r="J18" t="s">
        <v>341</v>
      </c>
      <c r="K18" t="s">
        <v>312</v>
      </c>
      <c r="L18">
        <v>0.38607242074967713</v>
      </c>
      <c r="M18">
        <v>0.1142138251233057</v>
      </c>
    </row>
    <row r="19" spans="2:13">
      <c r="B19" t="s">
        <v>175</v>
      </c>
      <c r="C19" t="s">
        <v>343</v>
      </c>
      <c r="D19" t="s">
        <v>344</v>
      </c>
      <c r="E19" t="s">
        <v>10</v>
      </c>
      <c r="F19" t="s">
        <v>21</v>
      </c>
      <c r="G19" t="s">
        <v>178</v>
      </c>
      <c r="H19" t="s">
        <v>179</v>
      </c>
      <c r="J19" t="s">
        <v>343</v>
      </c>
      <c r="K19" t="s">
        <v>321</v>
      </c>
      <c r="L19">
        <v>1.0612229212113009</v>
      </c>
      <c r="M19">
        <v>0.14779915155023299</v>
      </c>
    </row>
    <row r="20" spans="2:13">
      <c r="B20" t="s">
        <v>175</v>
      </c>
      <c r="C20" t="s">
        <v>345</v>
      </c>
      <c r="D20" t="s">
        <v>346</v>
      </c>
      <c r="E20" t="s">
        <v>10</v>
      </c>
      <c r="F20" t="s">
        <v>21</v>
      </c>
      <c r="G20" t="s">
        <v>178</v>
      </c>
      <c r="H20" t="s">
        <v>179</v>
      </c>
      <c r="J20" t="s">
        <v>345</v>
      </c>
      <c r="K20" t="s">
        <v>323</v>
      </c>
      <c r="L20">
        <v>0.26698243467862187</v>
      </c>
      <c r="M20">
        <v>0.11030030335467821</v>
      </c>
    </row>
    <row r="21" spans="2:13">
      <c r="B21" t="s">
        <v>175</v>
      </c>
      <c r="C21" t="s">
        <v>347</v>
      </c>
      <c r="D21" t="s">
        <v>348</v>
      </c>
      <c r="E21" t="s">
        <v>10</v>
      </c>
      <c r="F21" t="s">
        <v>21</v>
      </c>
      <c r="G21" t="s">
        <v>178</v>
      </c>
      <c r="H21" t="s">
        <v>179</v>
      </c>
      <c r="J21" t="s">
        <v>347</v>
      </c>
      <c r="K21" t="s">
        <v>316</v>
      </c>
      <c r="L21">
        <v>9.4990726367794626E-2</v>
      </c>
      <c r="M21">
        <v>0.1169364698808104</v>
      </c>
    </row>
    <row r="22" spans="2:13">
      <c r="B22" t="s">
        <v>175</v>
      </c>
      <c r="C22" t="s">
        <v>349</v>
      </c>
      <c r="D22" t="s">
        <v>350</v>
      </c>
      <c r="E22" t="s">
        <v>10</v>
      </c>
      <c r="F22" t="s">
        <v>21</v>
      </c>
      <c r="G22" t="s">
        <v>178</v>
      </c>
      <c r="H22" t="s">
        <v>179</v>
      </c>
      <c r="J22" t="s">
        <v>349</v>
      </c>
      <c r="K22" t="s">
        <v>318</v>
      </c>
      <c r="L22">
        <v>0.67786060958439753</v>
      </c>
      <c r="M22">
        <v>0.18255280698994311</v>
      </c>
    </row>
    <row r="23" spans="2:13">
      <c r="B23" t="s">
        <v>175</v>
      </c>
      <c r="C23" t="s">
        <v>351</v>
      </c>
      <c r="D23" t="s">
        <v>352</v>
      </c>
      <c r="E23" t="s">
        <v>10</v>
      </c>
      <c r="F23" t="s">
        <v>21</v>
      </c>
      <c r="G23" t="s">
        <v>178</v>
      </c>
      <c r="H23" t="s">
        <v>179</v>
      </c>
      <c r="J23" t="s">
        <v>351</v>
      </c>
      <c r="K23" t="s">
        <v>324</v>
      </c>
      <c r="L23">
        <v>1.1726864883934578</v>
      </c>
      <c r="M23">
        <v>0.1720855022228894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BEE73-BFEC-4F5C-BF1F-26E7981B5065}">
  <dimension ref="B9:U116"/>
  <sheetViews>
    <sheetView workbookViewId="0"/>
  </sheetViews>
  <sheetFormatPr defaultRowHeight="14.25"/>
  <sheetData>
    <row r="9" spans="2:21">
      <c r="B9" t="s">
        <v>353</v>
      </c>
      <c r="O9" t="s">
        <v>167</v>
      </c>
    </row>
    <row r="10" spans="2:21">
      <c r="B10" t="s">
        <v>169</v>
      </c>
      <c r="C10" t="s">
        <v>261</v>
      </c>
      <c r="D10" t="s">
        <v>209</v>
      </c>
      <c r="E10">
        <v>2020</v>
      </c>
      <c r="F10">
        <v>2024</v>
      </c>
      <c r="G10">
        <v>2025</v>
      </c>
      <c r="H10">
        <v>2030</v>
      </c>
      <c r="I10">
        <v>2035</v>
      </c>
      <c r="J10">
        <v>2040</v>
      </c>
      <c r="K10">
        <v>2045</v>
      </c>
      <c r="L10">
        <v>2050</v>
      </c>
      <c r="M10" t="s">
        <v>54</v>
      </c>
      <c r="O10" t="s">
        <v>168</v>
      </c>
      <c r="P10" t="s">
        <v>169</v>
      </c>
      <c r="Q10" t="s">
        <v>170</v>
      </c>
      <c r="R10" t="s">
        <v>171</v>
      </c>
      <c r="S10" t="s">
        <v>172</v>
      </c>
      <c r="T10" t="s">
        <v>173</v>
      </c>
      <c r="U10" t="s">
        <v>174</v>
      </c>
    </row>
    <row r="11" spans="2:21">
      <c r="B11" t="s">
        <v>354</v>
      </c>
      <c r="C11" t="s">
        <v>33</v>
      </c>
      <c r="D11" t="s">
        <v>19</v>
      </c>
      <c r="F11">
        <v>941</v>
      </c>
      <c r="I11">
        <v>941</v>
      </c>
      <c r="L11">
        <v>941</v>
      </c>
      <c r="M11" t="s">
        <v>355</v>
      </c>
      <c r="O11" t="s">
        <v>175</v>
      </c>
      <c r="P11" t="s">
        <v>354</v>
      </c>
      <c r="R11" t="s">
        <v>10</v>
      </c>
      <c r="S11" t="s">
        <v>21</v>
      </c>
      <c r="T11" t="s">
        <v>232</v>
      </c>
      <c r="U11" t="s">
        <v>382</v>
      </c>
    </row>
    <row r="12" spans="2:21">
      <c r="B12" t="s">
        <v>354</v>
      </c>
      <c r="C12" t="s">
        <v>33</v>
      </c>
      <c r="D12" t="s">
        <v>19</v>
      </c>
      <c r="F12">
        <v>23.5</v>
      </c>
      <c r="I12">
        <v>23.5</v>
      </c>
      <c r="L12">
        <v>23.5</v>
      </c>
      <c r="M12" t="s">
        <v>356</v>
      </c>
      <c r="O12" t="s">
        <v>175</v>
      </c>
      <c r="P12" t="s">
        <v>360</v>
      </c>
      <c r="R12" t="s">
        <v>10</v>
      </c>
      <c r="S12" t="s">
        <v>21</v>
      </c>
      <c r="T12" t="s">
        <v>232</v>
      </c>
      <c r="U12" t="s">
        <v>382</v>
      </c>
    </row>
    <row r="13" spans="2:21">
      <c r="B13" t="s">
        <v>354</v>
      </c>
      <c r="C13" t="s">
        <v>33</v>
      </c>
      <c r="D13" t="s">
        <v>19</v>
      </c>
      <c r="F13">
        <v>0.58899999999999997</v>
      </c>
      <c r="I13">
        <v>0.54400000000000004</v>
      </c>
      <c r="L13">
        <v>0.497</v>
      </c>
      <c r="M13" t="s">
        <v>357</v>
      </c>
      <c r="O13" t="s">
        <v>383</v>
      </c>
      <c r="P13" t="s">
        <v>361</v>
      </c>
      <c r="R13" t="s">
        <v>10</v>
      </c>
      <c r="S13" t="s">
        <v>21</v>
      </c>
      <c r="T13" t="s">
        <v>232</v>
      </c>
      <c r="U13" t="s">
        <v>382</v>
      </c>
    </row>
    <row r="14" spans="2:21">
      <c r="B14" t="s">
        <v>354</v>
      </c>
      <c r="C14" t="s">
        <v>33</v>
      </c>
      <c r="D14" t="s">
        <v>19</v>
      </c>
      <c r="F14">
        <v>0.59</v>
      </c>
      <c r="I14">
        <v>0.61</v>
      </c>
      <c r="L14">
        <v>0.61</v>
      </c>
      <c r="M14" t="s">
        <v>145</v>
      </c>
      <c r="O14" t="s">
        <v>175</v>
      </c>
      <c r="P14" t="s">
        <v>365</v>
      </c>
      <c r="R14" t="s">
        <v>10</v>
      </c>
      <c r="S14" t="s">
        <v>21</v>
      </c>
      <c r="T14" t="s">
        <v>232</v>
      </c>
      <c r="U14" t="s">
        <v>382</v>
      </c>
    </row>
    <row r="15" spans="2:21">
      <c r="B15" t="s">
        <v>354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 t="s">
        <v>358</v>
      </c>
      <c r="O15" t="s">
        <v>175</v>
      </c>
      <c r="P15" t="s">
        <v>367</v>
      </c>
      <c r="R15" t="s">
        <v>10</v>
      </c>
      <c r="S15" t="s">
        <v>21</v>
      </c>
      <c r="T15" t="s">
        <v>232</v>
      </c>
      <c r="U15" t="s">
        <v>382</v>
      </c>
    </row>
    <row r="16" spans="2:21">
      <c r="B16" t="s">
        <v>354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 t="s">
        <v>359</v>
      </c>
      <c r="O16" t="s">
        <v>175</v>
      </c>
      <c r="P16" t="s">
        <v>368</v>
      </c>
      <c r="R16" t="s">
        <v>10</v>
      </c>
      <c r="S16" t="s">
        <v>21</v>
      </c>
      <c r="T16" t="s">
        <v>232</v>
      </c>
      <c r="U16" t="s">
        <v>382</v>
      </c>
    </row>
    <row r="17" spans="2:21">
      <c r="B17" t="s">
        <v>360</v>
      </c>
      <c r="C17" t="s">
        <v>33</v>
      </c>
      <c r="D17" t="s">
        <v>19</v>
      </c>
      <c r="F17">
        <v>470.5</v>
      </c>
      <c r="I17">
        <v>470.5</v>
      </c>
      <c r="L17">
        <v>470.5</v>
      </c>
      <c r="M17" t="s">
        <v>355</v>
      </c>
      <c r="O17" t="s">
        <v>175</v>
      </c>
      <c r="P17" t="s">
        <v>369</v>
      </c>
      <c r="R17" t="s">
        <v>10</v>
      </c>
      <c r="S17" t="s">
        <v>21</v>
      </c>
      <c r="T17" t="s">
        <v>232</v>
      </c>
      <c r="U17" t="s">
        <v>382</v>
      </c>
    </row>
    <row r="18" spans="2:21">
      <c r="B18" t="s">
        <v>360</v>
      </c>
      <c r="C18" t="s">
        <v>33</v>
      </c>
      <c r="D18" t="s">
        <v>19</v>
      </c>
      <c r="F18">
        <v>18.8</v>
      </c>
      <c r="I18">
        <v>18.8</v>
      </c>
      <c r="L18">
        <v>18.8</v>
      </c>
      <c r="M18" t="s">
        <v>356</v>
      </c>
      <c r="O18" t="s">
        <v>175</v>
      </c>
      <c r="P18" t="s">
        <v>370</v>
      </c>
      <c r="R18" t="s">
        <v>10</v>
      </c>
      <c r="S18" t="s">
        <v>21</v>
      </c>
      <c r="T18" t="s">
        <v>232</v>
      </c>
      <c r="U18" t="s">
        <v>382</v>
      </c>
    </row>
    <row r="19" spans="2:21">
      <c r="B19" t="s">
        <v>360</v>
      </c>
      <c r="C19" t="s">
        <v>33</v>
      </c>
      <c r="D19" t="s">
        <v>19</v>
      </c>
      <c r="F19">
        <v>1.9279999999999999</v>
      </c>
      <c r="I19">
        <v>1.9279999999999999</v>
      </c>
      <c r="L19">
        <v>1.9279999999999999</v>
      </c>
      <c r="M19" t="s">
        <v>357</v>
      </c>
      <c r="O19" t="s">
        <v>175</v>
      </c>
      <c r="P19" t="s">
        <v>371</v>
      </c>
      <c r="R19" t="s">
        <v>10</v>
      </c>
      <c r="S19" t="s">
        <v>21</v>
      </c>
      <c r="T19" t="s">
        <v>232</v>
      </c>
      <c r="U19" t="s">
        <v>382</v>
      </c>
    </row>
    <row r="20" spans="2:21">
      <c r="B20" t="s">
        <v>360</v>
      </c>
      <c r="C20" t="s">
        <v>33</v>
      </c>
      <c r="D20" t="s">
        <v>19</v>
      </c>
      <c r="F20">
        <v>0.41</v>
      </c>
      <c r="I20">
        <v>0.42</v>
      </c>
      <c r="L20">
        <v>0.42</v>
      </c>
      <c r="M20" t="s">
        <v>145</v>
      </c>
      <c r="O20" t="s">
        <v>175</v>
      </c>
      <c r="P20" t="s">
        <v>372</v>
      </c>
      <c r="R20" t="s">
        <v>10</v>
      </c>
      <c r="S20" t="s">
        <v>21</v>
      </c>
      <c r="T20" t="s">
        <v>232</v>
      </c>
      <c r="U20" t="s">
        <v>382</v>
      </c>
    </row>
    <row r="21" spans="2:21">
      <c r="B21" t="s">
        <v>360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>
        <v>30</v>
      </c>
      <c r="L21">
        <v>30</v>
      </c>
      <c r="M21" t="s">
        <v>358</v>
      </c>
      <c r="O21" t="s">
        <v>175</v>
      </c>
      <c r="P21" t="s">
        <v>373</v>
      </c>
      <c r="R21" t="s">
        <v>10</v>
      </c>
      <c r="S21" t="s">
        <v>21</v>
      </c>
      <c r="T21" t="s">
        <v>232</v>
      </c>
      <c r="U21" t="s">
        <v>382</v>
      </c>
    </row>
    <row r="22" spans="2:21">
      <c r="B22" t="s">
        <v>360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 t="s">
        <v>359</v>
      </c>
      <c r="O22" t="s">
        <v>383</v>
      </c>
      <c r="P22" t="s">
        <v>375</v>
      </c>
      <c r="R22" t="s">
        <v>10</v>
      </c>
      <c r="S22" t="s">
        <v>21</v>
      </c>
      <c r="T22" t="s">
        <v>232</v>
      </c>
      <c r="U22" t="s">
        <v>382</v>
      </c>
    </row>
    <row r="23" spans="2:21">
      <c r="B23" t="s">
        <v>361</v>
      </c>
      <c r="C23" t="s">
        <v>33</v>
      </c>
      <c r="D23" t="s">
        <v>362</v>
      </c>
      <c r="E23">
        <v>967.6</v>
      </c>
      <c r="H23">
        <v>912.6</v>
      </c>
      <c r="L23">
        <v>879.6</v>
      </c>
      <c r="M23" t="s">
        <v>355</v>
      </c>
      <c r="O23" t="s">
        <v>384</v>
      </c>
      <c r="P23" t="s">
        <v>376</v>
      </c>
      <c r="R23" t="s">
        <v>10</v>
      </c>
      <c r="S23" t="s">
        <v>21</v>
      </c>
      <c r="T23" t="s">
        <v>385</v>
      </c>
      <c r="U23" t="s">
        <v>382</v>
      </c>
    </row>
    <row r="24" spans="2:21">
      <c r="B24" t="s">
        <v>361</v>
      </c>
      <c r="C24" t="s">
        <v>33</v>
      </c>
      <c r="D24" t="s">
        <v>362</v>
      </c>
      <c r="E24">
        <v>32.200000000000003</v>
      </c>
      <c r="H24">
        <v>30.6</v>
      </c>
      <c r="L24">
        <v>28.6</v>
      </c>
      <c r="M24" t="s">
        <v>356</v>
      </c>
      <c r="O24" t="s">
        <v>384</v>
      </c>
      <c r="P24" t="s">
        <v>377</v>
      </c>
      <c r="R24" t="s">
        <v>10</v>
      </c>
      <c r="S24" t="s">
        <v>21</v>
      </c>
      <c r="T24" t="s">
        <v>385</v>
      </c>
      <c r="U24" t="s">
        <v>382</v>
      </c>
    </row>
    <row r="25" spans="2:21">
      <c r="B25" t="s">
        <v>361</v>
      </c>
      <c r="C25" t="s">
        <v>33</v>
      </c>
      <c r="D25" t="s">
        <v>362</v>
      </c>
      <c r="E25">
        <v>1.3</v>
      </c>
      <c r="H25">
        <v>1.3</v>
      </c>
      <c r="L25">
        <v>1.2</v>
      </c>
      <c r="M25" t="s">
        <v>357</v>
      </c>
      <c r="O25" t="s">
        <v>384</v>
      </c>
      <c r="P25" t="s">
        <v>378</v>
      </c>
      <c r="R25" t="s">
        <v>10</v>
      </c>
      <c r="S25" t="s">
        <v>21</v>
      </c>
      <c r="T25" t="s">
        <v>232</v>
      </c>
      <c r="U25" t="s">
        <v>382</v>
      </c>
    </row>
    <row r="26" spans="2:21">
      <c r="B26" t="s">
        <v>361</v>
      </c>
      <c r="C26" t="s">
        <v>33</v>
      </c>
      <c r="D26" t="s">
        <v>362</v>
      </c>
      <c r="E26">
        <v>0.56000000000000005</v>
      </c>
      <c r="H26">
        <v>0.57999999999999996</v>
      </c>
      <c r="L26">
        <v>0.6</v>
      </c>
      <c r="M26" t="s">
        <v>145</v>
      </c>
      <c r="O26" t="s">
        <v>384</v>
      </c>
      <c r="P26" t="s">
        <v>379</v>
      </c>
      <c r="R26" t="s">
        <v>10</v>
      </c>
      <c r="S26" t="s">
        <v>21</v>
      </c>
      <c r="T26" t="s">
        <v>232</v>
      </c>
      <c r="U26" t="s">
        <v>382</v>
      </c>
    </row>
    <row r="27" spans="2:21">
      <c r="B27" t="s">
        <v>361</v>
      </c>
      <c r="C27" t="s">
        <v>33</v>
      </c>
      <c r="D27" t="s">
        <v>362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>
        <v>25</v>
      </c>
      <c r="L27">
        <v>25</v>
      </c>
      <c r="M27" t="s">
        <v>358</v>
      </c>
      <c r="O27" t="s">
        <v>383</v>
      </c>
      <c r="P27" t="s">
        <v>380</v>
      </c>
      <c r="R27" t="s">
        <v>10</v>
      </c>
      <c r="S27" t="s">
        <v>21</v>
      </c>
      <c r="T27" t="s">
        <v>232</v>
      </c>
      <c r="U27" t="s">
        <v>382</v>
      </c>
    </row>
    <row r="28" spans="2:21">
      <c r="B28" t="s">
        <v>361</v>
      </c>
      <c r="C28" t="s">
        <v>33</v>
      </c>
      <c r="D28" t="s">
        <v>362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 t="s">
        <v>359</v>
      </c>
    </row>
    <row r="29" spans="2:21">
      <c r="B29" t="s">
        <v>361</v>
      </c>
      <c r="C29" t="s">
        <v>33</v>
      </c>
      <c r="D29" t="s">
        <v>362</v>
      </c>
      <c r="E29">
        <v>0.55559999999999998</v>
      </c>
      <c r="H29">
        <v>0.5</v>
      </c>
      <c r="L29">
        <v>0.45450000000000002</v>
      </c>
      <c r="M29" t="s">
        <v>363</v>
      </c>
    </row>
    <row r="30" spans="2:21">
      <c r="B30" t="s">
        <v>361</v>
      </c>
      <c r="C30" t="s">
        <v>33</v>
      </c>
      <c r="D30" t="s">
        <v>362</v>
      </c>
      <c r="E30">
        <v>0.15</v>
      </c>
      <c r="H30">
        <v>0.15</v>
      </c>
      <c r="L30">
        <v>0.15</v>
      </c>
      <c r="M30" t="s">
        <v>364</v>
      </c>
    </row>
    <row r="31" spans="2:21">
      <c r="B31" t="s">
        <v>365</v>
      </c>
      <c r="C31" t="s">
        <v>33</v>
      </c>
      <c r="D31" t="s">
        <v>366</v>
      </c>
      <c r="F31">
        <v>2917</v>
      </c>
      <c r="I31">
        <v>2681.7</v>
      </c>
      <c r="L31">
        <v>2446.5</v>
      </c>
      <c r="M31" t="s">
        <v>355</v>
      </c>
    </row>
    <row r="32" spans="2:21">
      <c r="B32" t="s">
        <v>365</v>
      </c>
      <c r="C32" t="s">
        <v>33</v>
      </c>
      <c r="D32" t="s">
        <v>366</v>
      </c>
      <c r="F32">
        <v>70.599999999999994</v>
      </c>
      <c r="I32">
        <v>65.900000000000006</v>
      </c>
      <c r="L32">
        <v>61.2</v>
      </c>
      <c r="M32" t="s">
        <v>356</v>
      </c>
    </row>
    <row r="33" spans="2:13">
      <c r="B33" t="s">
        <v>365</v>
      </c>
      <c r="C33" t="s">
        <v>33</v>
      </c>
      <c r="D33" t="s">
        <v>366</v>
      </c>
      <c r="F33">
        <v>1.294</v>
      </c>
      <c r="I33">
        <v>1.1060000000000001</v>
      </c>
      <c r="L33">
        <v>0.98899999999999999</v>
      </c>
      <c r="M33" t="s">
        <v>357</v>
      </c>
    </row>
    <row r="34" spans="2:13">
      <c r="B34" t="s">
        <v>365</v>
      </c>
      <c r="C34" t="s">
        <v>33</v>
      </c>
      <c r="D34" t="s">
        <v>366</v>
      </c>
      <c r="F34">
        <v>0.52</v>
      </c>
      <c r="I34">
        <v>0.54</v>
      </c>
      <c r="L34">
        <v>0.54</v>
      </c>
      <c r="M34" t="s">
        <v>145</v>
      </c>
    </row>
    <row r="35" spans="2:13">
      <c r="B35" t="s">
        <v>365</v>
      </c>
      <c r="C35" t="s">
        <v>33</v>
      </c>
      <c r="D35" t="s">
        <v>366</v>
      </c>
      <c r="E35">
        <v>30</v>
      </c>
      <c r="F35">
        <v>30</v>
      </c>
      <c r="G35">
        <v>30</v>
      </c>
      <c r="H35">
        <v>30</v>
      </c>
      <c r="I35">
        <v>30</v>
      </c>
      <c r="J35">
        <v>30</v>
      </c>
      <c r="K35">
        <v>30</v>
      </c>
      <c r="L35">
        <v>30</v>
      </c>
      <c r="M35" t="s">
        <v>358</v>
      </c>
    </row>
    <row r="36" spans="2:13">
      <c r="B36" t="s">
        <v>365</v>
      </c>
      <c r="C36" t="s">
        <v>33</v>
      </c>
      <c r="D36" t="s">
        <v>366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 t="s">
        <v>359</v>
      </c>
    </row>
    <row r="37" spans="2:13">
      <c r="B37" t="s">
        <v>367</v>
      </c>
      <c r="C37" t="s">
        <v>32</v>
      </c>
      <c r="D37" t="s">
        <v>19</v>
      </c>
      <c r="F37">
        <v>1599.6</v>
      </c>
      <c r="I37">
        <v>1599.6</v>
      </c>
      <c r="L37">
        <v>1599.6</v>
      </c>
      <c r="M37" t="s">
        <v>355</v>
      </c>
    </row>
    <row r="38" spans="2:13">
      <c r="B38" t="s">
        <v>367</v>
      </c>
      <c r="C38" t="s">
        <v>32</v>
      </c>
      <c r="D38" t="s">
        <v>19</v>
      </c>
      <c r="F38">
        <v>42.3</v>
      </c>
      <c r="I38">
        <v>42.3</v>
      </c>
      <c r="L38">
        <v>42.3</v>
      </c>
      <c r="M38" t="s">
        <v>356</v>
      </c>
    </row>
    <row r="39" spans="2:13">
      <c r="B39" t="s">
        <v>367</v>
      </c>
      <c r="C39" t="s">
        <v>32</v>
      </c>
      <c r="D39" t="s">
        <v>19</v>
      </c>
      <c r="F39">
        <v>2.3610000000000002</v>
      </c>
      <c r="I39">
        <v>2.3610000000000002</v>
      </c>
      <c r="L39">
        <v>2.3610000000000002</v>
      </c>
      <c r="M39" t="s">
        <v>357</v>
      </c>
    </row>
    <row r="40" spans="2:13">
      <c r="B40" t="s">
        <v>367</v>
      </c>
      <c r="C40" t="s">
        <v>32</v>
      </c>
      <c r="D40" t="s">
        <v>19</v>
      </c>
      <c r="F40">
        <v>0.39</v>
      </c>
      <c r="I40">
        <v>0.39</v>
      </c>
      <c r="L40">
        <v>0.39</v>
      </c>
      <c r="M40" t="s">
        <v>145</v>
      </c>
    </row>
    <row r="41" spans="2:13">
      <c r="B41" t="s">
        <v>367</v>
      </c>
      <c r="C41" t="s">
        <v>32</v>
      </c>
      <c r="D41" t="s">
        <v>19</v>
      </c>
      <c r="E41">
        <v>40</v>
      </c>
      <c r="F41">
        <v>40</v>
      </c>
      <c r="G41">
        <v>40</v>
      </c>
      <c r="H41">
        <v>40</v>
      </c>
      <c r="I41">
        <v>40</v>
      </c>
      <c r="J41">
        <v>40</v>
      </c>
      <c r="K41">
        <v>40</v>
      </c>
      <c r="L41">
        <v>40</v>
      </c>
      <c r="M41" t="s">
        <v>358</v>
      </c>
    </row>
    <row r="42" spans="2:13">
      <c r="B42" t="s">
        <v>367</v>
      </c>
      <c r="C42" t="s">
        <v>32</v>
      </c>
      <c r="D42" t="s">
        <v>19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 t="s">
        <v>359</v>
      </c>
    </row>
    <row r="43" spans="2:13">
      <c r="B43" t="s">
        <v>368</v>
      </c>
      <c r="C43" t="s">
        <v>32</v>
      </c>
      <c r="D43" t="s">
        <v>19</v>
      </c>
      <c r="F43">
        <v>1881.9</v>
      </c>
      <c r="I43">
        <v>1881.9</v>
      </c>
      <c r="L43">
        <v>1881.9</v>
      </c>
      <c r="M43" t="s">
        <v>355</v>
      </c>
    </row>
    <row r="44" spans="2:13">
      <c r="B44" t="s">
        <v>368</v>
      </c>
      <c r="C44" t="s">
        <v>32</v>
      </c>
      <c r="D44" t="s">
        <v>19</v>
      </c>
      <c r="F44">
        <v>56.5</v>
      </c>
      <c r="I44">
        <v>56.5</v>
      </c>
      <c r="L44">
        <v>56.5</v>
      </c>
      <c r="M44" t="s">
        <v>356</v>
      </c>
    </row>
    <row r="45" spans="2:13">
      <c r="B45" t="s">
        <v>368</v>
      </c>
      <c r="C45" t="s">
        <v>32</v>
      </c>
      <c r="D45" t="s">
        <v>19</v>
      </c>
      <c r="F45">
        <v>2.5499999999999998</v>
      </c>
      <c r="I45">
        <v>2.4420000000000002</v>
      </c>
      <c r="L45">
        <v>2.3170000000000002</v>
      </c>
      <c r="M45" t="s">
        <v>357</v>
      </c>
    </row>
    <row r="46" spans="2:13">
      <c r="B46" t="s">
        <v>368</v>
      </c>
      <c r="C46" t="s">
        <v>32</v>
      </c>
      <c r="D46" t="s">
        <v>19</v>
      </c>
      <c r="F46">
        <v>0.43</v>
      </c>
      <c r="I46">
        <v>0.43</v>
      </c>
      <c r="L46">
        <v>0.43</v>
      </c>
      <c r="M46" t="s">
        <v>145</v>
      </c>
    </row>
    <row r="47" spans="2:13">
      <c r="B47" t="s">
        <v>368</v>
      </c>
      <c r="C47" t="s">
        <v>32</v>
      </c>
      <c r="D47" t="s">
        <v>19</v>
      </c>
      <c r="E47">
        <v>40</v>
      </c>
      <c r="F47">
        <v>40</v>
      </c>
      <c r="G47">
        <v>40</v>
      </c>
      <c r="H47">
        <v>40</v>
      </c>
      <c r="I47">
        <v>40</v>
      </c>
      <c r="J47">
        <v>40</v>
      </c>
      <c r="K47">
        <v>40</v>
      </c>
      <c r="L47">
        <v>40</v>
      </c>
      <c r="M47" t="s">
        <v>358</v>
      </c>
    </row>
    <row r="48" spans="2:13">
      <c r="B48" t="s">
        <v>368</v>
      </c>
      <c r="C48" t="s">
        <v>32</v>
      </c>
      <c r="D48" t="s">
        <v>19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 t="s">
        <v>359</v>
      </c>
    </row>
    <row r="49" spans="2:13">
      <c r="B49" t="s">
        <v>369</v>
      </c>
      <c r="C49" t="s">
        <v>32</v>
      </c>
      <c r="D49" t="s">
        <v>19</v>
      </c>
      <c r="F49">
        <v>2070.1</v>
      </c>
      <c r="I49">
        <v>2070.1</v>
      </c>
      <c r="L49">
        <v>2070.1</v>
      </c>
      <c r="M49" t="s">
        <v>355</v>
      </c>
    </row>
    <row r="50" spans="2:13">
      <c r="B50" t="s">
        <v>369</v>
      </c>
      <c r="C50" t="s">
        <v>32</v>
      </c>
      <c r="D50" t="s">
        <v>19</v>
      </c>
      <c r="F50">
        <v>61.2</v>
      </c>
      <c r="I50">
        <v>61.2</v>
      </c>
      <c r="L50">
        <v>61.2</v>
      </c>
      <c r="M50" t="s">
        <v>356</v>
      </c>
    </row>
    <row r="51" spans="2:13">
      <c r="B51" t="s">
        <v>369</v>
      </c>
      <c r="C51" t="s">
        <v>32</v>
      </c>
      <c r="D51" t="s">
        <v>19</v>
      </c>
      <c r="F51">
        <v>2.6389999999999998</v>
      </c>
      <c r="I51">
        <v>2.6389999999999998</v>
      </c>
      <c r="L51">
        <v>2.6389999999999998</v>
      </c>
      <c r="M51" t="s">
        <v>357</v>
      </c>
    </row>
    <row r="52" spans="2:13">
      <c r="B52" t="s">
        <v>369</v>
      </c>
      <c r="C52" t="s">
        <v>32</v>
      </c>
      <c r="D52" t="s">
        <v>19</v>
      </c>
      <c r="F52">
        <v>0.46</v>
      </c>
      <c r="I52">
        <v>0.47</v>
      </c>
      <c r="L52">
        <v>0.48</v>
      </c>
      <c r="M52" t="s">
        <v>145</v>
      </c>
    </row>
    <row r="53" spans="2:13">
      <c r="B53" t="s">
        <v>369</v>
      </c>
      <c r="C53" t="s">
        <v>32</v>
      </c>
      <c r="D53" t="s">
        <v>19</v>
      </c>
      <c r="E53">
        <v>40</v>
      </c>
      <c r="F53">
        <v>40</v>
      </c>
      <c r="G53">
        <v>40</v>
      </c>
      <c r="H53">
        <v>40</v>
      </c>
      <c r="I53">
        <v>40</v>
      </c>
      <c r="J53">
        <v>40</v>
      </c>
      <c r="K53">
        <v>40</v>
      </c>
      <c r="L53">
        <v>40</v>
      </c>
      <c r="M53" t="s">
        <v>358</v>
      </c>
    </row>
    <row r="54" spans="2:13">
      <c r="B54" t="s">
        <v>369</v>
      </c>
      <c r="C54" t="s">
        <v>32</v>
      </c>
      <c r="D54" t="s">
        <v>19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 t="s">
        <v>359</v>
      </c>
    </row>
    <row r="55" spans="2:13">
      <c r="B55" t="s">
        <v>370</v>
      </c>
      <c r="C55" t="s">
        <v>32</v>
      </c>
      <c r="D55" t="s">
        <v>19</v>
      </c>
      <c r="F55">
        <v>2352.4</v>
      </c>
      <c r="I55">
        <v>2164.1999999999998</v>
      </c>
      <c r="L55">
        <v>2164.1999999999998</v>
      </c>
      <c r="M55" t="s">
        <v>355</v>
      </c>
    </row>
    <row r="56" spans="2:13">
      <c r="B56" t="s">
        <v>370</v>
      </c>
      <c r="C56" t="s">
        <v>32</v>
      </c>
      <c r="D56" t="s">
        <v>19</v>
      </c>
      <c r="F56">
        <v>84.7</v>
      </c>
      <c r="I56">
        <v>75.3</v>
      </c>
      <c r="L56">
        <v>75.3</v>
      </c>
      <c r="M56" t="s">
        <v>356</v>
      </c>
    </row>
    <row r="57" spans="2:13">
      <c r="B57" t="s">
        <v>370</v>
      </c>
      <c r="C57" t="s">
        <v>32</v>
      </c>
      <c r="D57" t="s">
        <v>19</v>
      </c>
      <c r="F57">
        <v>0.46</v>
      </c>
      <c r="I57">
        <v>0.49</v>
      </c>
      <c r="L57">
        <v>0.5</v>
      </c>
      <c r="M57" t="s">
        <v>145</v>
      </c>
    </row>
    <row r="58" spans="2:13">
      <c r="B58" t="s">
        <v>370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>
        <v>40</v>
      </c>
      <c r="L58">
        <v>40</v>
      </c>
      <c r="M58" t="s">
        <v>358</v>
      </c>
    </row>
    <row r="59" spans="2:13">
      <c r="B59" t="s">
        <v>370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 t="s">
        <v>359</v>
      </c>
    </row>
    <row r="60" spans="2:13">
      <c r="B60" t="s">
        <v>371</v>
      </c>
      <c r="C60" t="s">
        <v>36</v>
      </c>
      <c r="D60" t="s">
        <v>19</v>
      </c>
      <c r="F60">
        <v>6210.4</v>
      </c>
      <c r="I60">
        <v>4704.8</v>
      </c>
      <c r="L60">
        <v>4234.3</v>
      </c>
      <c r="M60" t="s">
        <v>355</v>
      </c>
    </row>
    <row r="61" spans="2:13">
      <c r="B61" t="s">
        <v>371</v>
      </c>
      <c r="C61" t="s">
        <v>36</v>
      </c>
      <c r="D61" t="s">
        <v>19</v>
      </c>
      <c r="F61">
        <v>155.30000000000001</v>
      </c>
      <c r="I61">
        <v>160</v>
      </c>
      <c r="L61">
        <v>150.6</v>
      </c>
      <c r="M61" t="s">
        <v>356</v>
      </c>
    </row>
    <row r="62" spans="2:13">
      <c r="B62" t="s">
        <v>371</v>
      </c>
      <c r="C62" t="s">
        <v>36</v>
      </c>
      <c r="D62" t="s">
        <v>19</v>
      </c>
      <c r="I62">
        <v>0.77800000000000002</v>
      </c>
      <c r="L62">
        <v>0.77800000000000002</v>
      </c>
      <c r="M62" t="s">
        <v>357</v>
      </c>
    </row>
    <row r="63" spans="2:13">
      <c r="B63" t="s">
        <v>371</v>
      </c>
      <c r="C63" t="s">
        <v>36</v>
      </c>
      <c r="D63" t="s">
        <v>19</v>
      </c>
      <c r="E63">
        <v>60</v>
      </c>
      <c r="F63">
        <v>60</v>
      </c>
      <c r="G63">
        <v>60</v>
      </c>
      <c r="H63">
        <v>60</v>
      </c>
      <c r="I63">
        <v>60</v>
      </c>
      <c r="J63">
        <v>60</v>
      </c>
      <c r="K63">
        <v>60</v>
      </c>
      <c r="L63">
        <v>60</v>
      </c>
      <c r="M63" t="s">
        <v>358</v>
      </c>
    </row>
    <row r="64" spans="2:13">
      <c r="B64" t="s">
        <v>371</v>
      </c>
      <c r="C64" t="s">
        <v>36</v>
      </c>
      <c r="D64" t="s">
        <v>19</v>
      </c>
      <c r="E64">
        <v>7</v>
      </c>
      <c r="F64">
        <v>7</v>
      </c>
      <c r="G64">
        <v>7</v>
      </c>
      <c r="H64">
        <v>7</v>
      </c>
      <c r="I64">
        <v>7</v>
      </c>
      <c r="J64">
        <v>7</v>
      </c>
      <c r="K64">
        <v>7</v>
      </c>
      <c r="L64">
        <v>7</v>
      </c>
      <c r="M64" t="s">
        <v>359</v>
      </c>
    </row>
    <row r="65" spans="2:13">
      <c r="B65" t="s">
        <v>372</v>
      </c>
      <c r="C65" t="s">
        <v>36</v>
      </c>
      <c r="D65" t="s">
        <v>19</v>
      </c>
      <c r="H65">
        <v>10266</v>
      </c>
      <c r="I65">
        <v>8364.9</v>
      </c>
      <c r="J65">
        <v>6373.8</v>
      </c>
      <c r="K65">
        <v>5480.2</v>
      </c>
      <c r="L65">
        <v>4884.6000000000004</v>
      </c>
      <c r="M65" t="s">
        <v>355</v>
      </c>
    </row>
    <row r="66" spans="2:13">
      <c r="B66" t="s">
        <v>372</v>
      </c>
      <c r="C66" t="s">
        <v>36</v>
      </c>
      <c r="D66" t="s">
        <v>19</v>
      </c>
      <c r="H66">
        <v>144.69999999999999</v>
      </c>
      <c r="I66">
        <v>144.69999999999999</v>
      </c>
      <c r="J66">
        <v>136</v>
      </c>
      <c r="K66">
        <v>136</v>
      </c>
      <c r="L66">
        <v>136</v>
      </c>
      <c r="M66" t="s">
        <v>356</v>
      </c>
    </row>
    <row r="67" spans="2:13">
      <c r="B67" t="s">
        <v>372</v>
      </c>
      <c r="C67" t="s">
        <v>36</v>
      </c>
      <c r="D67" t="s">
        <v>19</v>
      </c>
      <c r="H67">
        <v>0.72199999999999998</v>
      </c>
      <c r="I67">
        <v>0.72199999999999998</v>
      </c>
      <c r="J67">
        <v>0.72199999999999998</v>
      </c>
      <c r="K67">
        <v>0.72199999999999998</v>
      </c>
      <c r="L67">
        <v>0.72199999999999998</v>
      </c>
      <c r="M67" t="s">
        <v>357</v>
      </c>
    </row>
    <row r="68" spans="2:13">
      <c r="B68" t="s">
        <v>372</v>
      </c>
      <c r="C68" t="s">
        <v>36</v>
      </c>
      <c r="D68" t="s">
        <v>19</v>
      </c>
      <c r="E68">
        <v>40</v>
      </c>
      <c r="F68">
        <v>40</v>
      </c>
      <c r="G68">
        <v>40</v>
      </c>
      <c r="H68">
        <v>40</v>
      </c>
      <c r="I68">
        <v>40</v>
      </c>
      <c r="J68">
        <v>40</v>
      </c>
      <c r="K68">
        <v>40</v>
      </c>
      <c r="L68">
        <v>40</v>
      </c>
      <c r="M68" t="s">
        <v>358</v>
      </c>
    </row>
    <row r="69" spans="2:13">
      <c r="B69" t="s">
        <v>372</v>
      </c>
      <c r="C69" t="s">
        <v>36</v>
      </c>
      <c r="D69" t="s">
        <v>19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 t="s">
        <v>359</v>
      </c>
    </row>
    <row r="70" spans="2:13">
      <c r="B70" t="s">
        <v>373</v>
      </c>
      <c r="C70" t="s">
        <v>31</v>
      </c>
      <c r="D70" t="s">
        <v>19</v>
      </c>
      <c r="F70">
        <v>2258.3000000000002</v>
      </c>
      <c r="I70">
        <v>2211.3000000000002</v>
      </c>
      <c r="L70">
        <v>2164.1999999999998</v>
      </c>
      <c r="M70" t="s">
        <v>355</v>
      </c>
    </row>
    <row r="71" spans="2:13">
      <c r="B71" t="s">
        <v>373</v>
      </c>
      <c r="C71" t="s">
        <v>31</v>
      </c>
      <c r="D71" t="s">
        <v>19</v>
      </c>
      <c r="F71">
        <v>80</v>
      </c>
      <c r="I71">
        <v>75.3</v>
      </c>
      <c r="L71">
        <v>75.3</v>
      </c>
      <c r="M71" t="s">
        <v>356</v>
      </c>
    </row>
    <row r="72" spans="2:13">
      <c r="B72" t="s">
        <v>373</v>
      </c>
      <c r="C72" t="s">
        <v>31</v>
      </c>
      <c r="D72" t="s">
        <v>19</v>
      </c>
      <c r="F72">
        <v>1.4570000000000001</v>
      </c>
      <c r="I72">
        <v>1.4570000000000001</v>
      </c>
      <c r="L72">
        <v>1.4570000000000001</v>
      </c>
      <c r="M72" t="s">
        <v>357</v>
      </c>
    </row>
    <row r="73" spans="2:13">
      <c r="B73" t="s">
        <v>373</v>
      </c>
      <c r="C73" t="s">
        <v>31</v>
      </c>
      <c r="D73" t="s">
        <v>19</v>
      </c>
      <c r="F73">
        <v>0.35</v>
      </c>
      <c r="I73">
        <v>0.35</v>
      </c>
      <c r="L73">
        <v>0.35</v>
      </c>
      <c r="M73" t="s">
        <v>145</v>
      </c>
    </row>
    <row r="74" spans="2:13">
      <c r="B74" t="s">
        <v>373</v>
      </c>
      <c r="C74" t="s">
        <v>31</v>
      </c>
      <c r="D74" t="s">
        <v>19</v>
      </c>
      <c r="F74">
        <v>0.6</v>
      </c>
      <c r="I74">
        <v>0.6</v>
      </c>
      <c r="L74">
        <v>0.6</v>
      </c>
      <c r="M74" t="s">
        <v>374</v>
      </c>
    </row>
    <row r="75" spans="2:13">
      <c r="B75" t="s">
        <v>373</v>
      </c>
      <c r="C75" t="s">
        <v>31</v>
      </c>
      <c r="D75" t="s">
        <v>19</v>
      </c>
      <c r="E75">
        <v>45</v>
      </c>
      <c r="F75">
        <v>45</v>
      </c>
      <c r="G75">
        <v>45</v>
      </c>
      <c r="H75">
        <v>45</v>
      </c>
      <c r="I75">
        <v>45</v>
      </c>
      <c r="J75">
        <v>45</v>
      </c>
      <c r="K75">
        <v>45</v>
      </c>
      <c r="L75">
        <v>45</v>
      </c>
      <c r="M75" t="s">
        <v>358</v>
      </c>
    </row>
    <row r="76" spans="2:13">
      <c r="B76" t="s">
        <v>373</v>
      </c>
      <c r="C76" t="s">
        <v>31</v>
      </c>
      <c r="D76" t="s">
        <v>19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 t="s">
        <v>359</v>
      </c>
    </row>
    <row r="77" spans="2:13">
      <c r="B77" t="s">
        <v>375</v>
      </c>
      <c r="C77" t="s">
        <v>31</v>
      </c>
      <c r="D77" t="s">
        <v>362</v>
      </c>
      <c r="E77">
        <v>2748.9</v>
      </c>
      <c r="H77">
        <v>2638.9</v>
      </c>
      <c r="L77">
        <v>2528.9</v>
      </c>
      <c r="M77" t="s">
        <v>355</v>
      </c>
    </row>
    <row r="78" spans="2:13">
      <c r="B78" t="s">
        <v>375</v>
      </c>
      <c r="C78" t="s">
        <v>31</v>
      </c>
      <c r="D78" t="s">
        <v>362</v>
      </c>
      <c r="E78">
        <v>75.900000000000006</v>
      </c>
      <c r="H78">
        <v>70.400000000000006</v>
      </c>
      <c r="L78">
        <v>68.2</v>
      </c>
      <c r="M78" t="s">
        <v>356</v>
      </c>
    </row>
    <row r="79" spans="2:13">
      <c r="B79" t="s">
        <v>375</v>
      </c>
      <c r="C79" t="s">
        <v>31</v>
      </c>
      <c r="D79" t="s">
        <v>362</v>
      </c>
      <c r="E79">
        <v>0.8</v>
      </c>
      <c r="H79">
        <v>0.8</v>
      </c>
      <c r="L79">
        <v>0.8</v>
      </c>
      <c r="M79" t="s">
        <v>357</v>
      </c>
    </row>
    <row r="80" spans="2:13">
      <c r="B80" t="s">
        <v>375</v>
      </c>
      <c r="C80" t="s">
        <v>31</v>
      </c>
      <c r="D80" t="s">
        <v>362</v>
      </c>
      <c r="E80">
        <v>0.40899999999999997</v>
      </c>
      <c r="H80">
        <v>0.41</v>
      </c>
      <c r="L80">
        <v>0.39400000000000002</v>
      </c>
      <c r="M80" t="s">
        <v>145</v>
      </c>
    </row>
    <row r="81" spans="2:13">
      <c r="B81" t="s">
        <v>375</v>
      </c>
      <c r="C81" t="s">
        <v>31</v>
      </c>
      <c r="D81" t="s">
        <v>362</v>
      </c>
      <c r="E81">
        <v>25</v>
      </c>
      <c r="F81">
        <v>25</v>
      </c>
      <c r="G81">
        <v>25</v>
      </c>
      <c r="H81">
        <v>25</v>
      </c>
      <c r="I81">
        <v>25</v>
      </c>
      <c r="J81">
        <v>25</v>
      </c>
      <c r="K81">
        <v>25</v>
      </c>
      <c r="L81">
        <v>25</v>
      </c>
      <c r="M81" t="s">
        <v>358</v>
      </c>
    </row>
    <row r="82" spans="2:13">
      <c r="B82" t="s">
        <v>375</v>
      </c>
      <c r="C82" t="s">
        <v>31</v>
      </c>
      <c r="D82" t="s">
        <v>362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 t="s">
        <v>359</v>
      </c>
    </row>
    <row r="83" spans="2:13">
      <c r="B83" t="s">
        <v>375</v>
      </c>
      <c r="C83" t="s">
        <v>31</v>
      </c>
      <c r="D83" t="s">
        <v>362</v>
      </c>
      <c r="E83">
        <v>1.8237000000000001</v>
      </c>
      <c r="H83">
        <v>1.8137000000000001</v>
      </c>
      <c r="L83">
        <v>1.9169</v>
      </c>
      <c r="M83" t="s">
        <v>363</v>
      </c>
    </row>
    <row r="84" spans="2:13">
      <c r="B84" t="s">
        <v>375</v>
      </c>
      <c r="C84" t="s">
        <v>31</v>
      </c>
      <c r="D84" t="s">
        <v>362</v>
      </c>
      <c r="E84">
        <v>0.14000000000000001</v>
      </c>
      <c r="H84">
        <v>0.14000000000000001</v>
      </c>
      <c r="L84">
        <v>0.13</v>
      </c>
      <c r="M84" t="s">
        <v>364</v>
      </c>
    </row>
    <row r="85" spans="2:13">
      <c r="B85" t="s">
        <v>376</v>
      </c>
      <c r="C85" t="s">
        <v>33</v>
      </c>
      <c r="D85" t="s">
        <v>362</v>
      </c>
      <c r="E85">
        <v>66</v>
      </c>
      <c r="H85">
        <v>55</v>
      </c>
      <c r="L85">
        <v>55</v>
      </c>
      <c r="M85" t="s">
        <v>355</v>
      </c>
    </row>
    <row r="86" spans="2:13">
      <c r="B86" t="s">
        <v>376</v>
      </c>
      <c r="C86" t="s">
        <v>33</v>
      </c>
      <c r="D86" t="s">
        <v>362</v>
      </c>
      <c r="E86">
        <v>2.1</v>
      </c>
      <c r="H86">
        <v>2.1</v>
      </c>
      <c r="L86">
        <v>1.9</v>
      </c>
      <c r="M86" t="s">
        <v>356</v>
      </c>
    </row>
    <row r="87" spans="2:13">
      <c r="B87" t="s">
        <v>376</v>
      </c>
      <c r="C87" t="s">
        <v>33</v>
      </c>
      <c r="D87" t="s">
        <v>362</v>
      </c>
      <c r="E87">
        <v>0.3</v>
      </c>
      <c r="H87">
        <v>0.3</v>
      </c>
      <c r="L87">
        <v>0.3</v>
      </c>
      <c r="M87" t="s">
        <v>357</v>
      </c>
    </row>
    <row r="88" spans="2:13">
      <c r="B88" t="s">
        <v>376</v>
      </c>
      <c r="C88" t="s">
        <v>33</v>
      </c>
      <c r="D88" t="s">
        <v>362</v>
      </c>
      <c r="E88">
        <v>1.03</v>
      </c>
      <c r="H88">
        <v>1.04</v>
      </c>
      <c r="L88">
        <v>1.04</v>
      </c>
      <c r="M88" t="s">
        <v>145</v>
      </c>
    </row>
    <row r="89" spans="2:13">
      <c r="B89" t="s">
        <v>376</v>
      </c>
      <c r="C89" t="s">
        <v>33</v>
      </c>
      <c r="D89" t="s">
        <v>362</v>
      </c>
      <c r="E89">
        <v>25</v>
      </c>
      <c r="F89">
        <v>25</v>
      </c>
      <c r="G89">
        <v>25</v>
      </c>
      <c r="H89">
        <v>25</v>
      </c>
      <c r="I89">
        <v>25</v>
      </c>
      <c r="J89">
        <v>25</v>
      </c>
      <c r="K89">
        <v>25</v>
      </c>
      <c r="L89">
        <v>25</v>
      </c>
      <c r="M89" t="s">
        <v>358</v>
      </c>
    </row>
    <row r="90" spans="2:13">
      <c r="B90" t="s">
        <v>376</v>
      </c>
      <c r="C90" t="s">
        <v>33</v>
      </c>
      <c r="D90" t="s">
        <v>362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 t="s">
        <v>359</v>
      </c>
    </row>
    <row r="91" spans="2:13">
      <c r="B91" t="s">
        <v>377</v>
      </c>
      <c r="C91" t="s">
        <v>31</v>
      </c>
      <c r="D91" t="s">
        <v>362</v>
      </c>
      <c r="E91">
        <v>483.8</v>
      </c>
      <c r="H91">
        <v>461.8</v>
      </c>
      <c r="L91">
        <v>439.8</v>
      </c>
      <c r="M91" t="s">
        <v>355</v>
      </c>
    </row>
    <row r="92" spans="2:13">
      <c r="B92" t="s">
        <v>377</v>
      </c>
      <c r="C92" t="s">
        <v>31</v>
      </c>
      <c r="D92" t="s">
        <v>362</v>
      </c>
      <c r="E92">
        <v>38</v>
      </c>
      <c r="H92">
        <v>36.6</v>
      </c>
      <c r="L92">
        <v>34.5</v>
      </c>
      <c r="M92" t="s">
        <v>356</v>
      </c>
    </row>
    <row r="93" spans="2:13">
      <c r="B93" t="s">
        <v>377</v>
      </c>
      <c r="C93" t="s">
        <v>31</v>
      </c>
      <c r="D93" t="s">
        <v>362</v>
      </c>
      <c r="E93">
        <v>0.4</v>
      </c>
      <c r="H93">
        <v>0.4</v>
      </c>
      <c r="L93">
        <v>0.4</v>
      </c>
      <c r="M93" t="s">
        <v>357</v>
      </c>
    </row>
    <row r="94" spans="2:13">
      <c r="B94" t="s">
        <v>377</v>
      </c>
      <c r="C94" t="s">
        <v>31</v>
      </c>
      <c r="D94" t="s">
        <v>362</v>
      </c>
      <c r="E94">
        <v>1.149</v>
      </c>
      <c r="H94">
        <v>1.149</v>
      </c>
      <c r="L94">
        <v>1.149</v>
      </c>
      <c r="M94" t="s">
        <v>145</v>
      </c>
    </row>
    <row r="95" spans="2:13">
      <c r="B95" t="s">
        <v>377</v>
      </c>
      <c r="C95" t="s">
        <v>31</v>
      </c>
      <c r="D95" t="s">
        <v>362</v>
      </c>
      <c r="E95">
        <v>25</v>
      </c>
      <c r="F95">
        <v>25</v>
      </c>
      <c r="G95">
        <v>25</v>
      </c>
      <c r="H95">
        <v>25</v>
      </c>
      <c r="I95">
        <v>25</v>
      </c>
      <c r="J95">
        <v>25</v>
      </c>
      <c r="K95">
        <v>25</v>
      </c>
      <c r="L95">
        <v>25</v>
      </c>
      <c r="M95" t="s">
        <v>358</v>
      </c>
    </row>
    <row r="96" spans="2:13">
      <c r="B96" t="s">
        <v>377</v>
      </c>
      <c r="C96" t="s">
        <v>31</v>
      </c>
      <c r="D96" t="s">
        <v>362</v>
      </c>
      <c r="E96">
        <v>3</v>
      </c>
      <c r="F96">
        <v>3</v>
      </c>
      <c r="G96">
        <v>3</v>
      </c>
      <c r="H96">
        <v>3</v>
      </c>
      <c r="I96">
        <v>3</v>
      </c>
      <c r="J96">
        <v>3</v>
      </c>
      <c r="K96">
        <v>3</v>
      </c>
      <c r="L96">
        <v>3</v>
      </c>
      <c r="M96" t="s">
        <v>359</v>
      </c>
    </row>
    <row r="97" spans="2:13">
      <c r="B97" t="s">
        <v>378</v>
      </c>
      <c r="C97" t="s">
        <v>19</v>
      </c>
      <c r="D97" t="s">
        <v>362</v>
      </c>
      <c r="G97">
        <v>72.400000000000006</v>
      </c>
      <c r="H97">
        <v>72.400000000000006</v>
      </c>
      <c r="I97">
        <v>72.400000000000006</v>
      </c>
      <c r="J97">
        <v>72.400000000000006</v>
      </c>
      <c r="L97">
        <v>72.400000000000006</v>
      </c>
      <c r="M97" t="s">
        <v>355</v>
      </c>
    </row>
    <row r="98" spans="2:13">
      <c r="B98" t="s">
        <v>378</v>
      </c>
      <c r="C98" t="s">
        <v>19</v>
      </c>
      <c r="D98" t="s">
        <v>362</v>
      </c>
      <c r="G98">
        <v>1.2</v>
      </c>
      <c r="H98">
        <v>1.2</v>
      </c>
      <c r="I98">
        <v>1.2</v>
      </c>
      <c r="J98">
        <v>1.2</v>
      </c>
      <c r="L98">
        <v>1.2</v>
      </c>
      <c r="M98" t="s">
        <v>356</v>
      </c>
    </row>
    <row r="99" spans="2:13">
      <c r="B99" t="s">
        <v>378</v>
      </c>
      <c r="C99" t="s">
        <v>19</v>
      </c>
      <c r="D99" t="s">
        <v>362</v>
      </c>
      <c r="G99">
        <v>0.2</v>
      </c>
      <c r="H99">
        <v>0.2</v>
      </c>
      <c r="I99">
        <v>0.2</v>
      </c>
      <c r="J99">
        <v>0.2</v>
      </c>
      <c r="L99">
        <v>0.2</v>
      </c>
      <c r="M99" t="s">
        <v>357</v>
      </c>
    </row>
    <row r="100" spans="2:13">
      <c r="B100" t="s">
        <v>378</v>
      </c>
      <c r="C100" t="s">
        <v>19</v>
      </c>
      <c r="D100" t="s">
        <v>362</v>
      </c>
      <c r="G100">
        <v>0.99</v>
      </c>
      <c r="H100">
        <v>0.99</v>
      </c>
      <c r="I100">
        <v>0.99</v>
      </c>
      <c r="J100">
        <v>0.99</v>
      </c>
      <c r="L100">
        <v>0.99</v>
      </c>
      <c r="M100" t="s">
        <v>145</v>
      </c>
    </row>
    <row r="101" spans="2:13">
      <c r="B101" t="s">
        <v>378</v>
      </c>
      <c r="C101" t="s">
        <v>19</v>
      </c>
      <c r="D101" t="s">
        <v>362</v>
      </c>
      <c r="E101">
        <v>20</v>
      </c>
      <c r="F101">
        <v>20</v>
      </c>
      <c r="G101">
        <v>20</v>
      </c>
      <c r="H101">
        <v>20</v>
      </c>
      <c r="I101">
        <v>20</v>
      </c>
      <c r="J101">
        <v>20</v>
      </c>
      <c r="K101">
        <v>20</v>
      </c>
      <c r="L101">
        <v>20</v>
      </c>
      <c r="M101" t="s">
        <v>358</v>
      </c>
    </row>
    <row r="102" spans="2:13">
      <c r="B102" t="s">
        <v>378</v>
      </c>
      <c r="C102" t="s">
        <v>19</v>
      </c>
      <c r="D102" t="s">
        <v>362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 t="s">
        <v>359</v>
      </c>
    </row>
    <row r="103" spans="2:13">
      <c r="B103" t="s">
        <v>379</v>
      </c>
      <c r="C103" t="s">
        <v>19</v>
      </c>
      <c r="D103" t="s">
        <v>362</v>
      </c>
      <c r="G103">
        <v>1054.7</v>
      </c>
      <c r="H103">
        <v>1028.3</v>
      </c>
      <c r="I103">
        <v>1002</v>
      </c>
      <c r="J103">
        <v>976.9</v>
      </c>
      <c r="L103">
        <v>951.9</v>
      </c>
      <c r="M103" t="s">
        <v>355</v>
      </c>
    </row>
    <row r="104" spans="2:13">
      <c r="B104" t="s">
        <v>379</v>
      </c>
      <c r="C104" t="s">
        <v>19</v>
      </c>
      <c r="D104" t="s">
        <v>362</v>
      </c>
      <c r="G104">
        <v>2.2000000000000002</v>
      </c>
      <c r="H104">
        <v>2.1</v>
      </c>
      <c r="I104">
        <v>2.1</v>
      </c>
      <c r="J104">
        <v>2</v>
      </c>
      <c r="L104">
        <v>2</v>
      </c>
      <c r="M104" t="s">
        <v>356</v>
      </c>
    </row>
    <row r="105" spans="2:13">
      <c r="B105" t="s">
        <v>379</v>
      </c>
      <c r="C105" t="s">
        <v>19</v>
      </c>
      <c r="D105" t="s">
        <v>362</v>
      </c>
      <c r="G105">
        <v>0.2</v>
      </c>
      <c r="H105">
        <v>0.2</v>
      </c>
      <c r="I105">
        <v>0.2</v>
      </c>
      <c r="J105">
        <v>0.2</v>
      </c>
      <c r="L105">
        <v>0.2</v>
      </c>
      <c r="M105" t="s">
        <v>357</v>
      </c>
    </row>
    <row r="106" spans="2:13">
      <c r="B106" t="s">
        <v>379</v>
      </c>
      <c r="C106" t="s">
        <v>19</v>
      </c>
      <c r="D106" t="s">
        <v>362</v>
      </c>
      <c r="G106">
        <v>2.8</v>
      </c>
      <c r="H106">
        <v>2.8</v>
      </c>
      <c r="I106">
        <v>2.8</v>
      </c>
      <c r="J106">
        <v>2.8</v>
      </c>
      <c r="L106">
        <v>2.9169999999999998</v>
      </c>
      <c r="M106" t="s">
        <v>145</v>
      </c>
    </row>
    <row r="107" spans="2:13">
      <c r="B107" t="s">
        <v>379</v>
      </c>
      <c r="C107" t="s">
        <v>19</v>
      </c>
      <c r="D107" t="s">
        <v>362</v>
      </c>
      <c r="E107">
        <v>25</v>
      </c>
      <c r="F107">
        <v>25</v>
      </c>
      <c r="G107">
        <v>25</v>
      </c>
      <c r="H107">
        <v>25</v>
      </c>
      <c r="I107">
        <v>25</v>
      </c>
      <c r="J107">
        <v>25</v>
      </c>
      <c r="K107">
        <v>25</v>
      </c>
      <c r="L107">
        <v>25</v>
      </c>
      <c r="M107" t="s">
        <v>358</v>
      </c>
    </row>
    <row r="108" spans="2:13">
      <c r="B108" t="s">
        <v>379</v>
      </c>
      <c r="C108" t="s">
        <v>19</v>
      </c>
      <c r="D108" t="s">
        <v>362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 t="s">
        <v>359</v>
      </c>
    </row>
    <row r="109" spans="2:13">
      <c r="B109" t="s">
        <v>380</v>
      </c>
      <c r="C109" t="s">
        <v>33</v>
      </c>
      <c r="D109" t="s">
        <v>381</v>
      </c>
      <c r="E109">
        <v>0.52</v>
      </c>
      <c r="F109">
        <v>0.52</v>
      </c>
      <c r="G109">
        <v>0.52</v>
      </c>
      <c r="H109">
        <v>0.52</v>
      </c>
      <c r="I109">
        <v>0.52</v>
      </c>
      <c r="J109">
        <v>0.52</v>
      </c>
      <c r="K109">
        <v>0.52</v>
      </c>
      <c r="L109">
        <v>0.52</v>
      </c>
      <c r="M109" t="s">
        <v>145</v>
      </c>
    </row>
    <row r="110" spans="2:13">
      <c r="B110" t="s">
        <v>380</v>
      </c>
      <c r="C110" t="s">
        <v>33</v>
      </c>
      <c r="D110" t="s">
        <v>381</v>
      </c>
      <c r="E110">
        <v>2917</v>
      </c>
      <c r="F110">
        <v>2917</v>
      </c>
      <c r="G110">
        <v>2917</v>
      </c>
      <c r="H110">
        <v>2917</v>
      </c>
      <c r="I110">
        <v>2917</v>
      </c>
      <c r="J110">
        <v>2917</v>
      </c>
      <c r="K110">
        <v>2917</v>
      </c>
      <c r="L110">
        <v>2917</v>
      </c>
      <c r="M110" t="s">
        <v>355</v>
      </c>
    </row>
    <row r="111" spans="2:13">
      <c r="B111" t="s">
        <v>380</v>
      </c>
      <c r="C111" t="s">
        <v>33</v>
      </c>
      <c r="D111" t="s">
        <v>381</v>
      </c>
      <c r="E111">
        <v>70.599999999999994</v>
      </c>
      <c r="F111">
        <v>70.599999999999994</v>
      </c>
      <c r="G111">
        <v>70.599999999999994</v>
      </c>
      <c r="H111">
        <v>70.599999999999994</v>
      </c>
      <c r="I111">
        <v>70.599999999999994</v>
      </c>
      <c r="J111">
        <v>70.599999999999994</v>
      </c>
      <c r="K111">
        <v>70.599999999999994</v>
      </c>
      <c r="L111">
        <v>70.599999999999994</v>
      </c>
      <c r="M111" t="s">
        <v>356</v>
      </c>
    </row>
    <row r="112" spans="2:13">
      <c r="B112" t="s">
        <v>380</v>
      </c>
      <c r="C112" t="s">
        <v>33</v>
      </c>
      <c r="D112" t="s">
        <v>381</v>
      </c>
      <c r="E112">
        <v>1.3</v>
      </c>
      <c r="F112">
        <v>1.3</v>
      </c>
      <c r="G112">
        <v>1.3</v>
      </c>
      <c r="H112">
        <v>1.3</v>
      </c>
      <c r="I112">
        <v>1.3</v>
      </c>
      <c r="J112">
        <v>1.3</v>
      </c>
      <c r="K112">
        <v>1.3</v>
      </c>
      <c r="L112">
        <v>1.3</v>
      </c>
      <c r="M112" t="s">
        <v>357</v>
      </c>
    </row>
    <row r="113" spans="2:13">
      <c r="B113" t="s">
        <v>380</v>
      </c>
      <c r="C113" t="s">
        <v>33</v>
      </c>
      <c r="D113" t="s">
        <v>381</v>
      </c>
      <c r="E113">
        <v>0.55559999999999998</v>
      </c>
      <c r="F113">
        <v>0.55559999999999998</v>
      </c>
      <c r="G113">
        <v>0.55559999999999998</v>
      </c>
      <c r="H113">
        <v>0.55559999999999998</v>
      </c>
      <c r="I113">
        <v>0.55559999999999998</v>
      </c>
      <c r="J113">
        <v>0.55559999999999998</v>
      </c>
      <c r="K113">
        <v>0.55559999999999998</v>
      </c>
      <c r="L113">
        <v>0.55559999999999998</v>
      </c>
      <c r="M113" t="s">
        <v>363</v>
      </c>
    </row>
    <row r="114" spans="2:13">
      <c r="B114" t="s">
        <v>380</v>
      </c>
      <c r="C114" t="s">
        <v>33</v>
      </c>
      <c r="D114" t="s">
        <v>381</v>
      </c>
      <c r="E114">
        <v>0.15</v>
      </c>
      <c r="F114">
        <v>0.15</v>
      </c>
      <c r="G114">
        <v>0.15</v>
      </c>
      <c r="H114">
        <v>0.15</v>
      </c>
      <c r="I114">
        <v>0.15</v>
      </c>
      <c r="J114">
        <v>0.15</v>
      </c>
      <c r="K114">
        <v>0.15</v>
      </c>
      <c r="L114">
        <v>0.15</v>
      </c>
      <c r="M114" t="s">
        <v>364</v>
      </c>
    </row>
    <row r="115" spans="2:13">
      <c r="B115" t="s">
        <v>380</v>
      </c>
      <c r="C115" t="s">
        <v>33</v>
      </c>
      <c r="D115" t="s">
        <v>381</v>
      </c>
      <c r="E115">
        <v>25</v>
      </c>
      <c r="F115">
        <v>25</v>
      </c>
      <c r="G115">
        <v>25</v>
      </c>
      <c r="H115">
        <v>25</v>
      </c>
      <c r="I115">
        <v>25</v>
      </c>
      <c r="J115">
        <v>25</v>
      </c>
      <c r="K115">
        <v>25</v>
      </c>
      <c r="L115">
        <v>25</v>
      </c>
      <c r="M115" t="s">
        <v>358</v>
      </c>
    </row>
    <row r="116" spans="2:13">
      <c r="B116" t="s">
        <v>380</v>
      </c>
      <c r="C116" t="s">
        <v>33</v>
      </c>
      <c r="D116" t="s">
        <v>381</v>
      </c>
      <c r="E116">
        <v>4</v>
      </c>
      <c r="F116">
        <v>4</v>
      </c>
      <c r="G116">
        <v>4</v>
      </c>
      <c r="H116">
        <v>4</v>
      </c>
      <c r="I116">
        <v>4</v>
      </c>
      <c r="J116">
        <v>4</v>
      </c>
      <c r="K116">
        <v>4</v>
      </c>
      <c r="L116">
        <v>4</v>
      </c>
      <c r="M116" t="s">
        <v>359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2B51C-8CE0-43A9-B057-E81F4296FB93}">
  <dimension ref="B2:M7"/>
  <sheetViews>
    <sheetView tabSelected="1" workbookViewId="0"/>
  </sheetViews>
  <sheetFormatPr defaultRowHeight="14.25"/>
  <sheetData>
    <row r="2" spans="2:13">
      <c r="B2" t="s">
        <v>208</v>
      </c>
      <c r="H2" t="s">
        <v>167</v>
      </c>
    </row>
    <row r="3" spans="2:13">
      <c r="B3" t="s">
        <v>169</v>
      </c>
      <c r="C3" t="s">
        <v>261</v>
      </c>
      <c r="D3" t="s">
        <v>209</v>
      </c>
      <c r="E3" t="s">
        <v>145</v>
      </c>
      <c r="H3" t="s">
        <v>168</v>
      </c>
      <c r="I3" t="s">
        <v>169</v>
      </c>
      <c r="J3" t="s">
        <v>170</v>
      </c>
      <c r="K3" t="s">
        <v>393</v>
      </c>
      <c r="L3" t="s">
        <v>394</v>
      </c>
      <c r="M3" t="s">
        <v>173</v>
      </c>
    </row>
    <row r="4" spans="2:13">
      <c r="B4" t="s">
        <v>386</v>
      </c>
      <c r="C4" t="s">
        <v>387</v>
      </c>
      <c r="D4" t="s">
        <v>320</v>
      </c>
      <c r="E4">
        <v>1</v>
      </c>
      <c r="H4" t="s">
        <v>228</v>
      </c>
      <c r="I4" t="s">
        <v>386</v>
      </c>
      <c r="J4" t="s">
        <v>395</v>
      </c>
      <c r="K4" t="s">
        <v>21</v>
      </c>
      <c r="L4" t="s">
        <v>10</v>
      </c>
      <c r="M4" t="s">
        <v>232</v>
      </c>
    </row>
    <row r="5" spans="2:13">
      <c r="B5" t="s">
        <v>388</v>
      </c>
      <c r="C5" t="s">
        <v>320</v>
      </c>
      <c r="D5" t="s">
        <v>387</v>
      </c>
      <c r="E5">
        <v>1</v>
      </c>
      <c r="H5" t="s">
        <v>228</v>
      </c>
      <c r="I5" t="s">
        <v>388</v>
      </c>
      <c r="J5" t="s">
        <v>396</v>
      </c>
      <c r="K5" t="s">
        <v>21</v>
      </c>
      <c r="L5" t="s">
        <v>10</v>
      </c>
      <c r="M5" t="s">
        <v>232</v>
      </c>
    </row>
    <row r="6" spans="2:13">
      <c r="B6" t="s">
        <v>389</v>
      </c>
      <c r="C6" t="s">
        <v>390</v>
      </c>
      <c r="D6" t="s">
        <v>391</v>
      </c>
      <c r="E6">
        <v>1</v>
      </c>
      <c r="H6" t="s">
        <v>228</v>
      </c>
      <c r="I6" t="s">
        <v>389</v>
      </c>
      <c r="J6" t="s">
        <v>397</v>
      </c>
      <c r="K6" t="s">
        <v>21</v>
      </c>
      <c r="L6" t="s">
        <v>10</v>
      </c>
      <c r="M6" t="s">
        <v>232</v>
      </c>
    </row>
    <row r="7" spans="2:13">
      <c r="B7" t="s">
        <v>392</v>
      </c>
      <c r="C7" t="s">
        <v>391</v>
      </c>
      <c r="D7" t="s">
        <v>390</v>
      </c>
      <c r="E7">
        <v>1</v>
      </c>
      <c r="H7" t="s">
        <v>228</v>
      </c>
      <c r="I7" t="s">
        <v>392</v>
      </c>
      <c r="J7" t="s">
        <v>398</v>
      </c>
      <c r="K7" t="s">
        <v>21</v>
      </c>
      <c r="L7" t="s">
        <v>10</v>
      </c>
      <c r="M7" t="s">
        <v>232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2026-08-26T16:07:16Z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