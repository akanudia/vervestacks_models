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2372C176-A218-44D8-8D0B-D5B15CCBFE6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U24" i="1"/>
  <c r="U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<sst xmlns="http://schemas.openxmlformats.org/spreadsheetml/2006/main" count="1702" uniqueCount="109">
  <si>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</si>
  <si>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</si>
  <si>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</si>
  <si>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</si>
  <si>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</si>
  <si>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</si>
  <si>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</si>
  <si>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</si>
  <si>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</si>
  <si>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</si>
  <si>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</si>
  <si>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</si>
  <si>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</si>
  <si>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</si>
  <si>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</si>
  <si>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</si>
  <si>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</si>
  <si>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</si>
  <si>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</si>
  <si>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</si>
  <si>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</si>
  <si>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</si>
  <si>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</si>
  <si>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</si>
  <si>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</si>
  <si>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</si>
  <si>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</si>
  <si>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</si>
  <si>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</si>
  <si>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</si>
  <si>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</si>
  <si>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</si>
  <si>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</si>
  <si>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</si>
  <si>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</si>
  <si>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</si>
  <si>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</si>
  <si>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</si>
  <si>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</si>
  <si>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</si>
  <si>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</si>
  <si>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</si>
  <si>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</si>
  <si>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</si>
  <si>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</si>
  <si>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</si>
  <si>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</si>
  <si>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</si>
  <si>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</si>
  <si>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</si>
  <si>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</si>
  <si>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</si>
  <si>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</si>
  <si>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</si>
  <si>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</si>
  <si>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</si>
  <si>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</si>
  <si>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</si>
  <si>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</si>
  <si>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</si>
  <si>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</si>
  <si>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</si>
  <si>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</si>
  <si>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</si>
  <si>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</si>
  <si>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</si>
  <si>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</si>
  <si>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</si>
  <si>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</si>
  <si>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</si>
  <si>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</si>
  <si>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</si>
  <si>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</si>
  <si>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</si>
  <si>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</si>
  <si>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</si>
  <si>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</si>
  <si>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</si>
  <si>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</si>
  <si>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</si>
  <si>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</si>
  <si>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</si>
  <si>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</si>
  <si>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</si>
  <si>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</si>
  <si>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</si>
  <si>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</si>
  <si>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</si>
  <si>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</si>
  <si>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</si>
  <si>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</si>
  <si>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</si>
  <si>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</si>
  <si>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</si>
  <si>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</si>
  <si>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</si>
  <si>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</si>
  <si>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</si>
  <si>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</si>
  <si>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</si>
  <si>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</si>
  <si>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</si>
  <si>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HRV</t>
  </si>
  <si>
    <t>het_industry</t>
  </si>
  <si>
    <t>het_buildings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</si>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</sst>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102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18.810000000000002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0.95899999999999996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1.927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18.810000000000002</v>
      </c>
      <c r="P15" s="8">
        <f t="shared" ref="P15:U15" si="0">$N$11*E15</f>
        <v>19.750500000000002</v>
      </c>
      <c r="Q15" s="8">
        <f t="shared" si="0"/>
        <v>22.0077</v>
      </c>
      <c r="R15" s="8">
        <f t="shared" si="0"/>
        <v>24.264900000000004</v>
      </c>
      <c r="S15" s="8">
        <f t="shared" si="0"/>
        <v>26.7102</v>
      </c>
      <c r="T15" s="8">
        <f t="shared" si="0"/>
        <v>29.907900000000005</v>
      </c>
      <c r="U15" s="8">
        <f t="shared" si="0"/>
        <v>32.541300000000007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region=HRV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6.9597000000000007</v>
      </c>
      <c r="P20" s="6">
        <f t="shared" si="2"/>
        <v>6.9126750000000001</v>
      </c>
      <c r="Q20" s="6">
        <f t="shared" si="2"/>
        <v>7.4826180000000004</v>
      </c>
      <c r="R20" s="6">
        <f t="shared" si="2"/>
        <v>8.007417000000002</v>
      </c>
      <c r="S20" s="6">
        <f t="shared" si="2"/>
        <v>8.0130599999999994</v>
      </c>
      <c r="T20" s="6">
        <f t="shared" si="2"/>
        <v>8.6732910000000007</v>
      </c>
      <c r="U20" s="6">
        <f t="shared" si="2"/>
        <v>9.7623900000000017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11.097900000000001</v>
      </c>
      <c r="P21" s="6">
        <f t="shared" si="2"/>
        <v>11.652795000000001</v>
      </c>
      <c r="Q21" s="6">
        <f t="shared" si="2"/>
        <v>12.984542999999999</v>
      </c>
      <c r="R21" s="6">
        <f t="shared" si="2"/>
        <v>14.073642000000001</v>
      </c>
      <c r="S21" s="6">
        <f t="shared" si="2"/>
        <v>15.491916</v>
      </c>
      <c r="T21" s="6">
        <f t="shared" si="2"/>
        <v>16.748424000000004</v>
      </c>
      <c r="U21" s="6">
        <f t="shared" si="2"/>
        <v>17.572302000000004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0.56430000000000002</v>
      </c>
      <c r="P22" s="6">
        <f t="shared" ref="P22:U22" si="3">O22</f>
        <v>0.56430000000000002</v>
      </c>
      <c r="Q22" s="6">
        <f t="shared" si="3"/>
        <v>0.56430000000000002</v>
      </c>
      <c r="R22" s="6">
        <f t="shared" si="3"/>
        <v>0.56430000000000002</v>
      </c>
      <c r="S22" s="6">
        <f t="shared" si="3"/>
        <v>0.56430000000000002</v>
      </c>
      <c r="T22" s="6">
        <f t="shared" si="3"/>
        <v>0.56430000000000002</v>
      </c>
      <c r="U22" s="6">
        <f t="shared" si="3"/>
        <v>0.56430000000000002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0.18810000000000215</v>
      </c>
      <c r="P23" s="6">
        <f t="shared" si="4"/>
        <v>0.62073000000000178</v>
      </c>
      <c r="Q23" s="6">
        <f t="shared" si="4"/>
        <v>0.97623900000000319</v>
      </c>
      <c r="R23" s="6">
        <f t="shared" si="4"/>
        <v>1.6195410000000017</v>
      </c>
      <c r="S23" s="6">
        <f t="shared" si="4"/>
        <v>2.6409240000000018</v>
      </c>
      <c r="T23" s="6">
        <f t="shared" si="4"/>
        <v>3.9218849999999996</v>
      </c>
      <c r="U23" s="6">
        <f t="shared" si="4"/>
        <v>4.6423080000000034</v>
      </c>
      <c r="V23" t="s">
        <v>16</v>
      </c>
    </row>
    <row r="24" spans="2:24" x14ac:dyDescent="0.45">
      <c r="N24" s="18" t="s">
        <v>103</v>
      </c>
      <c r="O24" s="19">
        <f>N12</f>
        <v>0.95899999999999996</v>
      </c>
      <c r="P24" s="20">
        <f>$N$12*E16</f>
        <v>0.93981999999999999</v>
      </c>
      <c r="Q24" s="20">
        <f>$N$12*F16</f>
        <v>0.9206399999999999</v>
      </c>
      <c r="R24" s="20">
        <f t="shared" ref="R24:U24" si="5">$N$12*G16</f>
        <v>0.88227999999999995</v>
      </c>
      <c r="S24" s="20">
        <f t="shared" si="5"/>
        <v>0.80555999999999994</v>
      </c>
      <c r="T24" s="20">
        <f t="shared" si="5"/>
        <v>0.79596999999999996</v>
      </c>
      <c r="U24" s="20">
        <f t="shared" si="5"/>
        <v>0.76719999999999999</v>
      </c>
      <c r="V24" s="18" t="s">
        <v>16</v>
      </c>
    </row>
    <row r="25" spans="2:24" x14ac:dyDescent="0.45">
      <c r="N25" s="18" t="s">
        <v>104</v>
      </c>
      <c r="O25" s="19">
        <f>N13</f>
        <v>1.927</v>
      </c>
      <c r="P25" s="20">
        <f>$N$13*E16</f>
        <v>1.88846</v>
      </c>
      <c r="Q25" s="20">
        <f t="shared" ref="Q25:U25" si="6">$N$13*F16</f>
        <v>1.84992</v>
      </c>
      <c r="R25" s="20">
        <f t="shared" si="6"/>
        <v>1.7728400000000002</v>
      </c>
      <c r="S25" s="20">
        <f t="shared" si="6"/>
        <v>1.6186799999999999</v>
      </c>
      <c r="T25" s="20">
        <f t="shared" si="6"/>
        <v>1.59941</v>
      </c>
      <c r="U25" s="20">
        <f t="shared" si="6"/>
        <v>1.5416000000000001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region=HRV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11.92</v>
      </c>
      <c r="N30" t="s">
        <v>30</v>
      </c>
      <c r="O30" s="3">
        <f>L30</f>
        <v>11.92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-7.22</v>
      </c>
      <c r="N31" t="s">
        <v>33</v>
      </c>
      <c r="O31" s="3">
        <f>-1*L31</f>
        <v>7.22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region=HRV;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13.7</v>
      </c>
      <c r="E48">
        <f t="shared" si="9"/>
        <v>13.974</v>
      </c>
      <c r="F48">
        <f t="shared" si="9"/>
        <v>14.522</v>
      </c>
      <c r="G48">
        <f t="shared" si="9"/>
        <v>14.659000000000001</v>
      </c>
      <c r="H48">
        <f t="shared" si="9"/>
        <v>14.795999999999999</v>
      </c>
      <c r="I48">
        <f t="shared" si="9"/>
        <v>15.07</v>
      </c>
      <c r="J48">
        <f t="shared" si="9"/>
        <v>15.344000000000001</v>
      </c>
      <c r="M48">
        <f>HLOOKUP($B48&amp;"_"&amp;M$46,fuel_prices!$B$10:$I$100,MATCH($A$1,fuel_prices!$A$10:$A$100,0),FALSE)</f>
        <v>12.2</v>
      </c>
      <c r="N48">
        <f>HLOOKUP($B48&amp;"_"&amp;N$46,fuel_prices!$B$10:$I$100,MATCH($A$1,fuel_prices!$A$10:$A$100,0),FALSE)</f>
        <v>15.2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3.3</v>
      </c>
      <c r="D56">
        <v>2.6</v>
      </c>
      <c r="E56">
        <v>2.7</v>
      </c>
      <c r="F56" t="s">
        <v>108</v>
      </c>
    </row>
    <row r="57" spans="1:14" x14ac:dyDescent="0.45">
      <c r="A57" t="s">
        <v>30</v>
      </c>
      <c r="B57" t="s">
        <v>107</v>
      </c>
      <c r="C57">
        <v>1.2</v>
      </c>
      <c r="D57">
        <v>0.9</v>
      </c>
      <c r="E57">
        <v>1.544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102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102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102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102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102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102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102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102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102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102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102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102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102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102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102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102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102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102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102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102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102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102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102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2026-08-26T16:08:08Z</dcterms:modified>
</cp:coreProperties>
</file>