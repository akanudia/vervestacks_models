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SuppXLS\"/>
    </mc:Choice>
  </mc:AlternateContent>
  <xr:revisionPtr revIDLastSave="0" documentId="13_ncr:1_{62F1DEAA-FBA2-4644-BC1A-F2E5B11B73C0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1" i="1" l="1"/>
  <c r="O30" i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2" i="1"/>
  <c r="J41" i="1"/>
  <c r="J49" i="1" s="1"/>
  <c r="D49" i="1"/>
  <c r="H46" i="1"/>
  <c r="I46" i="1"/>
  <c r="D48" i="1"/>
  <c r="D50" i="1"/>
  <c r="D47" i="1"/>
  <c r="J47" i="1"/>
  <c r="F46" i="1"/>
  <c r="G46" i="1"/>
  <c r="J46" i="1"/>
  <c r="E48" i="1"/>
  <c r="O15" i="1"/>
  <c r="C26" i="1" l="1"/>
  <c r="J26" i="1" l="1"/>
  <c r="I26" i="1"/>
  <c r="T26" i="1" s="1"/>
  <c r="H26" i="1"/>
  <c r="S26" i="1" s="1"/>
  <c r="G26" i="1"/>
  <c r="R26" i="1" s="1"/>
  <c r="F26" i="1"/>
  <c r="Q26" i="1" s="1"/>
  <c r="U26" i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Q24" i="1"/>
  <c r="T24" i="1"/>
  <c r="J50" i="1"/>
  <c r="R24" i="1" l="1"/>
  <c r="R25" i="1"/>
  <c r="S24" i="1"/>
  <c r="S25" i="1"/>
  <c r="U24" i="1"/>
  <c r="U25" i="1"/>
  <c r="P24" i="1"/>
  <c r="P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<sst xmlns="http://schemas.openxmlformats.org/spreadsheetml/2006/main" count="1702" uniqueCount="109">
  <si>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</si>
  <si>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</si>
  <si>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</si>
  <si>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</si>
  <si>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</si>
  <si>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</si>
  <si>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</si>
  <si>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</si>
  <si>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</si>
  <si>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</si>
  <si>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</si>
  <si>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</si>
  <si>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</si>
  <si>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</si>
  <si>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</si>
  <si>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</si>
  <si>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</si>
  <si>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</si>
  <si>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</si>
  <si>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</si>
  <si>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</si>
  <si>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</si>
  <si>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</si>
  <si>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</si>
  <si>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</si>
  <si>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</si>
  <si>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</si>
  <si>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</si>
  <si>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</si>
  <si>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</si>
  <si>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</si>
  <si>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</si>
  <si>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</si>
  <si>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</si>
  <si>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</si>
  <si>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</si>
  <si>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</si>
  <si>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</si>
  <si>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</si>
  <si>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</si>
  <si>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</si>
  <si>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</si>
  <si>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</si>
  <si>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</si>
  <si>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</si>
  <si>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</si>
  <si>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</si>
  <si>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</si>
  <si>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</si>
  <si>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</si>
  <si>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</si>
  <si>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</si>
  <si>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</si>
  <si>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</si>
  <si>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</si>
  <si>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</si>
  <si>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</si>
  <si>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</si>
  <si>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</si>
  <si>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</si>
  <si>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</si>
  <si>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</si>
  <si>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</si>
  <si>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</si>
  <si>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</si>
  <si>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</si>
  <si>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</si>
  <si>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</si>
  <si>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</si>
  <si>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</si>
  <si>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</si>
  <si>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</si>
  <si>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</si>
  <si>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</si>
  <si>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</si>
  <si>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</si>
  <si>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</si>
  <si>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</si>
  <si>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</si>
  <si>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</si>
  <si>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</si>
  <si>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</si>
  <si>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</si>
  <si>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</si>
  <si>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</si>
  <si>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</si>
  <si>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</si>
  <si>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</si>
  <si>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</si>
  <si>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</si>
  <si>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</si>
  <si>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</si>
  <si>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</si>
  <si>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</si>
  <si>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</si>
  <si>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</si>
  <si>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</si>
  <si>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</si>
  <si>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</si>
  <si>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</si>
  <si>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</si>
  <si>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</si>
  <si>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HRV</t>
  </si>
  <si>
    <t>het_industry</t>
  </si>
  <si>
    <t>het_buildings</t>
  </si>
  <si>
    <t>Krk LNG, forest resources</t>
  </si>
  <si>
    <t>~tfm_ins-ts: region=HRV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</si>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</sst>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18.810000000000002</c:v>
                </c:pt>
                <c:pt idx="1">
                  <c:v>19.750500000000002</c:v>
                </c:pt>
                <c:pt idx="2">
                  <c:v>22.0077</c:v>
                </c:pt>
                <c:pt idx="3">
                  <c:v>24.264900000000004</c:v>
                </c:pt>
                <c:pt idx="4">
                  <c:v>26.7102</c:v>
                </c:pt>
                <c:pt idx="5">
                  <c:v>29.907900000000005</c:v>
                </c:pt>
                <c:pt idx="6">
                  <c:v>32.541300000000007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98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V27" sqref="V27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102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18.810000000000002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0.95899999999999996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1.927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18.810000000000002</v>
      </c>
      <c r="P15" s="8">
        <f t="shared" ref="P15:U15" si="0">$N$11*E15</f>
        <v>19.750500000000002</v>
      </c>
      <c r="Q15" s="8">
        <f t="shared" si="0"/>
        <v>22.0077</v>
      </c>
      <c r="R15" s="8">
        <f t="shared" si="0"/>
        <v>24.264900000000004</v>
      </c>
      <c r="S15" s="8">
        <f t="shared" si="0"/>
        <v>26.7102</v>
      </c>
      <c r="T15" s="8">
        <f t="shared" si="0"/>
        <v>29.907900000000005</v>
      </c>
      <c r="U15" s="8">
        <f t="shared" si="0"/>
        <v>32.541300000000007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6">
      <c r="N17" s="5" t="str">
        <f>"~TFM_INS-TS: region="&amp;$A$1</f>
        <v>~TFM_INS-TS: region=HRV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6.9597000000000007</v>
      </c>
      <c r="P20" s="6">
        <f t="shared" si="2"/>
        <v>6.9126750000000001</v>
      </c>
      <c r="Q20" s="6">
        <f t="shared" si="2"/>
        <v>7.4826180000000004</v>
      </c>
      <c r="R20" s="6">
        <f t="shared" si="2"/>
        <v>8.007417000000002</v>
      </c>
      <c r="S20" s="6">
        <f t="shared" si="2"/>
        <v>8.0130599999999994</v>
      </c>
      <c r="T20" s="6">
        <f t="shared" si="2"/>
        <v>8.6732910000000007</v>
      </c>
      <c r="U20" s="6">
        <f t="shared" si="2"/>
        <v>9.7623900000000017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11.097900000000001</v>
      </c>
      <c r="P21" s="6">
        <f t="shared" si="2"/>
        <v>11.652795000000001</v>
      </c>
      <c r="Q21" s="6">
        <f t="shared" si="2"/>
        <v>12.984542999999999</v>
      </c>
      <c r="R21" s="6">
        <f t="shared" si="2"/>
        <v>14.073642000000001</v>
      </c>
      <c r="S21" s="6">
        <f t="shared" si="2"/>
        <v>15.491916</v>
      </c>
      <c r="T21" s="6">
        <f t="shared" si="2"/>
        <v>16.748424000000004</v>
      </c>
      <c r="U21" s="6">
        <f t="shared" si="2"/>
        <v>17.572302000000004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0.56430000000000002</v>
      </c>
      <c r="P22" s="6">
        <f t="shared" ref="P22:U22" si="3">O22</f>
        <v>0.56430000000000002</v>
      </c>
      <c r="Q22" s="6">
        <f t="shared" si="3"/>
        <v>0.56430000000000002</v>
      </c>
      <c r="R22" s="6">
        <f t="shared" si="3"/>
        <v>0.56430000000000002</v>
      </c>
      <c r="S22" s="6">
        <f t="shared" si="3"/>
        <v>0.56430000000000002</v>
      </c>
      <c r="T22" s="6">
        <f t="shared" si="3"/>
        <v>0.56430000000000002</v>
      </c>
      <c r="U22" s="6">
        <f t="shared" si="3"/>
        <v>0.56430000000000002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0.18810000000000215</v>
      </c>
      <c r="P23" s="6">
        <f t="shared" si="4"/>
        <v>0.62073000000000178</v>
      </c>
      <c r="Q23" s="6">
        <f t="shared" si="4"/>
        <v>0.97623900000000319</v>
      </c>
      <c r="R23" s="6">
        <f t="shared" si="4"/>
        <v>1.6195410000000017</v>
      </c>
      <c r="S23" s="6">
        <f t="shared" si="4"/>
        <v>2.6409240000000018</v>
      </c>
      <c r="T23" s="6">
        <f t="shared" si="4"/>
        <v>3.9218849999999996</v>
      </c>
      <c r="U23" s="6">
        <f t="shared" si="4"/>
        <v>4.6423080000000034</v>
      </c>
      <c r="V23" t="s">
        <v>16</v>
      </c>
    </row>
    <row r="24" spans="2:24" x14ac:dyDescent="0.45">
      <c r="N24" s="18" t="s">
        <v>103</v>
      </c>
      <c r="O24" s="19">
        <f>N12</f>
        <v>0.95899999999999996</v>
      </c>
      <c r="P24" s="20">
        <f>$N$12*E16</f>
        <v>0.93981999999999999</v>
      </c>
      <c r="Q24" s="20">
        <f>$N$12*F16</f>
        <v>0.9206399999999999</v>
      </c>
      <c r="R24" s="20">
        <f t="shared" ref="R24:U24" si="5">$N$12*G16</f>
        <v>0.88227999999999995</v>
      </c>
      <c r="S24" s="20">
        <f t="shared" si="5"/>
        <v>0.80555999999999994</v>
      </c>
      <c r="T24" s="20">
        <f t="shared" si="5"/>
        <v>0.79596999999999996</v>
      </c>
      <c r="U24" s="20">
        <f t="shared" si="5"/>
        <v>0.76719999999999999</v>
      </c>
      <c r="V24" s="18" t="s">
        <v>16</v>
      </c>
    </row>
    <row r="25" spans="2:24" x14ac:dyDescent="0.45">
      <c r="N25" s="18" t="s">
        <v>104</v>
      </c>
      <c r="O25" s="19">
        <f>N13</f>
        <v>1.927</v>
      </c>
      <c r="P25" s="20">
        <f>$N$13*E16</f>
        <v>1.88846</v>
      </c>
      <c r="Q25" s="20">
        <f t="shared" ref="Q25:U25" si="6">$N$13*F16</f>
        <v>1.84992</v>
      </c>
      <c r="R25" s="20">
        <f t="shared" si="6"/>
        <v>1.7728400000000002</v>
      </c>
      <c r="S25" s="20">
        <f t="shared" si="6"/>
        <v>1.6186799999999999</v>
      </c>
      <c r="T25" s="20">
        <f t="shared" si="6"/>
        <v>1.59941</v>
      </c>
      <c r="U25" s="20">
        <f t="shared" si="6"/>
        <v>1.5416000000000001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region=HRV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11.92</v>
      </c>
      <c r="N30" t="s">
        <v>30</v>
      </c>
      <c r="O30" s="3">
        <f>L30</f>
        <v>11.92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-7.22</v>
      </c>
      <c r="N31" t="s">
        <v>33</v>
      </c>
      <c r="O31" s="3">
        <f>-1*L31</f>
        <v>7.22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649999999999999" thickBot="1" x14ac:dyDescent="0.6">
      <c r="B45" s="5" t="str">
        <f>"~TFM_INS-TS: region="&amp;$A$1&amp;"; attribute=flo_cost;pset_pn=-IMP*Z"</f>
        <v>~TFM_INS-TS: region=HRV;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33.4</v>
      </c>
      <c r="E47">
        <f t="shared" si="9"/>
        <v>35.738</v>
      </c>
      <c r="F47">
        <f t="shared" si="9"/>
        <v>41.415999999999997</v>
      </c>
      <c r="G47">
        <f t="shared" si="9"/>
        <v>38.409999999999997</v>
      </c>
      <c r="H47">
        <f t="shared" si="9"/>
        <v>41.75</v>
      </c>
      <c r="I47">
        <f t="shared" si="9"/>
        <v>39.077999999999996</v>
      </c>
      <c r="J47">
        <f t="shared" si="9"/>
        <v>44.756</v>
      </c>
      <c r="M47">
        <f>HLOOKUP($B47&amp;"_"&amp;M$46,fuel_prices!$B$10:$I$100,MATCH($A$1,fuel_prices!$A$10:$A$100,0),FALSE)</f>
        <v>27.4</v>
      </c>
      <c r="N47">
        <f>HLOOKUP($B47&amp;"_"&amp;N$46,fuel_prices!$B$10:$I$100,MATCH($A$1,fuel_prices!$A$10:$A$100,0),FALSE)</f>
        <v>39.4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13.7</v>
      </c>
      <c r="E48">
        <f t="shared" si="9"/>
        <v>13.974</v>
      </c>
      <c r="F48">
        <f t="shared" si="9"/>
        <v>14.522</v>
      </c>
      <c r="G48">
        <f t="shared" si="9"/>
        <v>14.659000000000001</v>
      </c>
      <c r="H48">
        <f t="shared" si="9"/>
        <v>14.795999999999999</v>
      </c>
      <c r="I48">
        <f t="shared" si="9"/>
        <v>15.07</v>
      </c>
      <c r="J48">
        <f t="shared" si="9"/>
        <v>15.344000000000001</v>
      </c>
      <c r="M48">
        <f>HLOOKUP($B48&amp;"_"&amp;M$46,fuel_prices!$B$10:$I$100,MATCH($A$1,fuel_prices!$A$10:$A$100,0),FALSE)</f>
        <v>12.2</v>
      </c>
      <c r="N48">
        <f>HLOOKUP($B48&amp;"_"&amp;N$46,fuel_prices!$B$10:$I$100,MATCH($A$1,fuel_prices!$A$10:$A$100,0),FALSE)</f>
        <v>15.2</v>
      </c>
    </row>
    <row r="49" spans="1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79</v>
      </c>
      <c r="C50" t="str">
        <f t="shared" si="10"/>
        <v>Bioenergy</v>
      </c>
      <c r="D50">
        <f t="shared" si="9"/>
        <v>26</v>
      </c>
      <c r="J50">
        <f>VLOOKUP($C$15,$AF$9:$AH$16,3,FALSE)*D50</f>
        <v>78</v>
      </c>
      <c r="M50">
        <f>HLOOKUP($B50&amp;"_"&amp;M$46,fuel_prices!$B$10:$I$100,MATCH($A$1,fuel_prices!$A$10:$A$100,0),FALSE)</f>
        <v>22</v>
      </c>
      <c r="N50">
        <f>HLOOKUP($B50&amp;"_"&amp;N$46,fuel_prices!$B$10:$I$100,MATCH($A$1,fuel_prices!$A$10:$A$100,0),FALSE)</f>
        <v>30</v>
      </c>
    </row>
    <row r="54" spans="1:14" x14ac:dyDescent="0.45">
      <c r="A54" t="s">
        <v>106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33</v>
      </c>
      <c r="B56" t="s">
        <v>107</v>
      </c>
      <c r="C56">
        <v>3.3</v>
      </c>
      <c r="D56">
        <v>2.6</v>
      </c>
      <c r="E56">
        <v>2.7</v>
      </c>
      <c r="F56" t="s">
        <v>108</v>
      </c>
    </row>
    <row r="57" spans="1:14" x14ac:dyDescent="0.45">
      <c r="A57" t="s">
        <v>30</v>
      </c>
      <c r="B57" t="s">
        <v>107</v>
      </c>
      <c r="C57">
        <v>1.2</v>
      </c>
      <c r="D57">
        <v>0.9</v>
      </c>
      <c r="E57">
        <v>1.544</v>
      </c>
      <c r="F57" t="s">
        <v>108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102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22</v>
      </c>
      <c r="I11">
        <v>30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99</v>
      </c>
      <c r="K10" t="s">
        <v>97</v>
      </c>
      <c r="L10" t="s">
        <v>100</v>
      </c>
      <c r="M10" t="s">
        <v>101</v>
      </c>
    </row>
    <row r="11" spans="1:13" x14ac:dyDescent="0.45">
      <c r="A11" t="s">
        <v>102</v>
      </c>
      <c r="B11">
        <v>2000</v>
      </c>
      <c r="C11">
        <v>5.74</v>
      </c>
      <c r="D11">
        <v>8.7200000000000006</v>
      </c>
      <c r="E11">
        <v>0.21</v>
      </c>
      <c r="F11">
        <v>0</v>
      </c>
      <c r="G11">
        <v>4.3899999999999997</v>
      </c>
      <c r="H11">
        <v>-0.97</v>
      </c>
      <c r="I11">
        <v>11.26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t="s">
        <v>102</v>
      </c>
      <c r="B12">
        <v>2001</v>
      </c>
      <c r="C12">
        <v>6.21</v>
      </c>
      <c r="D12">
        <v>8.85</v>
      </c>
      <c r="E12">
        <v>0.21</v>
      </c>
      <c r="F12">
        <v>0</v>
      </c>
      <c r="G12">
        <v>3.74</v>
      </c>
      <c r="H12">
        <v>-1.22</v>
      </c>
      <c r="I12">
        <v>12.77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t="s">
        <v>102</v>
      </c>
      <c r="B13">
        <v>2002</v>
      </c>
      <c r="C13">
        <v>5.98</v>
      </c>
      <c r="D13">
        <v>9.5</v>
      </c>
      <c r="E13">
        <v>0.22</v>
      </c>
      <c r="F13">
        <v>0</v>
      </c>
      <c r="G13">
        <v>3.93</v>
      </c>
      <c r="H13">
        <v>-0.89</v>
      </c>
      <c r="I13">
        <v>12.71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t="s">
        <v>102</v>
      </c>
      <c r="B14">
        <v>2003</v>
      </c>
      <c r="C14">
        <v>6.74</v>
      </c>
      <c r="D14">
        <v>9.51</v>
      </c>
      <c r="E14">
        <v>0.23</v>
      </c>
      <c r="F14">
        <v>0</v>
      </c>
      <c r="G14">
        <v>4.4800000000000004</v>
      </c>
      <c r="H14">
        <v>-1.17</v>
      </c>
      <c r="I14">
        <v>13.19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t="s">
        <v>102</v>
      </c>
      <c r="B15">
        <v>2004</v>
      </c>
      <c r="C15">
        <v>6.47</v>
      </c>
      <c r="D15">
        <v>10.17</v>
      </c>
      <c r="E15">
        <v>0.22</v>
      </c>
      <c r="F15">
        <v>0</v>
      </c>
      <c r="G15">
        <v>5.3</v>
      </c>
      <c r="H15">
        <v>-2.2999999999999998</v>
      </c>
      <c r="I15">
        <v>13.9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t="s">
        <v>102</v>
      </c>
      <c r="B16">
        <v>2005</v>
      </c>
      <c r="C16">
        <v>6.38</v>
      </c>
      <c r="D16">
        <v>10.81</v>
      </c>
      <c r="E16">
        <v>0.23</v>
      </c>
      <c r="F16">
        <v>0</v>
      </c>
      <c r="G16">
        <v>8.75</v>
      </c>
      <c r="H16">
        <v>-4.34</v>
      </c>
      <c r="I16">
        <v>13.06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t="s">
        <v>102</v>
      </c>
      <c r="B17">
        <v>2006</v>
      </c>
      <c r="C17">
        <v>6.36</v>
      </c>
      <c r="D17">
        <v>11.27</v>
      </c>
      <c r="E17">
        <v>0.24</v>
      </c>
      <c r="F17">
        <v>0</v>
      </c>
      <c r="G17">
        <v>8.31</v>
      </c>
      <c r="H17">
        <v>-3.31</v>
      </c>
      <c r="I17">
        <v>12.92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t="s">
        <v>102</v>
      </c>
      <c r="B18">
        <v>2007</v>
      </c>
      <c r="C18">
        <v>6.79</v>
      </c>
      <c r="D18">
        <v>11.33</v>
      </c>
      <c r="E18">
        <v>0.25</v>
      </c>
      <c r="F18">
        <v>0</v>
      </c>
      <c r="G18">
        <v>7.81</v>
      </c>
      <c r="H18">
        <v>-1.92</v>
      </c>
      <c r="I18">
        <v>12.54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t="s">
        <v>102</v>
      </c>
      <c r="B19">
        <v>2008</v>
      </c>
      <c r="C19">
        <v>6.42</v>
      </c>
      <c r="D19">
        <v>12.07</v>
      </c>
      <c r="E19">
        <v>0.25</v>
      </c>
      <c r="F19">
        <v>0</v>
      </c>
      <c r="G19">
        <v>12.25</v>
      </c>
      <c r="H19">
        <v>-6.24</v>
      </c>
      <c r="I19">
        <v>12.78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t="s">
        <v>102</v>
      </c>
      <c r="B20">
        <v>2009</v>
      </c>
      <c r="C20">
        <v>6.24</v>
      </c>
      <c r="D20">
        <v>11.85</v>
      </c>
      <c r="E20">
        <v>0.24</v>
      </c>
      <c r="F20">
        <v>0</v>
      </c>
      <c r="G20">
        <v>11.89</v>
      </c>
      <c r="H20">
        <v>-6.89</v>
      </c>
      <c r="I20">
        <v>13.37</v>
      </c>
      <c r="J20">
        <v>0</v>
      </c>
      <c r="K20">
        <v>0</v>
      </c>
      <c r="L20">
        <v>0</v>
      </c>
      <c r="M20">
        <v>0</v>
      </c>
    </row>
    <row r="21" spans="1:13" x14ac:dyDescent="0.45">
      <c r="A21" t="s">
        <v>102</v>
      </c>
      <c r="B21">
        <v>2010</v>
      </c>
      <c r="C21">
        <v>6.36</v>
      </c>
      <c r="D21">
        <v>12.12</v>
      </c>
      <c r="E21">
        <v>0.24</v>
      </c>
      <c r="F21">
        <v>0</v>
      </c>
      <c r="G21">
        <v>12.42</v>
      </c>
      <c r="H21">
        <v>-8.4499999999999993</v>
      </c>
      <c r="I21">
        <v>14.8</v>
      </c>
      <c r="J21">
        <v>0</v>
      </c>
      <c r="K21">
        <v>0</v>
      </c>
      <c r="L21">
        <v>0</v>
      </c>
      <c r="M21">
        <v>0</v>
      </c>
    </row>
    <row r="22" spans="1:13" x14ac:dyDescent="0.45">
      <c r="A22" t="s">
        <v>102</v>
      </c>
      <c r="B22">
        <v>2011</v>
      </c>
      <c r="C22">
        <v>5.98</v>
      </c>
      <c r="D22">
        <v>12.13</v>
      </c>
      <c r="E22">
        <v>0.24</v>
      </c>
      <c r="F22">
        <v>0</v>
      </c>
      <c r="G22">
        <v>13.99</v>
      </c>
      <c r="H22">
        <v>-6.83</v>
      </c>
      <c r="I22">
        <v>11.24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 t="s">
        <v>102</v>
      </c>
      <c r="B23">
        <v>2012</v>
      </c>
      <c r="C23">
        <v>5.66</v>
      </c>
      <c r="D23">
        <v>12.06</v>
      </c>
      <c r="E23">
        <v>0.23</v>
      </c>
      <c r="F23">
        <v>0</v>
      </c>
      <c r="G23">
        <v>13.17</v>
      </c>
      <c r="H23">
        <v>-5.74</v>
      </c>
      <c r="I23">
        <v>10.59</v>
      </c>
      <c r="J23">
        <v>0</v>
      </c>
      <c r="K23">
        <v>0</v>
      </c>
      <c r="L23">
        <v>0</v>
      </c>
      <c r="M23">
        <v>0</v>
      </c>
    </row>
    <row r="24" spans="1:13" x14ac:dyDescent="0.45">
      <c r="A24" t="s">
        <v>102</v>
      </c>
      <c r="B24">
        <v>2013</v>
      </c>
      <c r="C24">
        <v>5.87</v>
      </c>
      <c r="D24">
        <v>11.69</v>
      </c>
      <c r="E24">
        <v>0.21</v>
      </c>
      <c r="F24">
        <v>0</v>
      </c>
      <c r="G24">
        <v>11.26</v>
      </c>
      <c r="H24">
        <v>-7.39</v>
      </c>
      <c r="I24">
        <v>13.95</v>
      </c>
      <c r="J24">
        <v>0</v>
      </c>
      <c r="K24">
        <v>0</v>
      </c>
      <c r="L24">
        <v>0</v>
      </c>
      <c r="M24">
        <v>0</v>
      </c>
    </row>
    <row r="25" spans="1:13" x14ac:dyDescent="0.45">
      <c r="A25" t="s">
        <v>102</v>
      </c>
      <c r="B25">
        <v>2014</v>
      </c>
      <c r="C25">
        <v>5.82</v>
      </c>
      <c r="D25">
        <v>11.31</v>
      </c>
      <c r="E25">
        <v>0.21</v>
      </c>
      <c r="F25">
        <v>0</v>
      </c>
      <c r="G25">
        <v>10.9</v>
      </c>
      <c r="H25">
        <v>-6.94</v>
      </c>
      <c r="I25">
        <v>13.44</v>
      </c>
      <c r="J25">
        <v>0</v>
      </c>
      <c r="K25">
        <v>0</v>
      </c>
      <c r="L25">
        <v>0</v>
      </c>
      <c r="M25">
        <v>0</v>
      </c>
    </row>
    <row r="26" spans="1:13" x14ac:dyDescent="0.45">
      <c r="A26" t="s">
        <v>102</v>
      </c>
      <c r="B26">
        <v>2015</v>
      </c>
      <c r="C26">
        <v>6.07</v>
      </c>
      <c r="D26">
        <v>11.67</v>
      </c>
      <c r="E26">
        <v>0.21</v>
      </c>
      <c r="F26">
        <v>0</v>
      </c>
      <c r="G26">
        <v>13.16</v>
      </c>
      <c r="H26">
        <v>-6.37</v>
      </c>
      <c r="I26">
        <v>11.24</v>
      </c>
      <c r="J26">
        <v>2.4540000000000002</v>
      </c>
      <c r="K26">
        <v>2.4660000000000002</v>
      </c>
      <c r="L26">
        <v>0.32600000000000001</v>
      </c>
      <c r="M26">
        <v>2.14</v>
      </c>
    </row>
    <row r="27" spans="1:13" x14ac:dyDescent="0.45">
      <c r="A27" t="s">
        <v>102</v>
      </c>
      <c r="B27">
        <v>2016</v>
      </c>
      <c r="C27">
        <v>6.22</v>
      </c>
      <c r="D27">
        <v>11.62</v>
      </c>
      <c r="E27">
        <v>0.22</v>
      </c>
      <c r="F27">
        <v>0</v>
      </c>
      <c r="G27">
        <v>12.4</v>
      </c>
      <c r="H27">
        <v>-6.87</v>
      </c>
      <c r="I27">
        <v>12.62</v>
      </c>
      <c r="J27">
        <v>2.5259999999999998</v>
      </c>
      <c r="K27">
        <v>2.5870000000000002</v>
      </c>
      <c r="L27">
        <v>0.42099999999999999</v>
      </c>
      <c r="M27">
        <v>2.1659999999999999</v>
      </c>
    </row>
    <row r="28" spans="1:13" x14ac:dyDescent="0.45">
      <c r="A28" t="s">
        <v>102</v>
      </c>
      <c r="B28">
        <v>2017</v>
      </c>
      <c r="C28">
        <v>6.32</v>
      </c>
      <c r="D28">
        <v>12.1</v>
      </c>
      <c r="E28">
        <v>0.23</v>
      </c>
      <c r="F28">
        <v>0</v>
      </c>
      <c r="G28">
        <v>12.16</v>
      </c>
      <c r="H28">
        <v>-5.2</v>
      </c>
      <c r="I28">
        <v>11.78</v>
      </c>
      <c r="J28">
        <v>2.9609999999999999</v>
      </c>
      <c r="K28">
        <v>2.6840000000000002</v>
      </c>
      <c r="L28">
        <v>0.55300000000000005</v>
      </c>
      <c r="M28">
        <v>2.1309999999999998</v>
      </c>
    </row>
    <row r="29" spans="1:13" x14ac:dyDescent="0.45">
      <c r="A29" t="s">
        <v>102</v>
      </c>
      <c r="B29">
        <v>2018</v>
      </c>
      <c r="C29">
        <v>6.45</v>
      </c>
      <c r="D29">
        <v>12.21</v>
      </c>
      <c r="E29">
        <v>0.24</v>
      </c>
      <c r="F29">
        <v>0</v>
      </c>
      <c r="G29">
        <v>12.69</v>
      </c>
      <c r="H29">
        <v>-7.31</v>
      </c>
      <c r="I29">
        <v>13.55</v>
      </c>
      <c r="J29">
        <v>3.0470000000000002</v>
      </c>
      <c r="K29">
        <v>2.6259999999999999</v>
      </c>
      <c r="L29">
        <v>0.59599999999999997</v>
      </c>
      <c r="M29">
        <v>2.0299999999999998</v>
      </c>
    </row>
    <row r="30" spans="1:13" x14ac:dyDescent="0.45">
      <c r="A30" t="s">
        <v>102</v>
      </c>
      <c r="B30">
        <v>2019</v>
      </c>
      <c r="C30">
        <v>6.23</v>
      </c>
      <c r="D30">
        <v>12.27</v>
      </c>
      <c r="E30">
        <v>0.24</v>
      </c>
      <c r="F30">
        <v>0</v>
      </c>
      <c r="G30">
        <v>11.4</v>
      </c>
      <c r="H30">
        <v>-5.27</v>
      </c>
      <c r="I30">
        <v>12.65</v>
      </c>
      <c r="J30">
        <v>3.202</v>
      </c>
      <c r="K30">
        <v>2.782</v>
      </c>
      <c r="L30">
        <v>0.78200000000000003</v>
      </c>
      <c r="M30">
        <v>2</v>
      </c>
    </row>
    <row r="31" spans="1:13" x14ac:dyDescent="0.45">
      <c r="A31" t="s">
        <v>102</v>
      </c>
      <c r="B31">
        <v>2020</v>
      </c>
      <c r="C31">
        <v>6.21</v>
      </c>
      <c r="D31">
        <v>11.38</v>
      </c>
      <c r="E31">
        <v>0.22</v>
      </c>
      <c r="F31">
        <v>0</v>
      </c>
      <c r="G31">
        <v>10.49</v>
      </c>
      <c r="H31">
        <v>-5.85</v>
      </c>
      <c r="I31">
        <v>13.24</v>
      </c>
      <c r="J31">
        <v>3.3839999999999999</v>
      </c>
      <c r="K31">
        <v>2.944</v>
      </c>
      <c r="L31">
        <v>0.84</v>
      </c>
      <c r="M31">
        <v>2.1040000000000001</v>
      </c>
    </row>
    <row r="32" spans="1:13" x14ac:dyDescent="0.45">
      <c r="A32" t="s">
        <v>102</v>
      </c>
      <c r="B32">
        <v>2021</v>
      </c>
      <c r="C32">
        <v>6.36</v>
      </c>
      <c r="D32">
        <v>12.42</v>
      </c>
      <c r="E32">
        <v>0.24</v>
      </c>
      <c r="F32">
        <v>0.01</v>
      </c>
      <c r="G32">
        <v>11.5</v>
      </c>
      <c r="H32">
        <v>-7.54</v>
      </c>
      <c r="I32">
        <v>15.11</v>
      </c>
      <c r="J32">
        <v>3.8239999999999998</v>
      </c>
      <c r="K32">
        <v>3.1779999999999999</v>
      </c>
      <c r="L32">
        <v>0.88100000000000001</v>
      </c>
      <c r="M32">
        <v>2.2970000000000002</v>
      </c>
    </row>
    <row r="33" spans="1:13" x14ac:dyDescent="0.45">
      <c r="A33" t="s">
        <v>102</v>
      </c>
      <c r="B33">
        <v>2022</v>
      </c>
      <c r="C33">
        <v>5.97</v>
      </c>
      <c r="D33">
        <v>12.53</v>
      </c>
      <c r="E33">
        <v>0.24</v>
      </c>
      <c r="F33">
        <v>0.01</v>
      </c>
      <c r="G33">
        <v>11.92</v>
      </c>
      <c r="H33">
        <v>-7.22</v>
      </c>
      <c r="I33">
        <v>14.11</v>
      </c>
      <c r="J33">
        <v>3.5720000000000001</v>
      </c>
      <c r="K33">
        <v>2.8860000000000001</v>
      </c>
      <c r="L33">
        <v>0.95899999999999996</v>
      </c>
      <c r="M33">
        <v>1.927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93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94</v>
      </c>
    </row>
    <row r="82" spans="1:13" x14ac:dyDescent="0.45">
      <c r="A82" t="s">
        <v>0</v>
      </c>
      <c r="B82" t="s">
        <v>93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94</v>
      </c>
    </row>
    <row r="83" spans="1:13" x14ac:dyDescent="0.45">
      <c r="A83" t="s">
        <v>0</v>
      </c>
      <c r="B83" t="s">
        <v>93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94</v>
      </c>
    </row>
    <row r="84" spans="1:13" x14ac:dyDescent="0.45">
      <c r="A84" t="s">
        <v>0</v>
      </c>
      <c r="B84" t="s">
        <v>93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94</v>
      </c>
    </row>
    <row r="85" spans="1:13" x14ac:dyDescent="0.45">
      <c r="A85" t="s">
        <v>0</v>
      </c>
      <c r="B85" t="s">
        <v>93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94</v>
      </c>
    </row>
    <row r="86" spans="1:13" x14ac:dyDescent="0.45">
      <c r="A86" t="s">
        <v>0</v>
      </c>
      <c r="B86" t="s">
        <v>93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94</v>
      </c>
    </row>
    <row r="87" spans="1:13" x14ac:dyDescent="0.45">
      <c r="A87" t="s">
        <v>0</v>
      </c>
      <c r="B87" t="s">
        <v>93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94</v>
      </c>
    </row>
    <row r="88" spans="1:13" x14ac:dyDescent="0.45">
      <c r="A88" t="s">
        <v>2</v>
      </c>
      <c r="B88" t="s">
        <v>93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94</v>
      </c>
    </row>
    <row r="89" spans="1:13" x14ac:dyDescent="0.45">
      <c r="A89" t="s">
        <v>2</v>
      </c>
      <c r="B89" t="s">
        <v>93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94</v>
      </c>
    </row>
    <row r="90" spans="1:13" x14ac:dyDescent="0.45">
      <c r="A90" t="s">
        <v>2</v>
      </c>
      <c r="B90" t="s">
        <v>93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94</v>
      </c>
    </row>
    <row r="91" spans="1:13" x14ac:dyDescent="0.45">
      <c r="A91" t="s">
        <v>2</v>
      </c>
      <c r="B91" t="s">
        <v>93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94</v>
      </c>
    </row>
    <row r="92" spans="1:13" x14ac:dyDescent="0.45">
      <c r="A92" t="s">
        <v>2</v>
      </c>
      <c r="B92" t="s">
        <v>93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94</v>
      </c>
    </row>
    <row r="93" spans="1:13" x14ac:dyDescent="0.45">
      <c r="A93" t="s">
        <v>2</v>
      </c>
      <c r="B93" t="s">
        <v>93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94</v>
      </c>
    </row>
    <row r="94" spans="1:13" x14ac:dyDescent="0.45">
      <c r="A94" t="s">
        <v>2</v>
      </c>
      <c r="B94" t="s">
        <v>93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94</v>
      </c>
    </row>
    <row r="95" spans="1:13" x14ac:dyDescent="0.45">
      <c r="A95" t="s">
        <v>5</v>
      </c>
      <c r="B95" t="s">
        <v>93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94</v>
      </c>
    </row>
    <row r="96" spans="1:13" x14ac:dyDescent="0.45">
      <c r="A96" t="s">
        <v>5</v>
      </c>
      <c r="B96" t="s">
        <v>93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94</v>
      </c>
    </row>
    <row r="97" spans="1:13" x14ac:dyDescent="0.45">
      <c r="A97" t="s">
        <v>5</v>
      </c>
      <c r="B97" t="s">
        <v>93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94</v>
      </c>
    </row>
    <row r="98" spans="1:13" x14ac:dyDescent="0.45">
      <c r="A98" t="s">
        <v>5</v>
      </c>
      <c r="B98" t="s">
        <v>93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94</v>
      </c>
    </row>
    <row r="99" spans="1:13" x14ac:dyDescent="0.45">
      <c r="A99" t="s">
        <v>5</v>
      </c>
      <c r="B99" t="s">
        <v>93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94</v>
      </c>
    </row>
    <row r="100" spans="1:13" x14ac:dyDescent="0.45">
      <c r="A100" t="s">
        <v>5</v>
      </c>
      <c r="B100" t="s">
        <v>93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94</v>
      </c>
    </row>
    <row r="101" spans="1:13" x14ac:dyDescent="0.45">
      <c r="A101" t="s">
        <v>5</v>
      </c>
      <c r="B101" t="s">
        <v>93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94</v>
      </c>
    </row>
    <row r="102" spans="1:13" x14ac:dyDescent="0.45">
      <c r="A102" t="s">
        <v>7</v>
      </c>
      <c r="B102" t="s">
        <v>93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94</v>
      </c>
    </row>
    <row r="103" spans="1:13" x14ac:dyDescent="0.45">
      <c r="A103" t="s">
        <v>7</v>
      </c>
      <c r="B103" t="s">
        <v>93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94</v>
      </c>
    </row>
    <row r="104" spans="1:13" x14ac:dyDescent="0.45">
      <c r="A104" t="s">
        <v>7</v>
      </c>
      <c r="B104" t="s">
        <v>93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94</v>
      </c>
    </row>
    <row r="105" spans="1:13" x14ac:dyDescent="0.45">
      <c r="A105" t="s">
        <v>7</v>
      </c>
      <c r="B105" t="s">
        <v>93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94</v>
      </c>
    </row>
    <row r="106" spans="1:13" x14ac:dyDescent="0.45">
      <c r="A106" t="s">
        <v>7</v>
      </c>
      <c r="B106" t="s">
        <v>93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94</v>
      </c>
    </row>
    <row r="107" spans="1:13" x14ac:dyDescent="0.45">
      <c r="A107" t="s">
        <v>7</v>
      </c>
      <c r="B107" t="s">
        <v>93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94</v>
      </c>
    </row>
    <row r="108" spans="1:13" x14ac:dyDescent="0.45">
      <c r="A108" t="s">
        <v>7</v>
      </c>
      <c r="B108" t="s">
        <v>93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94</v>
      </c>
    </row>
    <row r="109" spans="1:13" x14ac:dyDescent="0.45">
      <c r="A109" t="s">
        <v>9</v>
      </c>
      <c r="B109" t="s">
        <v>93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94</v>
      </c>
    </row>
    <row r="110" spans="1:13" x14ac:dyDescent="0.45">
      <c r="A110" t="s">
        <v>9</v>
      </c>
      <c r="B110" t="s">
        <v>93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94</v>
      </c>
    </row>
    <row r="111" spans="1:13" x14ac:dyDescent="0.45">
      <c r="A111" t="s">
        <v>9</v>
      </c>
      <c r="B111" t="s">
        <v>93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94</v>
      </c>
    </row>
    <row r="112" spans="1:13" x14ac:dyDescent="0.45">
      <c r="A112" t="s">
        <v>9</v>
      </c>
      <c r="B112" t="s">
        <v>93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94</v>
      </c>
    </row>
    <row r="113" spans="1:13" x14ac:dyDescent="0.45">
      <c r="A113" t="s">
        <v>9</v>
      </c>
      <c r="B113" t="s">
        <v>93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94</v>
      </c>
    </row>
    <row r="114" spans="1:13" x14ac:dyDescent="0.45">
      <c r="A114" t="s">
        <v>9</v>
      </c>
      <c r="B114" t="s">
        <v>93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94</v>
      </c>
    </row>
    <row r="115" spans="1:13" x14ac:dyDescent="0.45">
      <c r="A115" t="s">
        <v>9</v>
      </c>
      <c r="B115" t="s">
        <v>93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94</v>
      </c>
    </row>
    <row r="116" spans="1:13" x14ac:dyDescent="0.45">
      <c r="A116" t="s">
        <v>0</v>
      </c>
      <c r="B116" t="s">
        <v>93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93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93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93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93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93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93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93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93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93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93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93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93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93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93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93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93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93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93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93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93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93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93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93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93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93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93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93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93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93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93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93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93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93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93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93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93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93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93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93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93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93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93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93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93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93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93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93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93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93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93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93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93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93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93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93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93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93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93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93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93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93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93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93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93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93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93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93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93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93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93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93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93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93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93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93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93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93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93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93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93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93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93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93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93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93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93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93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93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93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93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93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93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93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93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93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93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93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93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93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93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93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93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93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93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93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93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93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93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93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93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93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93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93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93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93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93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93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93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93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93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93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93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93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93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93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93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93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93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93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93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93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93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93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93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93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93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93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93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93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2026-08-27T07:46:09Z</dcterms:modified>
</cp:coreProperties>
</file>