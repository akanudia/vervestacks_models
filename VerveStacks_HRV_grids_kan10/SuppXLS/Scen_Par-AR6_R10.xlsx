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4E373570-2557-46F2-ADAD-AD892E864FD6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Q23" i="1" s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<sst xmlns="http://schemas.openxmlformats.org/spreadsheetml/2006/main" count="1718" uniqueCount="126">
  <si>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</si>
  <si>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</si>
  <si>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</si>
  <si>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</si>
  <si>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</si>
  <si>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</si>
  <si>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</si>
  <si>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</si>
  <si>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</si>
  <si>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</si>
  <si>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</si>
  <si>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</si>
  <si>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</si>
  <si>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</si>
  <si>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</si>
  <si>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</si>
  <si>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</si>
  <si>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</si>
  <si>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</si>
  <si>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</si>
  <si>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</si>
  <si>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</si>
  <si>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</si>
  <si>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</si>
  <si>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</si>
  <si>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</si>
  <si>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</si>
  <si>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</si>
  <si>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</si>
  <si>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</si>
  <si>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</si>
  <si>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</si>
  <si>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</si>
  <si>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</si>
  <si>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</si>
  <si>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</si>
  <si>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</si>
  <si>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</si>
  <si>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</si>
  <si>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</si>
  <si>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</si>
  <si>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</si>
  <si>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</si>
  <si>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</si>
  <si>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</si>
  <si>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</si>
  <si>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</si>
  <si>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</si>
  <si>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</si>
  <si>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</si>
  <si>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</si>
  <si>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</si>
  <si>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</si>
  <si>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</si>
  <si>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</si>
  <si>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</si>
  <si>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</si>
  <si>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</si>
  <si>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</si>
  <si>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</si>
  <si>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</si>
  <si>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</si>
  <si>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</si>
  <si>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</si>
  <si>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</si>
  <si>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</si>
  <si>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</si>
  <si>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</si>
  <si>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</si>
  <si>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</si>
  <si>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</si>
  <si>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</si>
  <si>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</si>
  <si>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</si>
  <si>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</si>
  <si>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</si>
  <si>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</si>
  <si>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</si>
  <si>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</si>
  <si>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</si>
  <si>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</si>
  <si>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</si>
  <si>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</si>
  <si>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</si>
  <si>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</si>
  <si>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</si>
  <si>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</si>
  <si>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</si>
  <si>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</si>
  <si>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</si>
  <si>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</si>
  <si>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</si>
  <si>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</si>
  <si>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</si>
  <si>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</si>
  <si>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</si>
  <si>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</si>
  <si>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</si>
  <si>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</si>
  <si>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</si>
  <si>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</si>
  <si>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</si>
  <si>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</si>
  <si>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</si>
  <si>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</si>
  <si>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</si>
  <si>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</si>
  <si>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</si>
  <si>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</si>
  <si>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</si>
  <si>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</si>
  <si>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</si>
  <si>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</si>
  <si>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</si>
  <si>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</si>
  <si>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</si>
  <si>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</si>
  <si>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</si>
  <si>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</si>
  <si>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heat_industry_twh</t>
  </si>
  <si>
    <t>heat_buildings_twh</t>
  </si>
  <si>
    <t>HRV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</si>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</sst>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121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18.810000000000002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3.5720000000000001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18.810000000000002</v>
      </c>
      <c r="P14" s="8">
        <f t="shared" ref="P14:U14" si="1">$N$11*E14</f>
        <v>19.750500000000002</v>
      </c>
      <c r="Q14" s="8">
        <f t="shared" si="1"/>
        <v>22.0077</v>
      </c>
      <c r="R14" s="8">
        <f t="shared" si="1"/>
        <v>24.264900000000004</v>
      </c>
      <c r="S14" s="8">
        <f t="shared" si="1"/>
        <v>26.7102</v>
      </c>
      <c r="T14" s="8">
        <f t="shared" si="1"/>
        <v>29.907900000000005</v>
      </c>
      <c r="U14" s="8">
        <f t="shared" si="1"/>
        <v>32.541300000000007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region=HRV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6.9597000000000007</v>
      </c>
      <c r="P19" s="6">
        <f t="shared" si="4"/>
        <v>6.9126750000000001</v>
      </c>
      <c r="Q19" s="6">
        <f t="shared" si="4"/>
        <v>7.4826180000000004</v>
      </c>
      <c r="R19" s="6">
        <f t="shared" si="4"/>
        <v>8.007417000000002</v>
      </c>
      <c r="S19" s="6">
        <f t="shared" si="4"/>
        <v>8.0130599999999994</v>
      </c>
      <c r="T19" s="6">
        <f t="shared" si="4"/>
        <v>8.6732910000000007</v>
      </c>
      <c r="U19" s="6">
        <f t="shared" si="4"/>
        <v>9.7623900000000017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11.097900000000001</v>
      </c>
      <c r="P20" s="6">
        <f t="shared" si="4"/>
        <v>11.652795000000001</v>
      </c>
      <c r="Q20" s="6">
        <f t="shared" si="4"/>
        <v>12.984542999999999</v>
      </c>
      <c r="R20" s="6">
        <f t="shared" si="4"/>
        <v>14.073642000000001</v>
      </c>
      <c r="S20" s="6">
        <f t="shared" si="4"/>
        <v>15.491916</v>
      </c>
      <c r="T20" s="6">
        <f t="shared" si="4"/>
        <v>16.748424000000004</v>
      </c>
      <c r="U20" s="6">
        <f t="shared" si="4"/>
        <v>17.572302000000004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0.56430000000000002</v>
      </c>
      <c r="P21" s="6">
        <f t="shared" ref="P21:U21" si="5">O21</f>
        <v>0.56430000000000002</v>
      </c>
      <c r="Q21" s="6">
        <f t="shared" si="5"/>
        <v>0.56430000000000002</v>
      </c>
      <c r="R21" s="6">
        <f t="shared" si="5"/>
        <v>0.56430000000000002</v>
      </c>
      <c r="S21" s="6">
        <f t="shared" si="5"/>
        <v>0.56430000000000002</v>
      </c>
      <c r="T21" s="6">
        <f t="shared" si="5"/>
        <v>0.56430000000000002</v>
      </c>
      <c r="U21" s="6">
        <f t="shared" si="5"/>
        <v>0.56430000000000002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0.18810000000000215</v>
      </c>
      <c r="P22" s="6">
        <f t="shared" si="6"/>
        <v>0.62073000000000178</v>
      </c>
      <c r="Q22" s="6">
        <f t="shared" si="6"/>
        <v>0.97623900000000319</v>
      </c>
      <c r="R22" s="6">
        <f t="shared" si="6"/>
        <v>1.6195410000000017</v>
      </c>
      <c r="S22" s="6">
        <f t="shared" si="6"/>
        <v>2.6409240000000018</v>
      </c>
      <c r="T22" s="6">
        <f t="shared" si="6"/>
        <v>3.9218849999999996</v>
      </c>
      <c r="U22" s="6">
        <f t="shared" si="6"/>
        <v>4.6423080000000034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3.5720000000000001</v>
      </c>
      <c r="P23" s="20">
        <f>$N$12*E15</f>
        <v>3.5005600000000001</v>
      </c>
      <c r="Q23" s="20">
        <f>$N$12*F15</f>
        <v>3.4291199999999997</v>
      </c>
      <c r="R23" s="20">
        <f t="shared" ref="R23:U23" si="7">$N$12*G15</f>
        <v>3.2862400000000003</v>
      </c>
      <c r="S23" s="20">
        <f t="shared" si="7"/>
        <v>3.00048</v>
      </c>
      <c r="T23" s="20">
        <f t="shared" si="7"/>
        <v>2.9647600000000001</v>
      </c>
      <c r="U23" s="20">
        <f t="shared" si="7"/>
        <v>2.8576000000000001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region=HRV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11.92</v>
      </c>
      <c r="N28" t="s">
        <v>30</v>
      </c>
      <c r="O28" s="3">
        <f>L28</f>
        <v>11.92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-7.22</v>
      </c>
      <c r="N29" t="s">
        <v>33</v>
      </c>
      <c r="O29" s="3">
        <f>-1*L29</f>
        <v>7.22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region=HRV;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33.4</v>
      </c>
      <c r="E45">
        <f t="shared" si="10"/>
        <v>35.738</v>
      </c>
      <c r="F45">
        <f t="shared" si="10"/>
        <v>41.415999999999997</v>
      </c>
      <c r="G45">
        <f t="shared" si="10"/>
        <v>38.409999999999997</v>
      </c>
      <c r="H45">
        <f t="shared" si="10"/>
        <v>41.75</v>
      </c>
      <c r="I45">
        <f t="shared" si="10"/>
        <v>39.077999999999996</v>
      </c>
      <c r="J45">
        <f t="shared" si="10"/>
        <v>44.756</v>
      </c>
      <c r="M45">
        <f>HLOOKUP($B45&amp;"_"&amp;M$44,fuel_prices!$B$10:$I$100,MATCH($A$1,fuel_prices!$A$10:$A$100,0),FALSE)</f>
        <v>27.4</v>
      </c>
      <c r="N45">
        <f>HLOOKUP($B45&amp;"_"&amp;N$44,fuel_prices!$B$10:$I$100,MATCH($A$1,fuel_prices!$A$10:$A$100,0),FALSE)</f>
        <v>39.4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13.7</v>
      </c>
      <c r="E46">
        <f t="shared" si="10"/>
        <v>13.974</v>
      </c>
      <c r="F46">
        <f t="shared" si="10"/>
        <v>14.522</v>
      </c>
      <c r="G46">
        <f t="shared" si="10"/>
        <v>14.659000000000001</v>
      </c>
      <c r="H46">
        <f t="shared" si="10"/>
        <v>14.795999999999999</v>
      </c>
      <c r="I46">
        <f t="shared" si="10"/>
        <v>15.07</v>
      </c>
      <c r="J46">
        <f t="shared" si="10"/>
        <v>15.344000000000001</v>
      </c>
      <c r="M46">
        <f>HLOOKUP($B46&amp;"_"&amp;M$44,fuel_prices!$B$10:$I$100,MATCH($A$1,fuel_prices!$A$10:$A$100,0),FALSE)</f>
        <v>12.2</v>
      </c>
      <c r="N46">
        <f>HLOOKUP($B46&amp;"_"&amp;N$44,fuel_prices!$B$10:$I$100,MATCH($A$1,fuel_prices!$A$10:$A$100,0),FALSE)</f>
        <v>15.2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26</v>
      </c>
      <c r="J48">
        <f>VLOOKUP($C$14,$AF$9:$AH$15,3,FALSE)*D48</f>
        <v>78</v>
      </c>
      <c r="M48">
        <f>HLOOKUP($B48&amp;"_"&amp;M$44,fuel_prices!$B$10:$I$100,MATCH($A$1,fuel_prices!$A$10:$A$100,0),FALSE)</f>
        <v>22</v>
      </c>
      <c r="N48">
        <f>HLOOKUP($B48&amp;"_"&amp;N$44,fuel_prices!$B$10:$I$100,MATCH($A$1,fuel_prices!$A$10:$A$100,0),FALSE)</f>
        <v>30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123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124</v>
      </c>
      <c r="C84">
        <v>3.3</v>
      </c>
      <c r="D84">
        <v>2.6</v>
      </c>
      <c r="E84">
        <v>2.7</v>
      </c>
      <c r="F84" t="s">
        <v>125</v>
      </c>
    </row>
    <row r="85" spans="1:6" x14ac:dyDescent="0.45">
      <c r="A85" t="s">
        <v>30</v>
      </c>
      <c r="B85" t="s">
        <v>124</v>
      </c>
      <c r="C85">
        <v>1.2</v>
      </c>
      <c r="D85">
        <v>0.9</v>
      </c>
      <c r="E85">
        <v>1.544</v>
      </c>
      <c r="F85" t="s">
        <v>125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121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  <c r="L10" t="s">
        <v>119</v>
      </c>
      <c r="M10" t="s">
        <v>120</v>
      </c>
    </row>
    <row r="11" spans="1:13" x14ac:dyDescent="0.45">
      <c r="A11" t="s">
        <v>121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121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121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121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121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121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121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121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121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121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121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121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121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121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121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121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121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121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121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121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121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121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121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2026-08-26T07:56:47Z</dcterms:modified>
</cp:coreProperties>
</file>