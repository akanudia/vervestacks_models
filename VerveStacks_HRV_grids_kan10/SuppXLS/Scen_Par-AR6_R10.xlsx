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ppXLS\"/>
    </mc:Choice>
  </mc:AlternateContent>
  <xr:revisionPtr revIDLastSave="0" documentId="13_ncr:1_{02E4EDE7-4E0E-40EB-BA8D-B5EC3A0744F1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" l="1"/>
  <c r="M48" i="1"/>
  <c r="N47" i="1"/>
  <c r="M47" i="1"/>
  <c r="N46" i="1"/>
  <c r="M46" i="1"/>
  <c r="N45" i="1"/>
  <c r="M45" i="1"/>
  <c r="J40" i="1"/>
  <c r="I40" i="1"/>
  <c r="H40" i="1"/>
  <c r="G40" i="1"/>
  <c r="F40" i="1"/>
  <c r="E40" i="1"/>
  <c r="D40" i="1"/>
  <c r="J39" i="1"/>
  <c r="I39" i="1"/>
  <c r="H39" i="1"/>
  <c r="G39" i="1"/>
  <c r="F39" i="1"/>
  <c r="E39" i="1"/>
  <c r="D39" i="1"/>
  <c r="J38" i="1"/>
  <c r="I38" i="1"/>
  <c r="H38" i="1"/>
  <c r="G38" i="1"/>
  <c r="F38" i="1"/>
  <c r="E38" i="1"/>
  <c r="D38" i="1"/>
  <c r="J37" i="1"/>
  <c r="I37" i="1"/>
  <c r="H37" i="1"/>
  <c r="G37" i="1"/>
  <c r="F37" i="1"/>
  <c r="E37" i="1"/>
  <c r="D37" i="1"/>
  <c r="L29" i="1"/>
  <c r="L28" i="1"/>
  <c r="N12" i="1"/>
  <c r="B43" i="1"/>
  <c r="N26" i="1"/>
  <c r="N16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3" i="1" l="1"/>
  <c r="AD16" i="1"/>
  <c r="AD15" i="1"/>
  <c r="AD14" i="1"/>
  <c r="AD13" i="1"/>
  <c r="AD12" i="1"/>
  <c r="AD11" i="1"/>
  <c r="AE15" i="1"/>
  <c r="AE16" i="1"/>
  <c r="AE21" i="1" s="1"/>
  <c r="AE26" i="1" s="1"/>
  <c r="AE31" i="1" s="1"/>
  <c r="AE36" i="1" s="1"/>
  <c r="AE41" i="1" s="1"/>
  <c r="AE46" i="1" s="1"/>
  <c r="AE51" i="1" s="1"/>
  <c r="AE56" i="1" s="1"/>
  <c r="AE61" i="1" s="1"/>
  <c r="AE66" i="1" s="1"/>
  <c r="AE71" i="1" s="1"/>
  <c r="AE76" i="1" s="1"/>
  <c r="AE17" i="1"/>
  <c r="AE22" i="1" s="1"/>
  <c r="AE27" i="1" s="1"/>
  <c r="AE32" i="1" s="1"/>
  <c r="AE37" i="1" s="1"/>
  <c r="AE42" i="1" s="1"/>
  <c r="AE47" i="1" s="1"/>
  <c r="AE52" i="1" s="1"/>
  <c r="AE57" i="1" s="1"/>
  <c r="AE62" i="1" s="1"/>
  <c r="AE67" i="1" s="1"/>
  <c r="AE72" i="1" s="1"/>
  <c r="AE77" i="1" s="1"/>
  <c r="AE18" i="1"/>
  <c r="AE23" i="1" s="1"/>
  <c r="AE14" i="1"/>
  <c r="AE19" i="1" s="1"/>
  <c r="AE28" i="1" l="1"/>
  <c r="AE24" i="1"/>
  <c r="AE20" i="1"/>
  <c r="C48" i="1"/>
  <c r="C47" i="1"/>
  <c r="C46" i="1"/>
  <c r="C45" i="1"/>
  <c r="AE33" i="1" l="1"/>
  <c r="AE25" i="1"/>
  <c r="AE29" i="1"/>
  <c r="O29" i="1"/>
  <c r="O28" i="1"/>
  <c r="N11" i="1" s="1"/>
  <c r="U27" i="1"/>
  <c r="T27" i="1"/>
  <c r="S27" i="1"/>
  <c r="R27" i="1"/>
  <c r="Q27" i="1"/>
  <c r="P27" i="1"/>
  <c r="O27" i="1"/>
  <c r="J17" i="1"/>
  <c r="I17" i="1"/>
  <c r="H17" i="1"/>
  <c r="G17" i="1"/>
  <c r="F17" i="1"/>
  <c r="E17" i="1"/>
  <c r="E44" i="1" s="1"/>
  <c r="AE38" i="1" l="1"/>
  <c r="AE34" i="1"/>
  <c r="AE30" i="1"/>
  <c r="E45" i="1"/>
  <c r="D47" i="1"/>
  <c r="H44" i="1"/>
  <c r="I44" i="1"/>
  <c r="F45" i="1"/>
  <c r="G45" i="1"/>
  <c r="D46" i="1"/>
  <c r="F46" i="1"/>
  <c r="H45" i="1"/>
  <c r="I45" i="1"/>
  <c r="G46" i="1"/>
  <c r="H46" i="1"/>
  <c r="I46" i="1"/>
  <c r="D48" i="1"/>
  <c r="I47" i="1"/>
  <c r="D45" i="1"/>
  <c r="F47" i="1"/>
  <c r="G47" i="1"/>
  <c r="E47" i="1"/>
  <c r="H47" i="1"/>
  <c r="J47" i="1"/>
  <c r="J45" i="1"/>
  <c r="F44" i="1"/>
  <c r="G44" i="1"/>
  <c r="J46" i="1"/>
  <c r="J44" i="1"/>
  <c r="E46" i="1"/>
  <c r="O14" i="1"/>
  <c r="AE43" i="1" l="1"/>
  <c r="AE39" i="1"/>
  <c r="AE35" i="1"/>
  <c r="AE48" i="1" l="1"/>
  <c r="AE40" i="1"/>
  <c r="AE44" i="1"/>
  <c r="AE53" i="1" l="1"/>
  <c r="AE58" i="1" s="1"/>
  <c r="AE63" i="1" s="1"/>
  <c r="AE68" i="1" s="1"/>
  <c r="AE73" i="1" s="1"/>
  <c r="AE78" i="1" s="1"/>
  <c r="AE49" i="1"/>
  <c r="AE45" i="1"/>
  <c r="AE50" i="1" l="1"/>
  <c r="C24" i="1"/>
  <c r="AE54" i="1"/>
  <c r="J24" i="1" l="1"/>
  <c r="I24" i="1"/>
  <c r="T24" i="1" s="1"/>
  <c r="H24" i="1"/>
  <c r="S24" i="1" s="1"/>
  <c r="G24" i="1"/>
  <c r="R24" i="1" s="1"/>
  <c r="F24" i="1"/>
  <c r="Q24" i="1" s="1"/>
  <c r="U24" i="1"/>
  <c r="C14" i="1"/>
  <c r="AE59" i="1"/>
  <c r="AE55" i="1"/>
  <c r="I21" i="1" l="1"/>
  <c r="H18" i="1"/>
  <c r="H21" i="1"/>
  <c r="G18" i="1"/>
  <c r="G21" i="1"/>
  <c r="F18" i="1"/>
  <c r="D21" i="1"/>
  <c r="O21" i="1" s="1"/>
  <c r="P21" i="1" s="1"/>
  <c r="Q21" i="1" s="1"/>
  <c r="R21" i="1" s="1"/>
  <c r="S21" i="1" s="1"/>
  <c r="T21" i="1" s="1"/>
  <c r="U21" i="1" s="1"/>
  <c r="H15" i="1"/>
  <c r="S23" i="1" s="1"/>
  <c r="E15" i="1"/>
  <c r="P23" i="1" s="1"/>
  <c r="D15" i="1"/>
  <c r="J14" i="1"/>
  <c r="U14" i="1" s="1"/>
  <c r="H14" i="1"/>
  <c r="S14" i="1" s="1"/>
  <c r="G14" i="1"/>
  <c r="R14" i="1" s="1"/>
  <c r="F14" i="1"/>
  <c r="Q14" i="1" s="1"/>
  <c r="D19" i="1"/>
  <c r="O19" i="1" s="1"/>
  <c r="I18" i="1"/>
  <c r="F21" i="1"/>
  <c r="E18" i="1"/>
  <c r="E21" i="1"/>
  <c r="D18" i="1"/>
  <c r="O18" i="1" s="1"/>
  <c r="J15" i="1"/>
  <c r="U23" i="1" s="1"/>
  <c r="J20" i="1"/>
  <c r="I15" i="1"/>
  <c r="I20" i="1"/>
  <c r="H20" i="1"/>
  <c r="G15" i="1"/>
  <c r="R23" i="1" s="1"/>
  <c r="G20" i="1"/>
  <c r="F15" i="1"/>
  <c r="F20" i="1"/>
  <c r="E20" i="1"/>
  <c r="D20" i="1"/>
  <c r="O20" i="1" s="1"/>
  <c r="J19" i="1"/>
  <c r="I19" i="1"/>
  <c r="I14" i="1"/>
  <c r="T14" i="1" s="1"/>
  <c r="H19" i="1"/>
  <c r="G19" i="1"/>
  <c r="F19" i="1"/>
  <c r="E19" i="1"/>
  <c r="E14" i="1"/>
  <c r="P14" i="1" s="1"/>
  <c r="D14" i="1"/>
  <c r="J18" i="1"/>
  <c r="J21" i="1"/>
  <c r="Q23" i="1"/>
  <c r="T23" i="1"/>
  <c r="J48" i="1"/>
  <c r="AE60" i="1"/>
  <c r="AE64" i="1"/>
  <c r="T18" i="1" l="1"/>
  <c r="Q19" i="1"/>
  <c r="P20" i="1"/>
  <c r="P19" i="1"/>
  <c r="S19" i="1"/>
  <c r="T19" i="1"/>
  <c r="Q20" i="1"/>
  <c r="U18" i="1"/>
  <c r="T20" i="1"/>
  <c r="R20" i="1"/>
  <c r="S20" i="1"/>
  <c r="U19" i="1"/>
  <c r="P18" i="1"/>
  <c r="O22" i="1"/>
  <c r="U20" i="1"/>
  <c r="R19" i="1"/>
  <c r="R22" i="1" s="1"/>
  <c r="R18" i="1"/>
  <c r="S18" i="1"/>
  <c r="Q18" i="1"/>
  <c r="AE69" i="1"/>
  <c r="AE65" i="1"/>
  <c r="S22" i="1" l="1"/>
  <c r="T22" i="1"/>
  <c r="Q22" i="1"/>
  <c r="U22" i="1"/>
  <c r="P22" i="1"/>
  <c r="AE70" i="1"/>
  <c r="AE74" i="1"/>
  <c r="AE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<sst xmlns="http://schemas.openxmlformats.org/spreadsheetml/2006/main" count="1718" uniqueCount="126">
  <si>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</si>
  <si>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</si>
  <si>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</si>
  <si>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</si>
  <si>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</si>
  <si>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</si>
  <si>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</si>
  <si>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</si>
  <si>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</si>
  <si>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</si>
  <si>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</si>
  <si>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</si>
  <si>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</si>
  <si>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</si>
  <si>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</si>
  <si>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</si>
  <si>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</si>
  <si>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</si>
  <si>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</si>
  <si>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</si>
  <si>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</si>
  <si>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</si>
  <si>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</si>
  <si>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</si>
  <si>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</si>
  <si>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</si>
  <si>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</si>
  <si>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</si>
  <si>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</si>
  <si>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</si>
  <si>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</si>
  <si>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</si>
  <si>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</si>
  <si>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</si>
  <si>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</si>
  <si>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</si>
  <si>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</si>
  <si>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</si>
  <si>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</si>
  <si>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</si>
  <si>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</si>
  <si>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</si>
  <si>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</si>
  <si>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</si>
  <si>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</si>
  <si>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</si>
  <si>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</si>
  <si>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</si>
  <si>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</si>
  <si>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</si>
  <si>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</si>
  <si>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</si>
  <si>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</si>
  <si>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</si>
  <si>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</si>
  <si>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</si>
  <si>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</si>
  <si>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</si>
  <si>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</si>
  <si>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</si>
  <si>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</si>
  <si>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</si>
  <si>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</si>
  <si>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</si>
  <si>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</si>
  <si>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</si>
  <si>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</si>
  <si>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</si>
  <si>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</si>
  <si>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</si>
  <si>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</si>
  <si>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</si>
  <si>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</si>
  <si>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</si>
  <si>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</si>
  <si>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</si>
  <si>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</si>
  <si>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</si>
  <si>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</si>
  <si>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</si>
  <si>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</si>
  <si>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</si>
  <si>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</si>
  <si>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</si>
  <si>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</si>
  <si>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</si>
  <si>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</si>
  <si>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</si>
  <si>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</si>
  <si>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</si>
  <si>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</si>
  <si>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</si>
  <si>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</si>
  <si>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</si>
  <si>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</si>
  <si>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</si>
  <si>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</si>
  <si>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</si>
  <si>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</si>
  <si>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</si>
  <si>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</si>
  <si>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</si>
  <si>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</si>
  <si>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</si>
  <si>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</si>
  <si>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</si>
  <si>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</si>
  <si>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</si>
  <si>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</si>
  <si>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</si>
  <si>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</si>
  <si>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</si>
  <si>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</si>
  <si>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</si>
  <si>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</si>
  <si>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</si>
  <si>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HET</t>
  </si>
  <si>
    <t>1-8</t>
  </si>
  <si>
    <t>chp_heat_twh</t>
  </si>
  <si>
    <t>heat_industry_twh</t>
  </si>
  <si>
    <t>heat_buildings_twh</t>
  </si>
  <si>
    <t>HRV</t>
  </si>
  <si>
    <t>Krk LNG, forest resources</t>
  </si>
  <si>
    <t>~tfm_ins-ts: region=HRV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</si>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</sst>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Veda!$O$17:$U$17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Veda!$O$14:$U$14</c:f>
              <c:numCache>
                <c:formatCode>0</c:formatCode>
                <c:ptCount val="7"/>
                <c:pt idx="0">
                  <c:v>18.810000000000002</c:v>
                </c:pt>
                <c:pt idx="1">
                  <c:v>19.750500000000002</c:v>
                </c:pt>
                <c:pt idx="2">
                  <c:v>22.0077</c:v>
                </c:pt>
                <c:pt idx="3">
                  <c:v>24.264900000000004</c:v>
                </c:pt>
                <c:pt idx="4">
                  <c:v>26.7102</c:v>
                </c:pt>
                <c:pt idx="5">
                  <c:v>29.907900000000005</c:v>
                </c:pt>
                <c:pt idx="6">
                  <c:v>32.541300000000007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Veda!$D$17:$J$17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Veda!$D$24:$J$24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24</xdr:row>
      <xdr:rowOff>171450</xdr:rowOff>
    </xdr:from>
    <xdr:to>
      <xdr:col>10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117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93</v>
      </c>
    </row>
    <row r="8" spans="1:7" ht="14.65" thickBot="1" x14ac:dyDescent="0.5">
      <c r="A8" s="4" t="s">
        <v>96</v>
      </c>
      <c r="B8" s="4" t="s">
        <v>94</v>
      </c>
      <c r="C8" s="4" t="s">
        <v>95</v>
      </c>
      <c r="D8" s="4" t="s">
        <v>16</v>
      </c>
      <c r="E8" s="4" t="s">
        <v>114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113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113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113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113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85"/>
  <sheetViews>
    <sheetView tabSelected="1" topLeftCell="A10" workbookViewId="0">
      <selection activeCell="J24" sqref="J24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121</v>
      </c>
      <c r="B1" s="16"/>
    </row>
    <row r="2" spans="1:34" x14ac:dyDescent="0.45">
      <c r="A2" s="15" t="s">
        <v>111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113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100</v>
      </c>
    </row>
    <row r="9" spans="1:34" x14ac:dyDescent="0.45">
      <c r="N9" t="s">
        <v>4</v>
      </c>
      <c r="AB9">
        <v>1</v>
      </c>
      <c r="AC9" t="s">
        <v>84</v>
      </c>
      <c r="AD9" t="s">
        <v>110</v>
      </c>
      <c r="AE9" s="10">
        <v>1</v>
      </c>
      <c r="AF9" t="s">
        <v>0</v>
      </c>
      <c r="AG9" t="s">
        <v>86</v>
      </c>
      <c r="AH9" s="12">
        <v>5</v>
      </c>
    </row>
    <row r="10" spans="1:34" x14ac:dyDescent="0.45">
      <c r="N10" s="1">
        <v>2022</v>
      </c>
      <c r="AB10">
        <v>2</v>
      </c>
      <c r="AC10" t="s">
        <v>99</v>
      </c>
      <c r="AD10" t="s">
        <v>109</v>
      </c>
      <c r="AE10" s="10">
        <v>1</v>
      </c>
      <c r="AF10" t="s">
        <v>2</v>
      </c>
      <c r="AG10" t="s">
        <v>88</v>
      </c>
      <c r="AH10" s="12">
        <v>4</v>
      </c>
    </row>
    <row r="11" spans="1:34" ht="14.65" thickBot="1" x14ac:dyDescent="0.5">
      <c r="N11" s="17">
        <f>SUMIFS(iea_data!I3:I9999,iea_data!$B$3:$B$9999,$N$10,iea_data!$A$3:A$9999,$A$1)+O28-O29</f>
        <v>18.810000000000002</v>
      </c>
      <c r="O11" s="2" t="s">
        <v>55</v>
      </c>
      <c r="AB11">
        <v>3</v>
      </c>
      <c r="AC11" t="s">
        <v>97</v>
      </c>
      <c r="AD11" t="str">
        <f>AC11</f>
        <v>ts_012</v>
      </c>
      <c r="AE11" s="10">
        <v>1</v>
      </c>
      <c r="AF11" t="s">
        <v>5</v>
      </c>
      <c r="AG11" t="s">
        <v>89</v>
      </c>
      <c r="AH11" s="12">
        <v>3</v>
      </c>
    </row>
    <row r="12" spans="1:34" ht="14.65" customHeight="1" thickTop="1" thickBot="1" x14ac:dyDescent="0.5">
      <c r="N12" s="17">
        <f>SUMIFS(iea_data!J3:J9999,iea_data!$B$3:$B$9999,$N$10,iea_data!$A$3:A$9999,$A$1)</f>
        <v>3.5720000000000001</v>
      </c>
      <c r="AB12">
        <v>4</v>
      </c>
      <c r="AC12" t="s">
        <v>102</v>
      </c>
      <c r="AD12" t="str">
        <f t="shared" ref="AD12:AD16" si="0">AC12</f>
        <v>ts_030</v>
      </c>
      <c r="AE12" s="10">
        <v>1</v>
      </c>
      <c r="AF12" t="s">
        <v>7</v>
      </c>
      <c r="AG12" t="s">
        <v>90</v>
      </c>
      <c r="AH12" s="12">
        <v>3</v>
      </c>
    </row>
    <row r="13" spans="1:34" ht="14.65" customHeight="1" thickTop="1" x14ac:dyDescent="0.45">
      <c r="AB13">
        <v>5</v>
      </c>
      <c r="AC13" t="s">
        <v>98</v>
      </c>
      <c r="AD13" t="str">
        <f t="shared" si="0"/>
        <v>ts_048</v>
      </c>
      <c r="AE13" s="10">
        <v>1</v>
      </c>
      <c r="AF13" t="s">
        <v>9</v>
      </c>
      <c r="AG13" t="s">
        <v>91</v>
      </c>
      <c r="AH13" s="12">
        <v>1.5</v>
      </c>
    </row>
    <row r="14" spans="1:34" ht="14.65" thickBot="1" x14ac:dyDescent="0.5">
      <c r="B14" t="s">
        <v>11</v>
      </c>
      <c r="C14" s="3" t="str">
        <f>VLOOKUP(controller!$D$5,$I$3:$J$5,2,FALSE)</f>
        <v>C4</v>
      </c>
      <c r="D14" s="11">
        <f>SUMIFS(ar6_r10!$F$2:$F$99999,ar6_r10!$A$2:$A$99999,$C$14,ar6_r10!$C$2:$C$99999,D$17,ar6_r10!$M$2:$M$99999,$B14,ar6_r10!$B$2:$B$99999,$A$2)</f>
        <v>1</v>
      </c>
      <c r="E14" s="11">
        <f>SUMIFS(ar6_r10!$F$2:$F$99999,ar6_r10!$A$2:$A$99999,$C$14,ar6_r10!$C$2:$C$99999,E$17,ar6_r10!$M$2:$M$99999,$B14,ar6_r10!$B$2:$B$99999,$A$2)</f>
        <v>1.05</v>
      </c>
      <c r="F14" s="11">
        <f>SUMIFS(ar6_r10!$F$2:$F$99999,ar6_r10!$A$2:$A$99999,$C$14,ar6_r10!$C$2:$C$99999,F$17,ar6_r10!$M$2:$M$99999,$B14,ar6_r10!$B$2:$B$99999,$A$2)</f>
        <v>1.17</v>
      </c>
      <c r="G14" s="11">
        <f>SUMIFS(ar6_r10!$F$2:$F$99999,ar6_r10!$A$2:$A$99999,$C$14,ar6_r10!$C$2:$C$99999,G$17,ar6_r10!$M$2:$M$99999,$B14,ar6_r10!$B$2:$B$99999,$A$2)</f>
        <v>1.29</v>
      </c>
      <c r="H14" s="11">
        <f>SUMIFS(ar6_r10!$F$2:$F$99999,ar6_r10!$A$2:$A$99999,$C$14,ar6_r10!$C$2:$C$99999,H$17,ar6_r10!$M$2:$M$99999,$B14,ar6_r10!$B$2:$B$99999,$A$2)</f>
        <v>1.42</v>
      </c>
      <c r="I14" s="11">
        <f>SUMIFS(ar6_r10!$F$2:$F$99999,ar6_r10!$A$2:$A$99999,$C$14,ar6_r10!$C$2:$C$99999,I$17,ar6_r10!$M$2:$M$99999,$B14,ar6_r10!$B$2:$B$99999,$A$2)</f>
        <v>1.59</v>
      </c>
      <c r="J14" s="11">
        <f>SUMIFS(ar6_r10!$F$2:$F$99999,ar6_r10!$A$2:$A$99999,$C$14,ar6_r10!$C$2:$C$99999,J$17,ar6_r10!$M$2:$M$99999,$B14,ar6_r10!$B$2:$B$99999,$A$2)</f>
        <v>1.73</v>
      </c>
      <c r="O14" s="8">
        <f>N11</f>
        <v>18.810000000000002</v>
      </c>
      <c r="P14" s="8">
        <f t="shared" ref="P14:U14" si="1">$N$11*E14</f>
        <v>19.750500000000002</v>
      </c>
      <c r="Q14" s="8">
        <f t="shared" si="1"/>
        <v>22.0077</v>
      </c>
      <c r="R14" s="8">
        <f t="shared" si="1"/>
        <v>24.264900000000004</v>
      </c>
      <c r="S14" s="8">
        <f t="shared" si="1"/>
        <v>26.7102</v>
      </c>
      <c r="T14" s="8">
        <f t="shared" si="1"/>
        <v>29.907900000000005</v>
      </c>
      <c r="U14" s="8">
        <f t="shared" si="1"/>
        <v>32.541300000000007</v>
      </c>
      <c r="AB14">
        <v>6</v>
      </c>
      <c r="AC14" t="s">
        <v>106</v>
      </c>
      <c r="AD14" t="str">
        <f t="shared" si="0"/>
        <v>ts_072</v>
      </c>
      <c r="AE14" s="10">
        <f>AE9+1</f>
        <v>2</v>
      </c>
    </row>
    <row r="15" spans="1:34" ht="14.65" thickTop="1" x14ac:dyDescent="0.45">
      <c r="B15" t="s">
        <v>112</v>
      </c>
      <c r="D15" s="11">
        <f>SUMIFS(ar6_r10!$F$2:$F$99999,ar6_r10!$A$2:$A$99999,$C$14,ar6_r10!$C$2:$C$99999,D$17,ar6_r10!$M$2:$M$99999,$B15,ar6_r10!$B$2:$B$99999,$A$2)</f>
        <v>1</v>
      </c>
      <c r="E15" s="11">
        <f>SUMIFS(ar6_r10!$F$2:$F$99999,ar6_r10!$A$2:$A$99999,$C$14,ar6_r10!$C$2:$C$99999,E$17,ar6_r10!$M$2:$M$99999,$B15,ar6_r10!$B$2:$B$99999,$A$2)</f>
        <v>0.98</v>
      </c>
      <c r="F15" s="11">
        <f>SUMIFS(ar6_r10!$F$2:$F$99999,ar6_r10!$A$2:$A$99999,$C$14,ar6_r10!$C$2:$C$99999,F$17,ar6_r10!$M$2:$M$99999,$B15,ar6_r10!$B$2:$B$99999,$A$2)</f>
        <v>0.96</v>
      </c>
      <c r="G15" s="11">
        <f>SUMIFS(ar6_r10!$F$2:$F$99999,ar6_r10!$A$2:$A$99999,$C$14,ar6_r10!$C$2:$C$99999,G$17,ar6_r10!$M$2:$M$99999,$B15,ar6_r10!$B$2:$B$99999,$A$2)</f>
        <v>0.92</v>
      </c>
      <c r="H15" s="11">
        <f>SUMIFS(ar6_r10!$F$2:$F$99999,ar6_r10!$A$2:$A$99999,$C$14,ar6_r10!$C$2:$C$99999,H$17,ar6_r10!$M$2:$M$99999,$B15,ar6_r10!$B$2:$B$99999,$A$2)</f>
        <v>0.84</v>
      </c>
      <c r="I15" s="11">
        <f>SUMIFS(ar6_r10!$F$2:$F$99999,ar6_r10!$A$2:$A$99999,$C$14,ar6_r10!$C$2:$C$99999,I$17,ar6_r10!$M$2:$M$99999,$B15,ar6_r10!$B$2:$B$99999,$A$2)</f>
        <v>0.83</v>
      </c>
      <c r="J15" s="11">
        <f>SUMIFS(ar6_r10!$F$2:$F$99999,ar6_r10!$A$2:$A$99999,$C$14,ar6_r10!$C$2:$C$99999,J$17,ar6_r10!$M$2:$M$99999,$B15,ar6_r10!$B$2:$B$99999,$A$2)</f>
        <v>0.8</v>
      </c>
      <c r="AB15">
        <v>7</v>
      </c>
      <c r="AC15" t="s">
        <v>107</v>
      </c>
      <c r="AD15" t="str">
        <f t="shared" si="0"/>
        <v>ts_144</v>
      </c>
      <c r="AE15" s="10">
        <f t="shared" ref="AE15:AE78" si="2">AE10+1</f>
        <v>2</v>
      </c>
    </row>
    <row r="16" spans="1:34" ht="17.649999999999999" customHeight="1" thickBot="1" x14ac:dyDescent="0.6">
      <c r="N16" s="5" t="str">
        <f>"~TFM_INS-TS: region="&amp;$A$1</f>
        <v>~TFM_INS-TS: region=HRV</v>
      </c>
      <c r="AB16">
        <v>8</v>
      </c>
      <c r="AC16" t="s">
        <v>108</v>
      </c>
      <c r="AD16" t="str">
        <f t="shared" si="0"/>
        <v>ts_288</v>
      </c>
      <c r="AE16" s="10">
        <f t="shared" si="2"/>
        <v>2</v>
      </c>
    </row>
    <row r="17" spans="2:31" ht="15" customHeight="1" thickTop="1" thickBot="1" x14ac:dyDescent="0.5">
      <c r="D17" s="7">
        <v>2020</v>
      </c>
      <c r="E17" s="7">
        <f t="shared" ref="E17:J17" si="3">P17</f>
        <v>2025</v>
      </c>
      <c r="F17" s="7">
        <f t="shared" si="3"/>
        <v>2030</v>
      </c>
      <c r="G17" s="7">
        <f t="shared" si="3"/>
        <v>2035</v>
      </c>
      <c r="H17" s="7">
        <f t="shared" si="3"/>
        <v>2040</v>
      </c>
      <c r="I17" s="7">
        <f t="shared" si="3"/>
        <v>2045</v>
      </c>
      <c r="J17" s="7">
        <f t="shared" si="3"/>
        <v>2050</v>
      </c>
      <c r="N17" s="4" t="s">
        <v>12</v>
      </c>
      <c r="O17" s="4">
        <v>2022</v>
      </c>
      <c r="P17" s="4">
        <v>2025</v>
      </c>
      <c r="Q17" s="4">
        <v>2030</v>
      </c>
      <c r="R17" s="4">
        <v>2035</v>
      </c>
      <c r="S17" s="4">
        <v>2040</v>
      </c>
      <c r="T17" s="4">
        <v>2045</v>
      </c>
      <c r="U17" s="4">
        <v>2050</v>
      </c>
      <c r="V17" s="4" t="s">
        <v>13</v>
      </c>
      <c r="AB17">
        <v>9</v>
      </c>
      <c r="AC17" t="s">
        <v>101</v>
      </c>
      <c r="AD17" t="s">
        <v>103</v>
      </c>
      <c r="AE17" s="10">
        <f t="shared" si="2"/>
        <v>2</v>
      </c>
    </row>
    <row r="18" spans="2:31" x14ac:dyDescent="0.45">
      <c r="B18" t="s">
        <v>14</v>
      </c>
      <c r="D18" s="11">
        <f>SUMIFS(ar6_r10!$F$2:$F$99999,ar6_r10!$A$2:$A$99999,$C$14,ar6_r10!$C$2:$C$99999,D$17,ar6_r10!$M$2:$M$99999,$B18,ar6_r10!$B$2:$B$99999,$A$2)</f>
        <v>0</v>
      </c>
      <c r="E18" s="11">
        <f>SUMIFS(ar6_r10!$F$2:$F$99999,ar6_r10!$A$2:$A$99999,$C$14,ar6_r10!$C$2:$C$99999,E$17,ar6_r10!$M$2:$M$99999,$B18,ar6_r10!$B$2:$B$99999,$A$2)</f>
        <v>0</v>
      </c>
      <c r="F18" s="11">
        <f>SUMIFS(ar6_r10!$F$2:$F$99999,ar6_r10!$A$2:$A$99999,$C$14,ar6_r10!$C$2:$C$99999,F$17,ar6_r10!$M$2:$M$99999,$B18,ar6_r10!$B$2:$B$99999,$A$2)</f>
        <v>0</v>
      </c>
      <c r="G18" s="11">
        <f>SUMIFS(ar6_r10!$F$2:$F$99999,ar6_r10!$A$2:$A$99999,$C$14,ar6_r10!$C$2:$C$99999,G$17,ar6_r10!$M$2:$M$99999,$B18,ar6_r10!$B$2:$B$99999,$A$2)</f>
        <v>0</v>
      </c>
      <c r="H18" s="11">
        <f>SUMIFS(ar6_r10!$F$2:$F$99999,ar6_r10!$A$2:$A$99999,$C$14,ar6_r10!$C$2:$C$99999,H$17,ar6_r10!$M$2:$M$99999,$B18,ar6_r10!$B$2:$B$99999,$A$2)</f>
        <v>0</v>
      </c>
      <c r="I18" s="11">
        <f>SUMIFS(ar6_r10!$F$2:$F$99999,ar6_r10!$A$2:$A$99999,$C$14,ar6_r10!$C$2:$C$99999,I$17,ar6_r10!$M$2:$M$99999,$B18,ar6_r10!$B$2:$B$99999,$A$2)</f>
        <v>0</v>
      </c>
      <c r="J18" s="11">
        <f>SUMIFS(ar6_r10!$F$2:$F$99999,ar6_r10!$A$2:$A$99999,$C$14,ar6_r10!$C$2:$C$99999,J$17,ar6_r10!$M$2:$M$99999,$B18,ar6_r10!$B$2:$B$99999,$A$2)</f>
        <v>0</v>
      </c>
      <c r="N18" s="10" t="s">
        <v>15</v>
      </c>
      <c r="O18" s="6">
        <f t="shared" ref="O18:U20" si="4">D18*O$14</f>
        <v>0</v>
      </c>
      <c r="P18" s="6">
        <f t="shared" si="4"/>
        <v>0</v>
      </c>
      <c r="Q18" s="6">
        <f t="shared" si="4"/>
        <v>0</v>
      </c>
      <c r="R18" s="6">
        <f t="shared" si="4"/>
        <v>0</v>
      </c>
      <c r="S18" s="6">
        <f t="shared" si="4"/>
        <v>0</v>
      </c>
      <c r="T18" s="6">
        <f t="shared" si="4"/>
        <v>0</v>
      </c>
      <c r="U18" s="6">
        <f t="shared" si="4"/>
        <v>0</v>
      </c>
      <c r="V18" t="s">
        <v>16</v>
      </c>
      <c r="X18" s="2"/>
      <c r="AB18">
        <v>10</v>
      </c>
      <c r="AC18" t="s">
        <v>104</v>
      </c>
      <c r="AD18" t="s">
        <v>105</v>
      </c>
      <c r="AE18" s="10">
        <f t="shared" si="2"/>
        <v>2</v>
      </c>
    </row>
    <row r="19" spans="2:31" x14ac:dyDescent="0.45">
      <c r="B19" t="s">
        <v>17</v>
      </c>
      <c r="D19" s="11">
        <f>SUMIFS(ar6_r10!$F$2:$F$99999,ar6_r10!$A$2:$A$99999,$C$14,ar6_r10!$C$2:$C$99999,D$17,ar6_r10!$M$2:$M$99999,$B19,ar6_r10!$B$2:$B$99999,$A$2)</f>
        <v>0.37</v>
      </c>
      <c r="E19" s="11">
        <f>SUMIFS(ar6_r10!$F$2:$F$99999,ar6_r10!$A$2:$A$99999,$C$14,ar6_r10!$C$2:$C$99999,E$17,ar6_r10!$M$2:$M$99999,$B19,ar6_r10!$B$2:$B$99999,$A$2)</f>
        <v>0.35</v>
      </c>
      <c r="F19" s="11">
        <f>SUMIFS(ar6_r10!$F$2:$F$99999,ar6_r10!$A$2:$A$99999,$C$14,ar6_r10!$C$2:$C$99999,F$17,ar6_r10!$M$2:$M$99999,$B19,ar6_r10!$B$2:$B$99999,$A$2)</f>
        <v>0.34</v>
      </c>
      <c r="G19" s="11">
        <f>SUMIFS(ar6_r10!$F$2:$F$99999,ar6_r10!$A$2:$A$99999,$C$14,ar6_r10!$C$2:$C$99999,G$17,ar6_r10!$M$2:$M$99999,$B19,ar6_r10!$B$2:$B$99999,$A$2)</f>
        <v>0.33</v>
      </c>
      <c r="H19" s="11">
        <f>SUMIFS(ar6_r10!$F$2:$F$99999,ar6_r10!$A$2:$A$99999,$C$14,ar6_r10!$C$2:$C$99999,H$17,ar6_r10!$M$2:$M$99999,$B19,ar6_r10!$B$2:$B$99999,$A$2)</f>
        <v>0.3</v>
      </c>
      <c r="I19" s="11">
        <f>SUMIFS(ar6_r10!$F$2:$F$99999,ar6_r10!$A$2:$A$99999,$C$14,ar6_r10!$C$2:$C$99999,I$17,ar6_r10!$M$2:$M$99999,$B19,ar6_r10!$B$2:$B$99999,$A$2)</f>
        <v>0.28999999999999998</v>
      </c>
      <c r="J19" s="11">
        <f>SUMIFS(ar6_r10!$F$2:$F$99999,ar6_r10!$A$2:$A$99999,$C$14,ar6_r10!$C$2:$C$99999,J$17,ar6_r10!$M$2:$M$99999,$B19,ar6_r10!$B$2:$B$99999,$A$2)</f>
        <v>0.3</v>
      </c>
      <c r="N19" s="10" t="s">
        <v>18</v>
      </c>
      <c r="O19" s="6">
        <f t="shared" si="4"/>
        <v>6.9597000000000007</v>
      </c>
      <c r="P19" s="6">
        <f t="shared" si="4"/>
        <v>6.9126750000000001</v>
      </c>
      <c r="Q19" s="6">
        <f t="shared" si="4"/>
        <v>7.4826180000000004</v>
      </c>
      <c r="R19" s="6">
        <f t="shared" si="4"/>
        <v>8.007417000000002</v>
      </c>
      <c r="S19" s="6">
        <f t="shared" si="4"/>
        <v>8.0130599999999994</v>
      </c>
      <c r="T19" s="6">
        <f t="shared" si="4"/>
        <v>8.6732910000000007</v>
      </c>
      <c r="U19" s="6">
        <f t="shared" si="4"/>
        <v>9.7623900000000017</v>
      </c>
      <c r="V19" t="s">
        <v>16</v>
      </c>
      <c r="AB19">
        <v>11</v>
      </c>
      <c r="AC19" t="s">
        <v>82</v>
      </c>
      <c r="AD19" t="s">
        <v>87</v>
      </c>
      <c r="AE19" s="10">
        <f t="shared" si="2"/>
        <v>3</v>
      </c>
    </row>
    <row r="20" spans="2:31" x14ac:dyDescent="0.45">
      <c r="B20" t="s">
        <v>20</v>
      </c>
      <c r="D20" s="11">
        <f>SUMIFS(ar6_r10!$F$2:$F$99999,ar6_r10!$A$2:$A$99999,$C$14,ar6_r10!$C$2:$C$99999,D$17,ar6_r10!$M$2:$M$99999,$B20,ar6_r10!$B$2:$B$99999,$A$2)</f>
        <v>0.59</v>
      </c>
      <c r="E20" s="11">
        <f>SUMIFS(ar6_r10!$F$2:$F$99999,ar6_r10!$A$2:$A$99999,$C$14,ar6_r10!$C$2:$C$99999,E$17,ar6_r10!$M$2:$M$99999,$B20,ar6_r10!$B$2:$B$99999,$A$2)</f>
        <v>0.59</v>
      </c>
      <c r="F20" s="11">
        <f>SUMIFS(ar6_r10!$F$2:$F$99999,ar6_r10!$A$2:$A$99999,$C$14,ar6_r10!$C$2:$C$99999,F$17,ar6_r10!$M$2:$M$99999,$B20,ar6_r10!$B$2:$B$99999,$A$2)</f>
        <v>0.59</v>
      </c>
      <c r="G20" s="11">
        <f>SUMIFS(ar6_r10!$F$2:$F$99999,ar6_r10!$A$2:$A$99999,$C$14,ar6_r10!$C$2:$C$99999,G$17,ar6_r10!$M$2:$M$99999,$B20,ar6_r10!$B$2:$B$99999,$A$2)</f>
        <v>0.57999999999999996</v>
      </c>
      <c r="H20" s="11">
        <f>SUMIFS(ar6_r10!$F$2:$F$99999,ar6_r10!$A$2:$A$99999,$C$14,ar6_r10!$C$2:$C$99999,H$17,ar6_r10!$M$2:$M$99999,$B20,ar6_r10!$B$2:$B$99999,$A$2)</f>
        <v>0.57999999999999996</v>
      </c>
      <c r="I20" s="11">
        <f>SUMIFS(ar6_r10!$F$2:$F$99999,ar6_r10!$A$2:$A$99999,$C$14,ar6_r10!$C$2:$C$99999,I$17,ar6_r10!$M$2:$M$99999,$B20,ar6_r10!$B$2:$B$99999,$A$2)</f>
        <v>0.56000000000000005</v>
      </c>
      <c r="J20" s="11">
        <f>SUMIFS(ar6_r10!$F$2:$F$99999,ar6_r10!$A$2:$A$99999,$C$14,ar6_r10!$C$2:$C$99999,J$17,ar6_r10!$M$2:$M$99999,$B20,ar6_r10!$B$2:$B$99999,$A$2)</f>
        <v>0.54</v>
      </c>
      <c r="N20" s="10" t="s">
        <v>21</v>
      </c>
      <c r="O20" s="6">
        <f t="shared" si="4"/>
        <v>11.097900000000001</v>
      </c>
      <c r="P20" s="6">
        <f t="shared" si="4"/>
        <v>11.652795000000001</v>
      </c>
      <c r="Q20" s="6">
        <f t="shared" si="4"/>
        <v>12.984542999999999</v>
      </c>
      <c r="R20" s="6">
        <f t="shared" si="4"/>
        <v>14.073642000000001</v>
      </c>
      <c r="S20" s="6">
        <f t="shared" si="4"/>
        <v>15.491916</v>
      </c>
      <c r="T20" s="6">
        <f t="shared" si="4"/>
        <v>16.748424000000004</v>
      </c>
      <c r="U20" s="6">
        <f t="shared" si="4"/>
        <v>17.572302000000004</v>
      </c>
      <c r="V20" t="s">
        <v>16</v>
      </c>
      <c r="AB20">
        <v>12</v>
      </c>
      <c r="AC20" t="s">
        <v>83</v>
      </c>
      <c r="AD20" t="s">
        <v>92</v>
      </c>
      <c r="AE20" s="10">
        <f t="shared" si="2"/>
        <v>3</v>
      </c>
    </row>
    <row r="21" spans="2:31" x14ac:dyDescent="0.45">
      <c r="B21" t="s">
        <v>22</v>
      </c>
      <c r="D21" s="11">
        <f>SUMIFS(ar6_r10!$F$2:$F$99999,ar6_r10!$A$2:$A$99999,$C$14,ar6_r10!$C$2:$C$99999,D$17,ar6_r10!$M$2:$M$99999,$B21,ar6_r10!$B$2:$B$99999,$A$2)</f>
        <v>0.03</v>
      </c>
      <c r="E21" s="11">
        <f>SUMIFS(ar6_r10!$F$2:$F$99999,ar6_r10!$A$2:$A$99999,$C$14,ar6_r10!$C$2:$C$99999,E$17,ar6_r10!$M$2:$M$99999,$B21,ar6_r10!$B$2:$B$99999,$A$2)</f>
        <v>0.05</v>
      </c>
      <c r="F21" s="11">
        <f>SUMIFS(ar6_r10!$F$2:$F$99999,ar6_r10!$A$2:$A$99999,$C$14,ar6_r10!$C$2:$C$99999,F$17,ar6_r10!$M$2:$M$99999,$B21,ar6_r10!$B$2:$B$99999,$A$2)</f>
        <v>0.04</v>
      </c>
      <c r="G21" s="11">
        <f>SUMIFS(ar6_r10!$F$2:$F$99999,ar6_r10!$A$2:$A$99999,$C$14,ar6_r10!$C$2:$C$99999,G$17,ar6_r10!$M$2:$M$99999,$B21,ar6_r10!$B$2:$B$99999,$A$2)</f>
        <v>0.06</v>
      </c>
      <c r="H21" s="11">
        <f>SUMIFS(ar6_r10!$F$2:$F$99999,ar6_r10!$A$2:$A$99999,$C$14,ar6_r10!$C$2:$C$99999,H$17,ar6_r10!$M$2:$M$99999,$B21,ar6_r10!$B$2:$B$99999,$A$2)</f>
        <v>7.0000000000000007E-2</v>
      </c>
      <c r="I21" s="11">
        <f>SUMIFS(ar6_r10!$F$2:$F$99999,ar6_r10!$A$2:$A$99999,$C$14,ar6_r10!$C$2:$C$99999,I$17,ar6_r10!$M$2:$M$99999,$B21,ar6_r10!$B$2:$B$99999,$A$2)</f>
        <v>0.08</v>
      </c>
      <c r="J21" s="11">
        <f>SUMIFS(ar6_r10!$F$2:$F$99999,ar6_r10!$A$2:$A$99999,$C$14,ar6_r10!$C$2:$C$99999,J$17,ar6_r10!$M$2:$M$99999,$B21,ar6_r10!$B$2:$B$99999,$A$2)</f>
        <v>0.08</v>
      </c>
      <c r="N21" s="10" t="s">
        <v>23</v>
      </c>
      <c r="O21" s="6">
        <f>D21*O$14</f>
        <v>0.56430000000000002</v>
      </c>
      <c r="P21" s="6">
        <f t="shared" ref="P21:U21" si="5">O21</f>
        <v>0.56430000000000002</v>
      </c>
      <c r="Q21" s="6">
        <f t="shared" si="5"/>
        <v>0.56430000000000002</v>
      </c>
      <c r="R21" s="6">
        <f t="shared" si="5"/>
        <v>0.56430000000000002</v>
      </c>
      <c r="S21" s="6">
        <f t="shared" si="5"/>
        <v>0.56430000000000002</v>
      </c>
      <c r="T21" s="6">
        <f t="shared" si="5"/>
        <v>0.56430000000000002</v>
      </c>
      <c r="U21" s="6">
        <f t="shared" si="5"/>
        <v>0.56430000000000002</v>
      </c>
      <c r="V21" t="s">
        <v>16</v>
      </c>
      <c r="X21" s="2" t="s">
        <v>19</v>
      </c>
      <c r="AE21" s="10">
        <f t="shared" si="2"/>
        <v>3</v>
      </c>
    </row>
    <row r="22" spans="2:31" x14ac:dyDescent="0.45">
      <c r="N22" s="10" t="s">
        <v>24</v>
      </c>
      <c r="O22" s="6">
        <f t="shared" ref="O22:U22" si="6">O14-SUM(O19:O21)</f>
        <v>0.18810000000000215</v>
      </c>
      <c r="P22" s="6">
        <f t="shared" si="6"/>
        <v>0.62073000000000178</v>
      </c>
      <c r="Q22" s="6">
        <f t="shared" si="6"/>
        <v>0.97623900000000319</v>
      </c>
      <c r="R22" s="6">
        <f t="shared" si="6"/>
        <v>1.6195410000000017</v>
      </c>
      <c r="S22" s="6">
        <f t="shared" si="6"/>
        <v>2.6409240000000018</v>
      </c>
      <c r="T22" s="6">
        <f t="shared" si="6"/>
        <v>3.9218849999999996</v>
      </c>
      <c r="U22" s="6">
        <f t="shared" si="6"/>
        <v>4.6423080000000034</v>
      </c>
      <c r="V22" t="s">
        <v>16</v>
      </c>
      <c r="AE22" s="10">
        <f t="shared" si="2"/>
        <v>3</v>
      </c>
    </row>
    <row r="23" spans="2:31" x14ac:dyDescent="0.45">
      <c r="N23" s="18" t="s">
        <v>116</v>
      </c>
      <c r="O23" s="19">
        <f>N12</f>
        <v>3.5720000000000001</v>
      </c>
      <c r="P23" s="20">
        <f>$N$12*E15</f>
        <v>3.5005600000000001</v>
      </c>
      <c r="Q23" s="20">
        <f>$N$12*F15</f>
        <v>3.4291199999999997</v>
      </c>
      <c r="R23" s="20">
        <f t="shared" ref="R23:U23" si="7">$N$12*G15</f>
        <v>3.2862400000000003</v>
      </c>
      <c r="S23" s="20">
        <f t="shared" si="7"/>
        <v>3.00048</v>
      </c>
      <c r="T23" s="20">
        <f t="shared" si="7"/>
        <v>2.9647600000000001</v>
      </c>
      <c r="U23" s="20">
        <f t="shared" si="7"/>
        <v>2.8576000000000001</v>
      </c>
      <c r="V23" s="18" t="s">
        <v>16</v>
      </c>
      <c r="AE23" s="10">
        <f t="shared" si="2"/>
        <v>3</v>
      </c>
    </row>
    <row r="24" spans="2:31" ht="14.65" customHeight="1" thickBot="1" x14ac:dyDescent="0.5">
      <c r="B24" s="10" t="s">
        <v>25</v>
      </c>
      <c r="C24" s="3" t="str">
        <f>VLOOKUP(controller!E5,$F$3:$G$6,2,FALSE)</f>
        <v>C3</v>
      </c>
      <c r="D24" s="8">
        <v>0</v>
      </c>
      <c r="E24" s="8">
        <v>0</v>
      </c>
      <c r="F24" s="8">
        <f>SUMIFS(ar6_r10!$F$2:$F$99999,ar6_r10!$A$2:$A$99999,$C$24,ar6_r10!$C$2:$C$99999,F$17,ar6_r10!$M$2:$M$99999,$B24,ar6_r10!$B$2:$B$99999,$A$2)</f>
        <v>71.48</v>
      </c>
      <c r="G24" s="8">
        <f>SUMIFS(ar6_r10!$F$2:$F$99999,ar6_r10!$A$2:$A$99999,$C$24,ar6_r10!$C$2:$C$99999,G$17,ar6_r10!$M$2:$M$99999,$B24,ar6_r10!$B$2:$B$99999,$A$2)</f>
        <v>104.42</v>
      </c>
      <c r="H24" s="8">
        <f>SUMIFS(ar6_r10!$F$2:$F$99999,ar6_r10!$A$2:$A$99999,$C$24,ar6_r10!$C$2:$C$99999,H$17,ar6_r10!$M$2:$M$99999,$B24,ar6_r10!$B$2:$B$99999,$A$2)</f>
        <v>134.85</v>
      </c>
      <c r="I24" s="8">
        <f>SUMIFS(ar6_r10!$F$2:$F$99999,ar6_r10!$A$2:$A$99999,$C$24,ar6_r10!$C$2:$C$99999,I$17,ar6_r10!$M$2:$M$99999,$B24,ar6_r10!$B$2:$B$99999,$A$2)</f>
        <v>178.1</v>
      </c>
      <c r="J24" s="8">
        <f>SUMIFS(ar6_r10!$F$2:$F$99999,ar6_r10!$A$2:$A$99999,$C$24,ar6_r10!$C$2:$C$99999,J$17,ar6_r10!$M$2:$M$99999,$B24,ar6_r10!$B$2:$B$99999,$A$2)</f>
        <v>209.45</v>
      </c>
      <c r="N24" s="21" t="s">
        <v>26</v>
      </c>
      <c r="O24" s="22"/>
      <c r="P24" s="22">
        <v>0</v>
      </c>
      <c r="Q24" s="23">
        <f>F24/1000</f>
        <v>7.1480000000000002E-2</v>
      </c>
      <c r="R24" s="23">
        <f>G24/1000</f>
        <v>0.10442</v>
      </c>
      <c r="S24" s="23">
        <f>H24/1000</f>
        <v>0.13485</v>
      </c>
      <c r="T24" s="23">
        <f>I24/1000</f>
        <v>0.17809999999999998</v>
      </c>
      <c r="U24" s="23">
        <f>J24/1000</f>
        <v>0.20945</v>
      </c>
      <c r="V24" s="24" t="s">
        <v>27</v>
      </c>
      <c r="AE24" s="10">
        <f t="shared" si="2"/>
        <v>4</v>
      </c>
    </row>
    <row r="25" spans="2:31" ht="14.65" customHeight="1" thickTop="1" x14ac:dyDescent="0.45">
      <c r="AE25" s="10">
        <f t="shared" si="2"/>
        <v>4</v>
      </c>
    </row>
    <row r="26" spans="2:31" ht="17.649999999999999" customHeight="1" thickBot="1" x14ac:dyDescent="0.6">
      <c r="N26" s="5" t="str">
        <f>"~TFM_INS-TS: region="&amp;$A$1</f>
        <v>~TFM_INS-TS: region=HRV</v>
      </c>
      <c r="AE26" s="10">
        <f t="shared" si="2"/>
        <v>4</v>
      </c>
    </row>
    <row r="27" spans="2:31" ht="15" customHeight="1" thickTop="1" thickBot="1" x14ac:dyDescent="0.5">
      <c r="N27" s="4" t="s">
        <v>28</v>
      </c>
      <c r="O27" s="4">
        <f t="shared" ref="O27:U27" si="8">O17</f>
        <v>2022</v>
      </c>
      <c r="P27" s="4">
        <f t="shared" si="8"/>
        <v>2025</v>
      </c>
      <c r="Q27" s="4">
        <f t="shared" si="8"/>
        <v>2030</v>
      </c>
      <c r="R27" s="4">
        <f t="shared" si="8"/>
        <v>2035</v>
      </c>
      <c r="S27" s="4">
        <f t="shared" si="8"/>
        <v>2040</v>
      </c>
      <c r="T27" s="4">
        <f t="shared" si="8"/>
        <v>2045</v>
      </c>
      <c r="U27" s="4">
        <f t="shared" si="8"/>
        <v>2050</v>
      </c>
      <c r="V27" s="4" t="s">
        <v>13</v>
      </c>
      <c r="W27" s="4" t="s">
        <v>29</v>
      </c>
      <c r="AE27" s="10">
        <f t="shared" si="2"/>
        <v>4</v>
      </c>
    </row>
    <row r="28" spans="2:31" ht="14.65" customHeight="1" thickBot="1" x14ac:dyDescent="0.5">
      <c r="L28" s="3">
        <f>SUMIFS(iea_data!G3:G9999,iea_data!$B$3:$B$9999,$N$10,iea_data!$A$3:A$9999,$A$1)</f>
        <v>11.92</v>
      </c>
      <c r="N28" t="s">
        <v>30</v>
      </c>
      <c r="O28" s="3">
        <f>L28</f>
        <v>11.92</v>
      </c>
      <c r="Q28" s="6"/>
      <c r="R28" s="6"/>
      <c r="S28" s="6"/>
      <c r="T28" s="6"/>
      <c r="U28" s="6"/>
      <c r="V28" t="s">
        <v>31</v>
      </c>
      <c r="W28" t="s">
        <v>32</v>
      </c>
      <c r="AE28" s="10">
        <f t="shared" si="2"/>
        <v>4</v>
      </c>
    </row>
    <row r="29" spans="2:31" ht="15" customHeight="1" thickTop="1" thickBot="1" x14ac:dyDescent="0.5">
      <c r="L29" s="3">
        <f>SUMIFS(iea_data!H3:H9999,iea_data!$B$3:$B$9999,$N$10,iea_data!$A$3:A$9999,$A$1)</f>
        <v>-7.22</v>
      </c>
      <c r="N29" t="s">
        <v>33</v>
      </c>
      <c r="O29" s="3">
        <f>-1*L29</f>
        <v>7.22</v>
      </c>
      <c r="Q29" s="6"/>
      <c r="R29" s="6"/>
      <c r="S29" s="6"/>
      <c r="T29" s="6"/>
      <c r="U29" s="6"/>
      <c r="V29" t="s">
        <v>31</v>
      </c>
      <c r="W29" t="s">
        <v>32</v>
      </c>
      <c r="AE29" s="10">
        <f t="shared" si="2"/>
        <v>5</v>
      </c>
    </row>
    <row r="30" spans="2:31" ht="14.65" customHeight="1" thickTop="1" x14ac:dyDescent="0.45">
      <c r="AE30" s="10">
        <f t="shared" si="2"/>
        <v>5</v>
      </c>
    </row>
    <row r="31" spans="2:31" x14ac:dyDescent="0.45">
      <c r="AE31" s="10">
        <f t="shared" si="2"/>
        <v>5</v>
      </c>
    </row>
    <row r="32" spans="2:31" x14ac:dyDescent="0.45">
      <c r="AE32" s="10">
        <f t="shared" si="2"/>
        <v>5</v>
      </c>
    </row>
    <row r="33" spans="2:31" x14ac:dyDescent="0.45">
      <c r="AE33" s="10">
        <f t="shared" si="2"/>
        <v>5</v>
      </c>
    </row>
    <row r="34" spans="2:31" x14ac:dyDescent="0.45">
      <c r="AE34" s="10">
        <f t="shared" si="2"/>
        <v>6</v>
      </c>
    </row>
    <row r="35" spans="2:31" x14ac:dyDescent="0.45">
      <c r="AE35" s="10">
        <f t="shared" si="2"/>
        <v>6</v>
      </c>
    </row>
    <row r="36" spans="2:31" x14ac:dyDescent="0.45">
      <c r="B36" s="2" t="s">
        <v>9</v>
      </c>
      <c r="AE36" s="10">
        <f t="shared" si="2"/>
        <v>6</v>
      </c>
    </row>
    <row r="37" spans="2:31" x14ac:dyDescent="0.45">
      <c r="B37" t="s">
        <v>72</v>
      </c>
      <c r="D37" s="11">
        <f>SUMIFS(ar6_r10!$F$2:$F$99999,ar6_r10!$A$2:$A$99999,$B$36,ar6_r10!$C$2:$C$99999,D$17,ar6_r10!$M$2:$M$99999,$B37,ar6_r10!$B$2:$B$99999,$A$2)</f>
        <v>1</v>
      </c>
      <c r="E37" s="11">
        <f>SUMIFS(ar6_r10!$F$2:$F$99999,ar6_r10!$A$2:$A$99999,$B$36,ar6_r10!$C$2:$C$99999,E$17,ar6_r10!$M$2:$M$99999,$B37,ar6_r10!$B$2:$B$99999,$A$2)</f>
        <v>1.07</v>
      </c>
      <c r="F37" s="11">
        <f>SUMIFS(ar6_r10!$F$2:$F$99999,ar6_r10!$A$2:$A$99999,$B$36,ar6_r10!$C$2:$C$99999,F$17,ar6_r10!$M$2:$M$99999,$B37,ar6_r10!$B$2:$B$99999,$A$2)</f>
        <v>1.24</v>
      </c>
      <c r="G37" s="11">
        <f>SUMIFS(ar6_r10!$F$2:$F$99999,ar6_r10!$A$2:$A$99999,$B$36,ar6_r10!$C$2:$C$99999,G$17,ar6_r10!$M$2:$M$99999,$B37,ar6_r10!$B$2:$B$99999,$A$2)</f>
        <v>1.1499999999999999</v>
      </c>
      <c r="H37" s="11">
        <f>SUMIFS(ar6_r10!$F$2:$F$99999,ar6_r10!$A$2:$A$99999,$B$36,ar6_r10!$C$2:$C$99999,H$17,ar6_r10!$M$2:$M$99999,$B37,ar6_r10!$B$2:$B$99999,$A$2)</f>
        <v>1.25</v>
      </c>
      <c r="I37" s="11">
        <f>SUMIFS(ar6_r10!$F$2:$F$99999,ar6_r10!$A$2:$A$99999,$B$36,ar6_r10!$C$2:$C$99999,I$17,ar6_r10!$M$2:$M$99999,$B37,ar6_r10!$B$2:$B$99999,$A$2)</f>
        <v>1.17</v>
      </c>
      <c r="J37" s="11">
        <f>SUMIFS(ar6_r10!$F$2:$F$99999,ar6_r10!$A$2:$A$99999,$B$36,ar6_r10!$C$2:$C$99999,J$17,ar6_r10!$M$2:$M$99999,$B37,ar6_r10!$B$2:$B$99999,$A$2)</f>
        <v>1.34</v>
      </c>
      <c r="AE37" s="10">
        <f t="shared" si="2"/>
        <v>6</v>
      </c>
    </row>
    <row r="38" spans="2:31" x14ac:dyDescent="0.45">
      <c r="B38" t="s">
        <v>73</v>
      </c>
      <c r="D38" s="11">
        <f>SUMIFS(ar6_r10!$F$2:$F$99999,ar6_r10!$A$2:$A$99999,$B$36,ar6_r10!$C$2:$C$99999,D$17,ar6_r10!$M$2:$M$99999,$B38,ar6_r10!$B$2:$B$99999,$A$2)</f>
        <v>1</v>
      </c>
      <c r="E38" s="11">
        <f>SUMIFS(ar6_r10!$F$2:$F$99999,ar6_r10!$A$2:$A$99999,$B$36,ar6_r10!$C$2:$C$99999,E$17,ar6_r10!$M$2:$M$99999,$B38,ar6_r10!$B$2:$B$99999,$A$2)</f>
        <v>1.02</v>
      </c>
      <c r="F38" s="11">
        <f>SUMIFS(ar6_r10!$F$2:$F$99999,ar6_r10!$A$2:$A$99999,$B$36,ar6_r10!$C$2:$C$99999,F$17,ar6_r10!$M$2:$M$99999,$B38,ar6_r10!$B$2:$B$99999,$A$2)</f>
        <v>1.06</v>
      </c>
      <c r="G38" s="11">
        <f>SUMIFS(ar6_r10!$F$2:$F$99999,ar6_r10!$A$2:$A$99999,$B$36,ar6_r10!$C$2:$C$99999,G$17,ar6_r10!$M$2:$M$99999,$B38,ar6_r10!$B$2:$B$99999,$A$2)</f>
        <v>1.07</v>
      </c>
      <c r="H38" s="11">
        <f>SUMIFS(ar6_r10!$F$2:$F$99999,ar6_r10!$A$2:$A$99999,$B$36,ar6_r10!$C$2:$C$99999,H$17,ar6_r10!$M$2:$M$99999,$B38,ar6_r10!$B$2:$B$99999,$A$2)</f>
        <v>1.08</v>
      </c>
      <c r="I38" s="11">
        <f>SUMIFS(ar6_r10!$F$2:$F$99999,ar6_r10!$A$2:$A$99999,$B$36,ar6_r10!$C$2:$C$99999,I$17,ar6_r10!$M$2:$M$99999,$B38,ar6_r10!$B$2:$B$99999,$A$2)</f>
        <v>1.1000000000000001</v>
      </c>
      <c r="J38" s="11">
        <f>SUMIFS(ar6_r10!$F$2:$F$99999,ar6_r10!$A$2:$A$99999,$B$36,ar6_r10!$C$2:$C$99999,J$17,ar6_r10!$M$2:$M$99999,$B38,ar6_r10!$B$2:$B$99999,$A$2)</f>
        <v>1.1200000000000001</v>
      </c>
      <c r="AE38" s="10">
        <f t="shared" si="2"/>
        <v>6</v>
      </c>
    </row>
    <row r="39" spans="2:31" x14ac:dyDescent="0.45">
      <c r="B39" t="s">
        <v>74</v>
      </c>
      <c r="D39" s="11">
        <f>SUMIFS(ar6_r10!$F$2:$F$99999,ar6_r10!$A$2:$A$99999,$B$36,ar6_r10!$C$2:$C$99999,D$17,ar6_r10!$M$2:$M$99999,$B39,ar6_r10!$B$2:$B$99999,$A$2)</f>
        <v>1</v>
      </c>
      <c r="E39" s="11">
        <f>SUMIFS(ar6_r10!$F$2:$F$99999,ar6_r10!$A$2:$A$99999,$B$36,ar6_r10!$C$2:$C$99999,E$17,ar6_r10!$M$2:$M$99999,$B39,ar6_r10!$B$2:$B$99999,$A$2)</f>
        <v>1.01</v>
      </c>
      <c r="F39" s="11">
        <f>SUMIFS(ar6_r10!$F$2:$F$99999,ar6_r10!$A$2:$A$99999,$B$36,ar6_r10!$C$2:$C$99999,F$17,ar6_r10!$M$2:$M$99999,$B39,ar6_r10!$B$2:$B$99999,$A$2)</f>
        <v>1.1100000000000001</v>
      </c>
      <c r="G39" s="11">
        <f>SUMIFS(ar6_r10!$F$2:$F$99999,ar6_r10!$A$2:$A$99999,$B$36,ar6_r10!$C$2:$C$99999,G$17,ar6_r10!$M$2:$M$99999,$B39,ar6_r10!$B$2:$B$99999,$A$2)</f>
        <v>1.01</v>
      </c>
      <c r="H39" s="11">
        <f>SUMIFS(ar6_r10!$F$2:$F$99999,ar6_r10!$A$2:$A$99999,$B$36,ar6_r10!$C$2:$C$99999,H$17,ar6_r10!$M$2:$M$99999,$B39,ar6_r10!$B$2:$B$99999,$A$2)</f>
        <v>1.01</v>
      </c>
      <c r="I39" s="11">
        <f>SUMIFS(ar6_r10!$F$2:$F$99999,ar6_r10!$A$2:$A$99999,$B$36,ar6_r10!$C$2:$C$99999,I$17,ar6_r10!$M$2:$M$99999,$B39,ar6_r10!$B$2:$B$99999,$A$2)</f>
        <v>1.04</v>
      </c>
      <c r="J39" s="11">
        <f>SUMIFS(ar6_r10!$F$2:$F$99999,ar6_r10!$A$2:$A$99999,$B$36,ar6_r10!$C$2:$C$99999,J$17,ar6_r10!$M$2:$M$99999,$B39,ar6_r10!$B$2:$B$99999,$A$2)</f>
        <v>1.1399999999999999</v>
      </c>
      <c r="AE39" s="10">
        <f t="shared" si="2"/>
        <v>7</v>
      </c>
    </row>
    <row r="40" spans="2:31" x14ac:dyDescent="0.45">
      <c r="B40" t="s">
        <v>75</v>
      </c>
      <c r="D40" s="11">
        <f>SUMIFS(ar6_r10!$F$2:$F$99999,ar6_r10!$A$2:$A$99999,$B$36,ar6_r10!$C$2:$C$99999,D$17,ar6_r10!$M$2:$M$99999,$B40,ar6_r10!$B$2:$B$99999,$A$2)</f>
        <v>1</v>
      </c>
      <c r="E40" s="11">
        <f>SUMIFS(ar6_r10!$F$2:$F$99999,ar6_r10!$A$2:$A$99999,$B$36,ar6_r10!$C$2:$C$99999,E$17,ar6_r10!$M$2:$M$99999,$B40,ar6_r10!$B$2:$B$99999,$A$2)</f>
        <v>0.96</v>
      </c>
      <c r="F40" s="11">
        <f>SUMIFS(ar6_r10!$F$2:$F$99999,ar6_r10!$A$2:$A$99999,$B$36,ar6_r10!$C$2:$C$99999,F$17,ar6_r10!$M$2:$M$99999,$B40,ar6_r10!$B$2:$B$99999,$A$2)</f>
        <v>1.04</v>
      </c>
      <c r="G40" s="11">
        <f>SUMIFS(ar6_r10!$F$2:$F$99999,ar6_r10!$A$2:$A$99999,$B$36,ar6_r10!$C$2:$C$99999,G$17,ar6_r10!$M$2:$M$99999,$B40,ar6_r10!$B$2:$B$99999,$A$2)</f>
        <v>1.04</v>
      </c>
      <c r="H40" s="11">
        <f>SUMIFS(ar6_r10!$F$2:$F$99999,ar6_r10!$A$2:$A$99999,$B$36,ar6_r10!$C$2:$C$99999,H$17,ar6_r10!$M$2:$M$99999,$B40,ar6_r10!$B$2:$B$99999,$A$2)</f>
        <v>0.98</v>
      </c>
      <c r="I40" s="11">
        <f>SUMIFS(ar6_r10!$F$2:$F$99999,ar6_r10!$A$2:$A$99999,$B$36,ar6_r10!$C$2:$C$99999,I$17,ar6_r10!$M$2:$M$99999,$B40,ar6_r10!$B$2:$B$99999,$A$2)</f>
        <v>0.99</v>
      </c>
      <c r="J40" s="11">
        <f>SUMIFS(ar6_r10!$F$2:$F$99999,ar6_r10!$A$2:$A$99999,$B$36,ar6_r10!$C$2:$C$99999,J$17,ar6_r10!$M$2:$M$99999,$B40,ar6_r10!$B$2:$B$99999,$A$2)</f>
        <v>1</v>
      </c>
      <c r="AE40" s="10">
        <f t="shared" si="2"/>
        <v>7</v>
      </c>
    </row>
    <row r="41" spans="2:31" x14ac:dyDescent="0.45">
      <c r="AE41" s="10">
        <f t="shared" si="2"/>
        <v>7</v>
      </c>
    </row>
    <row r="42" spans="2:31" x14ac:dyDescent="0.45">
      <c r="AE42" s="10">
        <f t="shared" si="2"/>
        <v>7</v>
      </c>
    </row>
    <row r="43" spans="2:31" ht="17.649999999999999" thickBot="1" x14ac:dyDescent="0.6">
      <c r="B43" s="5" t="str">
        <f>"~TFM_INS-TS: region="&amp;$A$1&amp;"; attribute=flo_cost;pset_pn=-IMP*Z"</f>
        <v>~TFM_INS-TS: region=HRV; attribute=flo_cost;pset_pn=-IMP*Z</v>
      </c>
      <c r="AE43" s="10">
        <f t="shared" si="2"/>
        <v>7</v>
      </c>
    </row>
    <row r="44" spans="2:31" ht="14.65" thickTop="1" x14ac:dyDescent="0.45">
      <c r="B44" t="s">
        <v>12</v>
      </c>
      <c r="C44" t="s">
        <v>85</v>
      </c>
      <c r="D44">
        <v>2022</v>
      </c>
      <c r="E44">
        <f>E17</f>
        <v>2025</v>
      </c>
      <c r="F44">
        <f t="shared" ref="F44:J44" si="9">F17</f>
        <v>2030</v>
      </c>
      <c r="G44">
        <f t="shared" si="9"/>
        <v>2035</v>
      </c>
      <c r="H44">
        <f t="shared" si="9"/>
        <v>2040</v>
      </c>
      <c r="I44">
        <f t="shared" si="9"/>
        <v>2045</v>
      </c>
      <c r="J44">
        <f t="shared" si="9"/>
        <v>2050</v>
      </c>
      <c r="M44" t="s">
        <v>80</v>
      </c>
      <c r="N44" t="s">
        <v>81</v>
      </c>
      <c r="AE44" s="10">
        <f t="shared" si="2"/>
        <v>8</v>
      </c>
    </row>
    <row r="45" spans="2:31" x14ac:dyDescent="0.45">
      <c r="B45" t="s">
        <v>76</v>
      </c>
      <c r="C45" t="str">
        <f>B45</f>
        <v>Gas</v>
      </c>
      <c r="D45">
        <f t="shared" ref="D45:J48" si="10">AVERAGE($M45:$N45)*D37</f>
        <v>33.4</v>
      </c>
      <c r="E45">
        <f t="shared" si="10"/>
        <v>35.738</v>
      </c>
      <c r="F45">
        <f t="shared" si="10"/>
        <v>41.415999999999997</v>
      </c>
      <c r="G45">
        <f t="shared" si="10"/>
        <v>38.409999999999997</v>
      </c>
      <c r="H45">
        <f t="shared" si="10"/>
        <v>41.75</v>
      </c>
      <c r="I45">
        <f t="shared" si="10"/>
        <v>39.077999999999996</v>
      </c>
      <c r="J45">
        <f t="shared" si="10"/>
        <v>44.756</v>
      </c>
      <c r="M45">
        <f>HLOOKUP($B45&amp;"_"&amp;M$44,fuel_prices!$B$10:$I$100,MATCH($A$1,fuel_prices!$A$10:$A$100,0),FALSE)</f>
        <v>27.4</v>
      </c>
      <c r="N45">
        <f>HLOOKUP($B45&amp;"_"&amp;N$44,fuel_prices!$B$10:$I$100,MATCH($A$1,fuel_prices!$A$10:$A$100,0),FALSE)</f>
        <v>39.4</v>
      </c>
      <c r="AE45" s="10">
        <f t="shared" si="2"/>
        <v>8</v>
      </c>
    </row>
    <row r="46" spans="2:31" x14ac:dyDescent="0.45">
      <c r="B46" t="s">
        <v>77</v>
      </c>
      <c r="C46" t="str">
        <f t="shared" ref="C46:C48" si="11">B46</f>
        <v>Coal</v>
      </c>
      <c r="D46">
        <f t="shared" si="10"/>
        <v>13.7</v>
      </c>
      <c r="E46">
        <f t="shared" si="10"/>
        <v>13.974</v>
      </c>
      <c r="F46">
        <f t="shared" si="10"/>
        <v>14.522</v>
      </c>
      <c r="G46">
        <f t="shared" si="10"/>
        <v>14.659000000000001</v>
      </c>
      <c r="H46">
        <f t="shared" si="10"/>
        <v>14.795999999999999</v>
      </c>
      <c r="I46">
        <f t="shared" si="10"/>
        <v>15.07</v>
      </c>
      <c r="J46">
        <f t="shared" si="10"/>
        <v>15.344000000000001</v>
      </c>
      <c r="M46">
        <f>HLOOKUP($B46&amp;"_"&amp;M$44,fuel_prices!$B$10:$I$100,MATCH($A$1,fuel_prices!$A$10:$A$100,0),FALSE)</f>
        <v>12.2</v>
      </c>
      <c r="N46">
        <f>HLOOKUP($B46&amp;"_"&amp;N$44,fuel_prices!$B$10:$I$100,MATCH($A$1,fuel_prices!$A$10:$A$100,0),FALSE)</f>
        <v>15.2</v>
      </c>
      <c r="AE46" s="10">
        <f t="shared" si="2"/>
        <v>8</v>
      </c>
    </row>
    <row r="47" spans="2:31" x14ac:dyDescent="0.45">
      <c r="B47" t="s">
        <v>78</v>
      </c>
      <c r="C47" t="str">
        <f t="shared" si="11"/>
        <v>Oil</v>
      </c>
      <c r="D47">
        <f t="shared" si="10"/>
        <v>53</v>
      </c>
      <c r="E47">
        <f t="shared" si="10"/>
        <v>53.53</v>
      </c>
      <c r="F47">
        <f t="shared" si="10"/>
        <v>58.830000000000005</v>
      </c>
      <c r="G47">
        <f t="shared" si="10"/>
        <v>53.53</v>
      </c>
      <c r="H47">
        <f t="shared" si="10"/>
        <v>53.53</v>
      </c>
      <c r="I47">
        <f t="shared" si="10"/>
        <v>55.120000000000005</v>
      </c>
      <c r="J47">
        <f t="shared" si="10"/>
        <v>60.419999999999995</v>
      </c>
      <c r="M47">
        <f>HLOOKUP($B47&amp;"_"&amp;M$44,fuel_prices!$B$10:$I$100,MATCH($A$1,fuel_prices!$A$10:$A$100,0),FALSE)</f>
        <v>48</v>
      </c>
      <c r="N47">
        <f>HLOOKUP($B47&amp;"_"&amp;N$44,fuel_prices!$B$10:$I$100,MATCH($A$1,fuel_prices!$A$10:$A$100,0),FALSE)</f>
        <v>58</v>
      </c>
      <c r="AE47" s="10">
        <f t="shared" si="2"/>
        <v>8</v>
      </c>
    </row>
    <row r="48" spans="2:31" x14ac:dyDescent="0.45">
      <c r="B48" t="s">
        <v>79</v>
      </c>
      <c r="C48" t="str">
        <f t="shared" si="11"/>
        <v>Bioenergy</v>
      </c>
      <c r="D48">
        <f t="shared" si="10"/>
        <v>26</v>
      </c>
      <c r="J48">
        <f>VLOOKUP($C$14,$AF$9:$AH$15,3,FALSE)*D48</f>
        <v>78</v>
      </c>
      <c r="M48">
        <f>HLOOKUP($B48&amp;"_"&amp;M$44,fuel_prices!$B$10:$I$100,MATCH($A$1,fuel_prices!$A$10:$A$100,0),FALSE)</f>
        <v>22</v>
      </c>
      <c r="N48">
        <f>HLOOKUP($B48&amp;"_"&amp;N$44,fuel_prices!$B$10:$I$100,MATCH($A$1,fuel_prices!$A$10:$A$100,0),FALSE)</f>
        <v>30</v>
      </c>
      <c r="AE48" s="10">
        <f t="shared" si="2"/>
        <v>8</v>
      </c>
    </row>
    <row r="49" spans="31:31" x14ac:dyDescent="0.45">
      <c r="AE49" s="10">
        <f t="shared" si="2"/>
        <v>9</v>
      </c>
    </row>
    <row r="50" spans="31:31" x14ac:dyDescent="0.45">
      <c r="AE50" s="10">
        <f t="shared" si="2"/>
        <v>9</v>
      </c>
    </row>
    <row r="51" spans="31:31" x14ac:dyDescent="0.45">
      <c r="AE51" s="10">
        <f t="shared" si="2"/>
        <v>9</v>
      </c>
    </row>
    <row r="52" spans="31:31" x14ac:dyDescent="0.45">
      <c r="AE52" s="10">
        <f t="shared" si="2"/>
        <v>9</v>
      </c>
    </row>
    <row r="53" spans="31:31" x14ac:dyDescent="0.45">
      <c r="AE53" s="10">
        <f t="shared" si="2"/>
        <v>9</v>
      </c>
    </row>
    <row r="54" spans="31:31" x14ac:dyDescent="0.45">
      <c r="AE54" s="10">
        <f t="shared" si="2"/>
        <v>10</v>
      </c>
    </row>
    <row r="55" spans="31:31" x14ac:dyDescent="0.45">
      <c r="AE55" s="10">
        <f t="shared" si="2"/>
        <v>10</v>
      </c>
    </row>
    <row r="56" spans="31:31" x14ac:dyDescent="0.45">
      <c r="AE56" s="10">
        <f t="shared" si="2"/>
        <v>10</v>
      </c>
    </row>
    <row r="57" spans="31:31" x14ac:dyDescent="0.45">
      <c r="AE57" s="10">
        <f t="shared" si="2"/>
        <v>10</v>
      </c>
    </row>
    <row r="58" spans="31:31" x14ac:dyDescent="0.45">
      <c r="AE58" s="10">
        <f t="shared" si="2"/>
        <v>10</v>
      </c>
    </row>
    <row r="59" spans="31:31" x14ac:dyDescent="0.45">
      <c r="AE59" s="10">
        <f t="shared" si="2"/>
        <v>11</v>
      </c>
    </row>
    <row r="60" spans="31:31" x14ac:dyDescent="0.45">
      <c r="AE60" s="10">
        <f t="shared" si="2"/>
        <v>11</v>
      </c>
    </row>
    <row r="61" spans="31:31" x14ac:dyDescent="0.45">
      <c r="AE61" s="10">
        <f t="shared" si="2"/>
        <v>11</v>
      </c>
    </row>
    <row r="62" spans="31:31" x14ac:dyDescent="0.45">
      <c r="AE62" s="10">
        <f t="shared" si="2"/>
        <v>11</v>
      </c>
    </row>
    <row r="63" spans="31:31" x14ac:dyDescent="0.45">
      <c r="AE63" s="10">
        <f t="shared" si="2"/>
        <v>11</v>
      </c>
    </row>
    <row r="64" spans="31:31" x14ac:dyDescent="0.45">
      <c r="AE64" s="10">
        <f t="shared" si="2"/>
        <v>12</v>
      </c>
    </row>
    <row r="65" spans="31:31" x14ac:dyDescent="0.45">
      <c r="AE65" s="10">
        <f t="shared" si="2"/>
        <v>12</v>
      </c>
    </row>
    <row r="66" spans="31:31" x14ac:dyDescent="0.45">
      <c r="AE66" s="10">
        <f t="shared" si="2"/>
        <v>12</v>
      </c>
    </row>
    <row r="67" spans="31:31" x14ac:dyDescent="0.45">
      <c r="AE67" s="10">
        <f t="shared" si="2"/>
        <v>12</v>
      </c>
    </row>
    <row r="68" spans="31:31" x14ac:dyDescent="0.45">
      <c r="AE68" s="10">
        <f t="shared" si="2"/>
        <v>12</v>
      </c>
    </row>
    <row r="69" spans="31:31" x14ac:dyDescent="0.45">
      <c r="AE69" s="10">
        <f t="shared" si="2"/>
        <v>13</v>
      </c>
    </row>
    <row r="70" spans="31:31" x14ac:dyDescent="0.45">
      <c r="AE70" s="10">
        <f t="shared" si="2"/>
        <v>13</v>
      </c>
    </row>
    <row r="71" spans="31:31" x14ac:dyDescent="0.45">
      <c r="AE71" s="10">
        <f t="shared" si="2"/>
        <v>13</v>
      </c>
    </row>
    <row r="72" spans="31:31" x14ac:dyDescent="0.45">
      <c r="AE72" s="10">
        <f t="shared" si="2"/>
        <v>13</v>
      </c>
    </row>
    <row r="73" spans="31:31" x14ac:dyDescent="0.45">
      <c r="AE73" s="10">
        <f t="shared" si="2"/>
        <v>13</v>
      </c>
    </row>
    <row r="74" spans="31:31" x14ac:dyDescent="0.45">
      <c r="AE74" s="10">
        <f t="shared" si="2"/>
        <v>14</v>
      </c>
    </row>
    <row r="75" spans="31:31" x14ac:dyDescent="0.45">
      <c r="AE75" s="10">
        <f t="shared" si="2"/>
        <v>14</v>
      </c>
    </row>
    <row r="76" spans="31:31" x14ac:dyDescent="0.45">
      <c r="AE76" s="10">
        <f t="shared" si="2"/>
        <v>14</v>
      </c>
    </row>
    <row r="77" spans="31:31" x14ac:dyDescent="0.45">
      <c r="AE77" s="10">
        <f t="shared" si="2"/>
        <v>14</v>
      </c>
    </row>
    <row r="78" spans="31:31" x14ac:dyDescent="0.45">
      <c r="AE78" s="10">
        <f t="shared" si="2"/>
        <v>14</v>
      </c>
    </row>
    <row r="82" spans="1:6" x14ac:dyDescent="0.45">
      <c r="A82" t="s">
        <v>123</v>
      </c>
    </row>
    <row r="83" spans="1:6" x14ac:dyDescent="0.45">
      <c r="A83" t="s">
        <v>28</v>
      </c>
      <c r="B83" t="s">
        <v>29</v>
      </c>
      <c r="C83">
        <v>2024</v>
      </c>
      <c r="D83">
        <v>2030</v>
      </c>
      <c r="E83">
        <v>2040</v>
      </c>
      <c r="F83" t="s">
        <v>13</v>
      </c>
    </row>
    <row r="84" spans="1:6" x14ac:dyDescent="0.45">
      <c r="A84" t="s">
        <v>33</v>
      </c>
      <c r="B84" t="s">
        <v>124</v>
      </c>
      <c r="C84">
        <v>3.3</v>
      </c>
      <c r="D84">
        <v>2.6</v>
      </c>
      <c r="E84">
        <v>2.7</v>
      </c>
      <c r="F84" t="s">
        <v>125</v>
      </c>
    </row>
    <row r="85" spans="1:6" x14ac:dyDescent="0.45">
      <c r="A85" t="s">
        <v>30</v>
      </c>
      <c r="B85" t="s">
        <v>124</v>
      </c>
      <c r="C85">
        <v>1.2</v>
      </c>
      <c r="D85">
        <v>0.9</v>
      </c>
      <c r="E85">
        <v>1.544</v>
      </c>
      <c r="F85" t="s">
        <v>125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121</v>
      </c>
      <c r="B11">
        <v>27.4</v>
      </c>
      <c r="C11">
        <v>39.4</v>
      </c>
      <c r="D11">
        <v>12.2</v>
      </c>
      <c r="E11">
        <v>15.2</v>
      </c>
      <c r="F11">
        <v>48</v>
      </c>
      <c r="G11">
        <v>58</v>
      </c>
      <c r="H11">
        <v>22</v>
      </c>
      <c r="I11">
        <v>30</v>
      </c>
      <c r="J11" t="s">
        <v>122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118</v>
      </c>
      <c r="K10" t="s">
        <v>115</v>
      </c>
      <c r="L10" t="s">
        <v>119</v>
      </c>
      <c r="M10" t="s">
        <v>120</v>
      </c>
    </row>
    <row r="11" spans="1:13" x14ac:dyDescent="0.45">
      <c r="A11" t="s">
        <v>121</v>
      </c>
      <c r="B11">
        <v>2000</v>
      </c>
      <c r="C11">
        <v>5.74</v>
      </c>
      <c r="D11">
        <v>8.7200000000000006</v>
      </c>
      <c r="E11">
        <v>0.21</v>
      </c>
      <c r="F11">
        <v>0</v>
      </c>
      <c r="G11">
        <v>4.3899999999999997</v>
      </c>
      <c r="H11">
        <v>-0.97</v>
      </c>
      <c r="I11">
        <v>11.26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121</v>
      </c>
      <c r="B12">
        <v>2001</v>
      </c>
      <c r="C12">
        <v>6.21</v>
      </c>
      <c r="D12">
        <v>8.85</v>
      </c>
      <c r="E12">
        <v>0.21</v>
      </c>
      <c r="F12">
        <v>0</v>
      </c>
      <c r="G12">
        <v>3.74</v>
      </c>
      <c r="H12">
        <v>-1.22</v>
      </c>
      <c r="I12">
        <v>12.77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121</v>
      </c>
      <c r="B13">
        <v>2002</v>
      </c>
      <c r="C13">
        <v>5.98</v>
      </c>
      <c r="D13">
        <v>9.5</v>
      </c>
      <c r="E13">
        <v>0.22</v>
      </c>
      <c r="F13">
        <v>0</v>
      </c>
      <c r="G13">
        <v>3.93</v>
      </c>
      <c r="H13">
        <v>-0.89</v>
      </c>
      <c r="I13">
        <v>12.71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121</v>
      </c>
      <c r="B14">
        <v>2003</v>
      </c>
      <c r="C14">
        <v>6.74</v>
      </c>
      <c r="D14">
        <v>9.51</v>
      </c>
      <c r="E14">
        <v>0.23</v>
      </c>
      <c r="F14">
        <v>0</v>
      </c>
      <c r="G14">
        <v>4.4800000000000004</v>
      </c>
      <c r="H14">
        <v>-1.17</v>
      </c>
      <c r="I14">
        <v>13.19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121</v>
      </c>
      <c r="B15">
        <v>2004</v>
      </c>
      <c r="C15">
        <v>6.47</v>
      </c>
      <c r="D15">
        <v>10.17</v>
      </c>
      <c r="E15">
        <v>0.22</v>
      </c>
      <c r="F15">
        <v>0</v>
      </c>
      <c r="G15">
        <v>5.3</v>
      </c>
      <c r="H15">
        <v>-2.2999999999999998</v>
      </c>
      <c r="I15">
        <v>13.9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121</v>
      </c>
      <c r="B16">
        <v>2005</v>
      </c>
      <c r="C16">
        <v>6.38</v>
      </c>
      <c r="D16">
        <v>10.81</v>
      </c>
      <c r="E16">
        <v>0.23</v>
      </c>
      <c r="F16">
        <v>0</v>
      </c>
      <c r="G16">
        <v>8.75</v>
      </c>
      <c r="H16">
        <v>-4.34</v>
      </c>
      <c r="I16">
        <v>13.06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121</v>
      </c>
      <c r="B17">
        <v>2006</v>
      </c>
      <c r="C17">
        <v>6.36</v>
      </c>
      <c r="D17">
        <v>11.27</v>
      </c>
      <c r="E17">
        <v>0.24</v>
      </c>
      <c r="F17">
        <v>0</v>
      </c>
      <c r="G17">
        <v>8.31</v>
      </c>
      <c r="H17">
        <v>-3.31</v>
      </c>
      <c r="I17">
        <v>12.92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121</v>
      </c>
      <c r="B18">
        <v>2007</v>
      </c>
      <c r="C18">
        <v>6.79</v>
      </c>
      <c r="D18">
        <v>11.33</v>
      </c>
      <c r="E18">
        <v>0.25</v>
      </c>
      <c r="F18">
        <v>0</v>
      </c>
      <c r="G18">
        <v>7.81</v>
      </c>
      <c r="H18">
        <v>-1.92</v>
      </c>
      <c r="I18">
        <v>12.54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121</v>
      </c>
      <c r="B19">
        <v>2008</v>
      </c>
      <c r="C19">
        <v>6.42</v>
      </c>
      <c r="D19">
        <v>12.07</v>
      </c>
      <c r="E19">
        <v>0.25</v>
      </c>
      <c r="F19">
        <v>0</v>
      </c>
      <c r="G19">
        <v>12.25</v>
      </c>
      <c r="H19">
        <v>-6.24</v>
      </c>
      <c r="I19">
        <v>12.78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121</v>
      </c>
      <c r="B20">
        <v>2009</v>
      </c>
      <c r="C20">
        <v>6.24</v>
      </c>
      <c r="D20">
        <v>11.85</v>
      </c>
      <c r="E20">
        <v>0.24</v>
      </c>
      <c r="F20">
        <v>0</v>
      </c>
      <c r="G20">
        <v>11.89</v>
      </c>
      <c r="H20">
        <v>-6.89</v>
      </c>
      <c r="I20">
        <v>13.37</v>
      </c>
      <c r="J20">
        <v>0</v>
      </c>
      <c r="K20">
        <v>0</v>
      </c>
      <c r="L20">
        <v>0</v>
      </c>
      <c r="M20">
        <v>0</v>
      </c>
    </row>
    <row r="21" spans="1:13" x14ac:dyDescent="0.45">
      <c r="A21" t="s">
        <v>121</v>
      </c>
      <c r="B21">
        <v>2010</v>
      </c>
      <c r="C21">
        <v>6.36</v>
      </c>
      <c r="D21">
        <v>12.12</v>
      </c>
      <c r="E21">
        <v>0.24</v>
      </c>
      <c r="F21">
        <v>0</v>
      </c>
      <c r="G21">
        <v>12.42</v>
      </c>
      <c r="H21">
        <v>-8.4499999999999993</v>
      </c>
      <c r="I21">
        <v>14.8</v>
      </c>
      <c r="J21">
        <v>0</v>
      </c>
      <c r="K21">
        <v>0</v>
      </c>
      <c r="L21">
        <v>0</v>
      </c>
      <c r="M21">
        <v>0</v>
      </c>
    </row>
    <row r="22" spans="1:13" x14ac:dyDescent="0.45">
      <c r="A22" t="s">
        <v>121</v>
      </c>
      <c r="B22">
        <v>2011</v>
      </c>
      <c r="C22">
        <v>5.98</v>
      </c>
      <c r="D22">
        <v>12.13</v>
      </c>
      <c r="E22">
        <v>0.24</v>
      </c>
      <c r="F22">
        <v>0</v>
      </c>
      <c r="G22">
        <v>13.99</v>
      </c>
      <c r="H22">
        <v>-6.83</v>
      </c>
      <c r="I22">
        <v>11.24</v>
      </c>
      <c r="J22">
        <v>0</v>
      </c>
      <c r="K22">
        <v>0</v>
      </c>
      <c r="L22">
        <v>0</v>
      </c>
      <c r="M22">
        <v>0</v>
      </c>
    </row>
    <row r="23" spans="1:13" x14ac:dyDescent="0.45">
      <c r="A23" t="s">
        <v>121</v>
      </c>
      <c r="B23">
        <v>2012</v>
      </c>
      <c r="C23">
        <v>5.66</v>
      </c>
      <c r="D23">
        <v>12.06</v>
      </c>
      <c r="E23">
        <v>0.23</v>
      </c>
      <c r="F23">
        <v>0</v>
      </c>
      <c r="G23">
        <v>13.17</v>
      </c>
      <c r="H23">
        <v>-5.74</v>
      </c>
      <c r="I23">
        <v>10.59</v>
      </c>
      <c r="J23">
        <v>0</v>
      </c>
      <c r="K23">
        <v>0</v>
      </c>
      <c r="L23">
        <v>0</v>
      </c>
      <c r="M23">
        <v>0</v>
      </c>
    </row>
    <row r="24" spans="1:13" x14ac:dyDescent="0.45">
      <c r="A24" t="s">
        <v>121</v>
      </c>
      <c r="B24">
        <v>2013</v>
      </c>
      <c r="C24">
        <v>5.87</v>
      </c>
      <c r="D24">
        <v>11.69</v>
      </c>
      <c r="E24">
        <v>0.21</v>
      </c>
      <c r="F24">
        <v>0</v>
      </c>
      <c r="G24">
        <v>11.26</v>
      </c>
      <c r="H24">
        <v>-7.39</v>
      </c>
      <c r="I24">
        <v>13.95</v>
      </c>
      <c r="J24">
        <v>0</v>
      </c>
      <c r="K24">
        <v>0</v>
      </c>
      <c r="L24">
        <v>0</v>
      </c>
      <c r="M24">
        <v>0</v>
      </c>
    </row>
    <row r="25" spans="1:13" x14ac:dyDescent="0.45">
      <c r="A25" t="s">
        <v>121</v>
      </c>
      <c r="B25">
        <v>2014</v>
      </c>
      <c r="C25">
        <v>5.82</v>
      </c>
      <c r="D25">
        <v>11.31</v>
      </c>
      <c r="E25">
        <v>0.21</v>
      </c>
      <c r="F25">
        <v>0</v>
      </c>
      <c r="G25">
        <v>10.9</v>
      </c>
      <c r="H25">
        <v>-6.94</v>
      </c>
      <c r="I25">
        <v>13.44</v>
      </c>
      <c r="J25">
        <v>0</v>
      </c>
      <c r="K25">
        <v>0</v>
      </c>
      <c r="L25">
        <v>0</v>
      </c>
      <c r="M25">
        <v>0</v>
      </c>
    </row>
    <row r="26" spans="1:13" x14ac:dyDescent="0.45">
      <c r="A26" t="s">
        <v>121</v>
      </c>
      <c r="B26">
        <v>2015</v>
      </c>
      <c r="C26">
        <v>6.07</v>
      </c>
      <c r="D26">
        <v>11.67</v>
      </c>
      <c r="E26">
        <v>0.21</v>
      </c>
      <c r="F26">
        <v>0</v>
      </c>
      <c r="G26">
        <v>13.16</v>
      </c>
      <c r="H26">
        <v>-6.37</v>
      </c>
      <c r="I26">
        <v>11.24</v>
      </c>
      <c r="J26">
        <v>2.4540000000000002</v>
      </c>
      <c r="K26">
        <v>2.4660000000000002</v>
      </c>
      <c r="L26">
        <v>0.32600000000000001</v>
      </c>
      <c r="M26">
        <v>2.14</v>
      </c>
    </row>
    <row r="27" spans="1:13" x14ac:dyDescent="0.45">
      <c r="A27" t="s">
        <v>121</v>
      </c>
      <c r="B27">
        <v>2016</v>
      </c>
      <c r="C27">
        <v>6.22</v>
      </c>
      <c r="D27">
        <v>11.62</v>
      </c>
      <c r="E27">
        <v>0.22</v>
      </c>
      <c r="F27">
        <v>0</v>
      </c>
      <c r="G27">
        <v>12.4</v>
      </c>
      <c r="H27">
        <v>-6.87</v>
      </c>
      <c r="I27">
        <v>12.62</v>
      </c>
      <c r="J27">
        <v>2.5259999999999998</v>
      </c>
      <c r="K27">
        <v>2.5870000000000002</v>
      </c>
      <c r="L27">
        <v>0.42099999999999999</v>
      </c>
      <c r="M27">
        <v>2.1659999999999999</v>
      </c>
    </row>
    <row r="28" spans="1:13" x14ac:dyDescent="0.45">
      <c r="A28" t="s">
        <v>121</v>
      </c>
      <c r="B28">
        <v>2017</v>
      </c>
      <c r="C28">
        <v>6.32</v>
      </c>
      <c r="D28">
        <v>12.1</v>
      </c>
      <c r="E28">
        <v>0.23</v>
      </c>
      <c r="F28">
        <v>0</v>
      </c>
      <c r="G28">
        <v>12.16</v>
      </c>
      <c r="H28">
        <v>-5.2</v>
      </c>
      <c r="I28">
        <v>11.78</v>
      </c>
      <c r="J28">
        <v>2.9609999999999999</v>
      </c>
      <c r="K28">
        <v>2.6840000000000002</v>
      </c>
      <c r="L28">
        <v>0.55300000000000005</v>
      </c>
      <c r="M28">
        <v>2.1309999999999998</v>
      </c>
    </row>
    <row r="29" spans="1:13" x14ac:dyDescent="0.45">
      <c r="A29" t="s">
        <v>121</v>
      </c>
      <c r="B29">
        <v>2018</v>
      </c>
      <c r="C29">
        <v>6.45</v>
      </c>
      <c r="D29">
        <v>12.21</v>
      </c>
      <c r="E29">
        <v>0.24</v>
      </c>
      <c r="F29">
        <v>0</v>
      </c>
      <c r="G29">
        <v>12.69</v>
      </c>
      <c r="H29">
        <v>-7.31</v>
      </c>
      <c r="I29">
        <v>13.55</v>
      </c>
      <c r="J29">
        <v>3.0470000000000002</v>
      </c>
      <c r="K29">
        <v>2.6259999999999999</v>
      </c>
      <c r="L29">
        <v>0.59599999999999997</v>
      </c>
      <c r="M29">
        <v>2.0299999999999998</v>
      </c>
    </row>
    <row r="30" spans="1:13" x14ac:dyDescent="0.45">
      <c r="A30" t="s">
        <v>121</v>
      </c>
      <c r="B30">
        <v>2019</v>
      </c>
      <c r="C30">
        <v>6.23</v>
      </c>
      <c r="D30">
        <v>12.27</v>
      </c>
      <c r="E30">
        <v>0.24</v>
      </c>
      <c r="F30">
        <v>0</v>
      </c>
      <c r="G30">
        <v>11.4</v>
      </c>
      <c r="H30">
        <v>-5.27</v>
      </c>
      <c r="I30">
        <v>12.65</v>
      </c>
      <c r="J30">
        <v>3.202</v>
      </c>
      <c r="K30">
        <v>2.782</v>
      </c>
      <c r="L30">
        <v>0.78200000000000003</v>
      </c>
      <c r="M30">
        <v>2</v>
      </c>
    </row>
    <row r="31" spans="1:13" x14ac:dyDescent="0.45">
      <c r="A31" t="s">
        <v>121</v>
      </c>
      <c r="B31">
        <v>2020</v>
      </c>
      <c r="C31">
        <v>6.21</v>
      </c>
      <c r="D31">
        <v>11.38</v>
      </c>
      <c r="E31">
        <v>0.22</v>
      </c>
      <c r="F31">
        <v>0</v>
      </c>
      <c r="G31">
        <v>10.49</v>
      </c>
      <c r="H31">
        <v>-5.85</v>
      </c>
      <c r="I31">
        <v>13.24</v>
      </c>
      <c r="J31">
        <v>3.3839999999999999</v>
      </c>
      <c r="K31">
        <v>2.944</v>
      </c>
      <c r="L31">
        <v>0.84</v>
      </c>
      <c r="M31">
        <v>2.1040000000000001</v>
      </c>
    </row>
    <row r="32" spans="1:13" x14ac:dyDescent="0.45">
      <c r="A32" t="s">
        <v>121</v>
      </c>
      <c r="B32">
        <v>2021</v>
      </c>
      <c r="C32">
        <v>6.36</v>
      </c>
      <c r="D32">
        <v>12.42</v>
      </c>
      <c r="E32">
        <v>0.24</v>
      </c>
      <c r="F32">
        <v>0.01</v>
      </c>
      <c r="G32">
        <v>11.5</v>
      </c>
      <c r="H32">
        <v>-7.54</v>
      </c>
      <c r="I32">
        <v>15.11</v>
      </c>
      <c r="J32">
        <v>3.8239999999999998</v>
      </c>
      <c r="K32">
        <v>3.1779999999999999</v>
      </c>
      <c r="L32">
        <v>0.88100000000000001</v>
      </c>
      <c r="M32">
        <v>2.2970000000000002</v>
      </c>
    </row>
    <row r="33" spans="1:13" x14ac:dyDescent="0.45">
      <c r="A33" t="s">
        <v>121</v>
      </c>
      <c r="B33">
        <v>2022</v>
      </c>
      <c r="C33">
        <v>5.97</v>
      </c>
      <c r="D33">
        <v>12.53</v>
      </c>
      <c r="E33">
        <v>0.24</v>
      </c>
      <c r="F33">
        <v>0.01</v>
      </c>
      <c r="G33">
        <v>11.92</v>
      </c>
      <c r="H33">
        <v>-7.22</v>
      </c>
      <c r="I33">
        <v>14.11</v>
      </c>
      <c r="J33">
        <v>3.5720000000000001</v>
      </c>
      <c r="K33">
        <v>2.8860000000000001</v>
      </c>
      <c r="L33">
        <v>0.95899999999999996</v>
      </c>
      <c r="M33">
        <v>1.927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111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111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111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111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111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111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111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111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111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111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111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111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111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111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111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111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111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111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111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111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111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111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111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111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111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111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111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111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111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111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111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111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111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111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111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111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111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111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111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111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111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111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111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111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111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111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111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111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111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111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111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111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111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111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111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111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111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111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111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111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111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111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111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111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111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111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111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111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111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111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111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112</v>
      </c>
    </row>
    <row r="82" spans="1:13" x14ac:dyDescent="0.45">
      <c r="A82" t="s">
        <v>0</v>
      </c>
      <c r="B82" t="s">
        <v>111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112</v>
      </c>
    </row>
    <row r="83" spans="1:13" x14ac:dyDescent="0.45">
      <c r="A83" t="s">
        <v>0</v>
      </c>
      <c r="B83" t="s">
        <v>111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112</v>
      </c>
    </row>
    <row r="84" spans="1:13" x14ac:dyDescent="0.45">
      <c r="A84" t="s">
        <v>0</v>
      </c>
      <c r="B84" t="s">
        <v>111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112</v>
      </c>
    </row>
    <row r="85" spans="1:13" x14ac:dyDescent="0.45">
      <c r="A85" t="s">
        <v>0</v>
      </c>
      <c r="B85" t="s">
        <v>111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112</v>
      </c>
    </row>
    <row r="86" spans="1:13" x14ac:dyDescent="0.45">
      <c r="A86" t="s">
        <v>0</v>
      </c>
      <c r="B86" t="s">
        <v>111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112</v>
      </c>
    </row>
    <row r="87" spans="1:13" x14ac:dyDescent="0.45">
      <c r="A87" t="s">
        <v>0</v>
      </c>
      <c r="B87" t="s">
        <v>111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112</v>
      </c>
    </row>
    <row r="88" spans="1:13" x14ac:dyDescent="0.45">
      <c r="A88" t="s">
        <v>2</v>
      </c>
      <c r="B88" t="s">
        <v>111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112</v>
      </c>
    </row>
    <row r="89" spans="1:13" x14ac:dyDescent="0.45">
      <c r="A89" t="s">
        <v>2</v>
      </c>
      <c r="B89" t="s">
        <v>111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112</v>
      </c>
    </row>
    <row r="90" spans="1:13" x14ac:dyDescent="0.45">
      <c r="A90" t="s">
        <v>2</v>
      </c>
      <c r="B90" t="s">
        <v>111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112</v>
      </c>
    </row>
    <row r="91" spans="1:13" x14ac:dyDescent="0.45">
      <c r="A91" t="s">
        <v>2</v>
      </c>
      <c r="B91" t="s">
        <v>111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112</v>
      </c>
    </row>
    <row r="92" spans="1:13" x14ac:dyDescent="0.45">
      <c r="A92" t="s">
        <v>2</v>
      </c>
      <c r="B92" t="s">
        <v>111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112</v>
      </c>
    </row>
    <row r="93" spans="1:13" x14ac:dyDescent="0.45">
      <c r="A93" t="s">
        <v>2</v>
      </c>
      <c r="B93" t="s">
        <v>111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112</v>
      </c>
    </row>
    <row r="94" spans="1:13" x14ac:dyDescent="0.45">
      <c r="A94" t="s">
        <v>2</v>
      </c>
      <c r="B94" t="s">
        <v>111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112</v>
      </c>
    </row>
    <row r="95" spans="1:13" x14ac:dyDescent="0.45">
      <c r="A95" t="s">
        <v>5</v>
      </c>
      <c r="B95" t="s">
        <v>111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112</v>
      </c>
    </row>
    <row r="96" spans="1:13" x14ac:dyDescent="0.45">
      <c r="A96" t="s">
        <v>5</v>
      </c>
      <c r="B96" t="s">
        <v>111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112</v>
      </c>
    </row>
    <row r="97" spans="1:13" x14ac:dyDescent="0.45">
      <c r="A97" t="s">
        <v>5</v>
      </c>
      <c r="B97" t="s">
        <v>111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112</v>
      </c>
    </row>
    <row r="98" spans="1:13" x14ac:dyDescent="0.45">
      <c r="A98" t="s">
        <v>5</v>
      </c>
      <c r="B98" t="s">
        <v>111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112</v>
      </c>
    </row>
    <row r="99" spans="1:13" x14ac:dyDescent="0.45">
      <c r="A99" t="s">
        <v>5</v>
      </c>
      <c r="B99" t="s">
        <v>111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112</v>
      </c>
    </row>
    <row r="100" spans="1:13" x14ac:dyDescent="0.45">
      <c r="A100" t="s">
        <v>5</v>
      </c>
      <c r="B100" t="s">
        <v>111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112</v>
      </c>
    </row>
    <row r="101" spans="1:13" x14ac:dyDescent="0.45">
      <c r="A101" t="s">
        <v>5</v>
      </c>
      <c r="B101" t="s">
        <v>111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112</v>
      </c>
    </row>
    <row r="102" spans="1:13" x14ac:dyDescent="0.45">
      <c r="A102" t="s">
        <v>7</v>
      </c>
      <c r="B102" t="s">
        <v>111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112</v>
      </c>
    </row>
    <row r="103" spans="1:13" x14ac:dyDescent="0.45">
      <c r="A103" t="s">
        <v>7</v>
      </c>
      <c r="B103" t="s">
        <v>111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112</v>
      </c>
    </row>
    <row r="104" spans="1:13" x14ac:dyDescent="0.45">
      <c r="A104" t="s">
        <v>7</v>
      </c>
      <c r="B104" t="s">
        <v>111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112</v>
      </c>
    </row>
    <row r="105" spans="1:13" x14ac:dyDescent="0.45">
      <c r="A105" t="s">
        <v>7</v>
      </c>
      <c r="B105" t="s">
        <v>111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112</v>
      </c>
    </row>
    <row r="106" spans="1:13" x14ac:dyDescent="0.45">
      <c r="A106" t="s">
        <v>7</v>
      </c>
      <c r="B106" t="s">
        <v>111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112</v>
      </c>
    </row>
    <row r="107" spans="1:13" x14ac:dyDescent="0.45">
      <c r="A107" t="s">
        <v>7</v>
      </c>
      <c r="B107" t="s">
        <v>111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112</v>
      </c>
    </row>
    <row r="108" spans="1:13" x14ac:dyDescent="0.45">
      <c r="A108" t="s">
        <v>7</v>
      </c>
      <c r="B108" t="s">
        <v>111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112</v>
      </c>
    </row>
    <row r="109" spans="1:13" x14ac:dyDescent="0.45">
      <c r="A109" t="s">
        <v>9</v>
      </c>
      <c r="B109" t="s">
        <v>111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112</v>
      </c>
    </row>
    <row r="110" spans="1:13" x14ac:dyDescent="0.45">
      <c r="A110" t="s">
        <v>9</v>
      </c>
      <c r="B110" t="s">
        <v>111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112</v>
      </c>
    </row>
    <row r="111" spans="1:13" x14ac:dyDescent="0.45">
      <c r="A111" t="s">
        <v>9</v>
      </c>
      <c r="B111" t="s">
        <v>111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112</v>
      </c>
    </row>
    <row r="112" spans="1:13" x14ac:dyDescent="0.45">
      <c r="A112" t="s">
        <v>9</v>
      </c>
      <c r="B112" t="s">
        <v>111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112</v>
      </c>
    </row>
    <row r="113" spans="1:13" x14ac:dyDescent="0.45">
      <c r="A113" t="s">
        <v>9</v>
      </c>
      <c r="B113" t="s">
        <v>111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112</v>
      </c>
    </row>
    <row r="114" spans="1:13" x14ac:dyDescent="0.45">
      <c r="A114" t="s">
        <v>9</v>
      </c>
      <c r="B114" t="s">
        <v>111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112</v>
      </c>
    </row>
    <row r="115" spans="1:13" x14ac:dyDescent="0.45">
      <c r="A115" t="s">
        <v>9</v>
      </c>
      <c r="B115" t="s">
        <v>111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112</v>
      </c>
    </row>
    <row r="116" spans="1:13" x14ac:dyDescent="0.45">
      <c r="A116" t="s">
        <v>0</v>
      </c>
      <c r="B116" t="s">
        <v>111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111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111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111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111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111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111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111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111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111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111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111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111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111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111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111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111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111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111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111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111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111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111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111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111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111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111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111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111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111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111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111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111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111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111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111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111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111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111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111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111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111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111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111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111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111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111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111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111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111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111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111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111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111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111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111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111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111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111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111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111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111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111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111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111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111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111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111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111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111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111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111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111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111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111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111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111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111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111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111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111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111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111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111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111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111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111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111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111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111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111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111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111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111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111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111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111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111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111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111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111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111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111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111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111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111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111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111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111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111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111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111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111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111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111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111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111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111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111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111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111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111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111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111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111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111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111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111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111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111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111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111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111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111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111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111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111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111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111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111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111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111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111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111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111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111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111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111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111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111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111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111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111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111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111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111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111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111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111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111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111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111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111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111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111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111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111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111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111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111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111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111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111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111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111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111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111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111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111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111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111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111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111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111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111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111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111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111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111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111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111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111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111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111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111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111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111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111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111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111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111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111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111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111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111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111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111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111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111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111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111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111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111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111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111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111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111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111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111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111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111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111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111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111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111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111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111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111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111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111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111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111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111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111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111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111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111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111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111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111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111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111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111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111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111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111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111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111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111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111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111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111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111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111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111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111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111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111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111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111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111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111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111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111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111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111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111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111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111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111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111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111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111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111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111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111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111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111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111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111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2026-08-26T09:21:23Z</dcterms:modified>
</cp:coreProperties>
</file>