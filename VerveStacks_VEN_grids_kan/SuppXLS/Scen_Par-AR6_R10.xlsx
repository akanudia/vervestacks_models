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EN_grids_kan\SuppXLS\"/>
    </mc:Choice>
  </mc:AlternateContent>
  <xr:revisionPtr revIDLastSave="0" documentId="8_{21C0C3B3-7192-4D86-B506-F195BB13E8E4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<sst xmlns="http://schemas.openxmlformats.org/spreadsheetml/2006/main" count="18367" uniqueCount="323">
  <si>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</si>
  <si>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</si>
  <si>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</si>
  <si>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</si>
  <si>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</si>
  <si>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</si>
  <si>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</si>
  <si>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</si>
  <si>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</si>
  <si>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</si>
  <si>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</si>
  <si>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</si>
  <si>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</si>
  <si>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</si>
  <si>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</si>
  <si>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</si>
  <si>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</si>
  <si>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</si>
  <si>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</si>
  <si>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</si>
  <si>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</si>
  <si>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</si>
  <si>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</si>
  <si>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</si>
  <si>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</si>
  <si>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</si>
  <si>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</si>
  <si>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</si>
  <si>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</si>
  <si>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</si>
  <si>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</si>
  <si>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</si>
  <si>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</si>
  <si>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</si>
  <si>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</si>
  <si>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</si>
  <si>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</si>
  <si>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</si>
  <si>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</si>
  <si>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</si>
  <si>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</si>
  <si>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</si>
  <si>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</si>
  <si>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</si>
  <si>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</si>
  <si>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</si>
  <si>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</si>
  <si>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</si>
  <si>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</si>
  <si>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</si>
  <si>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</si>
  <si>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</si>
  <si>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</si>
  <si>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</si>
  <si>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</si>
  <si>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</si>
  <si>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</si>
  <si>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</si>
  <si>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</si>
  <si>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</si>
  <si>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</si>
  <si>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</si>
  <si>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</si>
  <si>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</si>
  <si>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</si>
  <si>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</si>
  <si>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</si>
  <si>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</si>
  <si>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</si>
  <si>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</si>
  <si>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</si>
  <si>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</si>
  <si>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</si>
  <si>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</si>
  <si>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</si>
  <si>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</si>
  <si>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</si>
  <si>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</si>
  <si>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</si>
  <si>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</si>
  <si>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</si>
  <si>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</si>
  <si>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</si>
  <si>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</si>
  <si>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</si>
  <si>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</si>
  <si>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</si>
  <si>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</si>
  <si>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</si>
  <si>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</si>
  <si>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</si>
  <si>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</si>
  <si>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</si>
  <si>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</si>
  <si>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</si>
  <si>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</si>
  <si>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</si>
  <si>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</si>
  <si>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</si>
  <si>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</si>
  <si>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</si>
  <si>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</si>
  <si>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</si>
  <si>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</si>
  <si>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</si>
  <si>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</si>
  <si>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</si>
  <si>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</si>
  <si>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</si>
  <si>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</si>
  <si>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</si>
  <si>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</si>
  <si>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</si>
  <si>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</si>
  <si>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</si>
  <si>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</si>
  <si>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</si>
  <si>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</si>
  <si>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</si>
  <si>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</si>
  <si>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</si>
  <si>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</si>
  <si>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</si>
  <si>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</si>
  <si>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</si>
  <si>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</si>
  <si>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</si>
  <si>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</si>
  <si>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</si>
  <si>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</si>
  <si>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</si>
  <si>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</si>
  <si>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</si>
  <si>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</si>
  <si>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</si>
  <si>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</si>
  <si>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</si>
  <si>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</si>
  <si>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</si>
  <si>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</si>
  <si>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</si>
  <si>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</si>
  <si>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</si>
  <si>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VEN</t>
  </si>
  <si>
    <t>R10LATIN_AM</t>
  </si>
  <si>
    <t>Oil/gas reserves, limited biomass use</t>
  </si>
  <si>
    <t>1,2,3,4,5,6,7,8,9,10,11,12,13,14,15,21,22,23,24,25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</si>
  <si>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</si>
  <si>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</si>
  <si>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</si>
  <si>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</si>
  <si>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</si>
  <si>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</si>
  <si>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</si>
  <si>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</si>
  <si>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</si>
  <si>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</si>
  <si>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</si>
  <si>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</si>
  <si>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</si>
  <si>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</si>
  <si>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</si>
  <si>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</si>
  <si>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</si>
  <si>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</si>
  <si>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</si>
  <si>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</si>
  <si>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</si>
  <si>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</si>
  <si>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</si>
  <si>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</si>
  <si>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</si>
  <si>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</si>
  <si>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</si>
  <si>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</si>
  <si>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</si>
  <si>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</si>
  <si>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</si>
  <si>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</si>
  <si>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</si>
  <si>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</si>
  <si>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</si>
  <si>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</si>
  <si>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</si>
  <si>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</si>
  <si>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</si>
  <si>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</si>
  <si>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</si>
  <si>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</si>
  <si>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</si>
  <si>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</si>
  <si>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</si>
  <si>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</si>
  <si>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</si>
  <si>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</si>
  <si>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</si>
  <si>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</si>
  <si>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</si>
  <si>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</si>
  <si>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</si>
  <si>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</si>
  <si>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</si>
  <si>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</si>
  <si>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</si>
  <si>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</si>
  <si>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</si>
  <si>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</si>
  <si>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</si>
  <si>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</si>
  <si>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</si>
  <si>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</si>
  <si>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</si>
  <si>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</si>
  <si>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</si>
  <si>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</si>
  <si>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</si>
  <si>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</si>
  <si>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</si>
  <si>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</si>
  <si>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</si>
  <si>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</si>
  <si>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</si>
  <si>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</si>
  <si>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</si>
  <si>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</si>
  <si>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</si>
  <si>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</si>
  <si>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</si>
  <si>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</si>
  <si>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</si>
  <si>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</si>
  <si>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</si>
  <si>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</si>
  <si>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</si>
  <si>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</si>
  <si>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</si>
  <si>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</si>
  <si>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</si>
  <si>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</si>
  <si>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</si>
  <si>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</si>
  <si>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</si>
  <si>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</si>
  <si>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</si>
  <si>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g_yrfr</t>
  </si>
  <si>
    <t>day_night</t>
  </si>
  <si>
    <t>D</t>
  </si>
  <si>
    <t>S03aH02,S02aH02,S04aH02,S01aH02</t>
  </si>
  <si>
    <t>N</t>
  </si>
  <si>
    <t>S02aH03,S01aH03,S02aH01,S03aH01,S03aH03,S01aH01,S04aH01,S04aH03</t>
  </si>
  <si>
    <t>com_pkflx</t>
  </si>
  <si>
    <t>ncap_afs</t>
  </si>
  <si>
    <t>pset_ci</t>
  </si>
  <si>
    <t>hydro</t>
  </si>
  <si>
    <t>S01,S02,S03,S04,S05,S06,S07,S08</t>
  </si>
  <si>
    <t>H04</t>
  </si>
  <si>
    <t>S05</t>
  </si>
  <si>
    <t>H05</t>
  </si>
  <si>
    <t>S06</t>
  </si>
  <si>
    <t>H06</t>
  </si>
  <si>
    <t>S07</t>
  </si>
  <si>
    <t>S08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</si>
  <si>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</si>
  <si>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</si>
  <si>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</si>
  <si>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</si>
  <si>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</si>
  <si>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</si>
  <si>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</si>
  <si>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</si>
  <si>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</si>
  <si>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</si>
  <si>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</si>
  <si>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</si>
  <si>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</si>
  <si>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</si>
  <si>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</si>
  <si>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</si>
  <si>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</si>
  <si>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</si>
  <si>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</si>
  <si>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</si>
  <si>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</si>
  <si>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</si>
  <si>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</si>
  <si>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</si>
  <si>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</si>
  <si>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</si>
  <si>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</si>
  <si>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</si>
  <si>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</si>
  <si>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</si>
  <si>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</si>
  <si>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</si>
  <si>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</si>
  <si>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</si>
  <si>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</si>
  <si>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</si>
  <si>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S01aH03,S05aH02,S05aH03,S08aH02,S05aH04,S06aH02,S06aH03,S02aH04,S02aH05,S04aH02,S01aH02,S04aH04,S03aH04,S08aH05,S03aH02,S07aH05,S02aH03,S07aH03,S01aH05,S06aH05,S01aH04,S07aH02,S04aH05,S03aH03,S03aH05,S05aH05,S06aH04,S08aH04,S02aH02,S04aH03,S07aH04,S08aH03</t>
  </si>
  <si>
    <t>S06aH01,S01aH06,S07aH01,S08aH06,S02aH06,S03aH06,S05aH01,S07aH06,S01aH01,S04aH01,S04aH06,S08aH01,S06aH06,S03aH01,S02aH01,S05aH06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</si>
  <si>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</si>
  <si>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</si>
  <si>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</si>
  <si>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</si>
  <si>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</si>
  <si>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</si>
  <si>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</si>
  <si>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</si>
  <si>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</si>
  <si>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</si>
  <si>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</si>
  <si>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</si>
  <si>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</si>
  <si>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</si>
  <si>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</si>
  <si>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</si>
  <si>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</si>
  <si>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</si>
  <si>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</si>
  <si>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</si>
  <si>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</si>
  <si>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RaP,WaP,SaD,FaD,WaD,FaP,SaP,RaD</t>
  </si>
  <si>
    <t>WaP,RaN,FaP,SaP,RaP,SaN,WaN,FaN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</si>
</sst>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81.78</c:v>
                </c:pt>
                <c:pt idx="1">
                  <c:v>95.682599999999994</c:v>
                </c:pt>
                <c:pt idx="2">
                  <c:v>116.1276</c:v>
                </c:pt>
                <c:pt idx="3">
                  <c:v>133.3014</c:v>
                </c:pt>
                <c:pt idx="4">
                  <c:v>163.56</c:v>
                </c:pt>
                <c:pt idx="5">
                  <c:v>193.8186</c:v>
                </c:pt>
                <c:pt idx="6">
                  <c:v>234.70860000000002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61.35</c:v>
                </c:pt>
                <c:pt idx="3">
                  <c:v>98.16</c:v>
                </c:pt>
                <c:pt idx="4">
                  <c:v>128.76</c:v>
                </c:pt>
                <c:pt idx="5">
                  <c:v>172.36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81.78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81.78</v>
      </c>
      <c r="U14" s="8">
        <f t="shared" ref="U14:Z14" si="3">$S$12*J15</f>
        <v>95.682599999999994</v>
      </c>
      <c r="V14" s="8">
        <f t="shared" si="3"/>
        <v>116.1276</v>
      </c>
      <c r="W14" s="8">
        <f t="shared" si="3"/>
        <v>133.3014</v>
      </c>
      <c r="X14" s="8">
        <f t="shared" si="3"/>
        <v>163.56</v>
      </c>
      <c r="Y14" s="8">
        <f t="shared" si="3"/>
        <v>193.8186</v>
      </c>
      <c r="Z14" s="8">
        <f t="shared" si="3"/>
        <v>234.70860000000002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1.17</v>
      </c>
      <c r="K15" s="11">
        <f>SUMIFS(ar6_r10!$F$2:$F$999,ar6_r10!$A$2:$A$999,Veda!$E$5,ar6_r10!$C$2:$C$999,Veda!K$17,ar6_r10!$M$2:$M$999,Veda!$G15)</f>
        <v>1.42</v>
      </c>
      <c r="L15" s="11">
        <f>SUMIFS(ar6_r10!$F$2:$F$999,ar6_r10!$A$2:$A$999,Veda!$E$5,ar6_r10!$C$2:$C$999,Veda!L$17,ar6_r10!$M$2:$M$999,Veda!$G15)</f>
        <v>1.63</v>
      </c>
      <c r="M15" s="11">
        <f>SUMIFS(ar6_r10!$F$2:$F$999,ar6_r10!$A$2:$A$999,Veda!$E$5,ar6_r10!$C$2:$C$999,Veda!M$17,ar6_r10!$M$2:$M$999,Veda!$G15)</f>
        <v>2</v>
      </c>
      <c r="N15" s="11">
        <f>SUMIFS(ar6_r10!$F$2:$F$999,ar6_r10!$A$2:$A$999,Veda!$E$5,ar6_r10!$C$2:$C$999,Veda!N$17,ar6_r10!$M$2:$M$999,Veda!$G15)</f>
        <v>2.37</v>
      </c>
      <c r="O15" s="11">
        <f>SUMIFS(ar6_r10!$F$2:$F$999,ar6_r10!$A$2:$A$999,Veda!$E$5,ar6_r10!$C$2:$C$999,Veda!O$17,ar6_r10!$M$2:$M$999,Veda!$G15)</f>
        <v>2.87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0.01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1.6356000000000002</v>
      </c>
      <c r="Y18" s="6">
        <f t="shared" si="7"/>
        <v>1.9381860000000002</v>
      </c>
      <c r="Z18" s="6">
        <f t="shared" si="7"/>
        <v>7.041258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0.43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0.45</v>
      </c>
      <c r="M19" s="11">
        <f>SUMIFS(ar6_r10!$F$2:$F$999,ar6_r10!$A$2:$A$999,Veda!$E$5,ar6_r10!$C$2:$C$999,Veda!M$17,ar6_r10!$M$2:$M$999,Veda!$G19)</f>
        <v>0.43</v>
      </c>
      <c r="N19" s="11">
        <f>SUMIFS(ar6_r10!$F$2:$F$999,ar6_r10!$A$2:$A$999,Veda!$E$5,ar6_r10!$C$2:$C$999,Veda!N$17,ar6_r10!$M$2:$M$999,Veda!$G19)</f>
        <v>0.45</v>
      </c>
      <c r="O19" s="11">
        <f>SUMIFS(ar6_r10!$F$2:$F$999,ar6_r10!$A$2:$A$999,Veda!$E$5,ar6_r10!$C$2:$C$999,Veda!O$17,ar6_r10!$M$2:$M$999,Veda!$G19)</f>
        <v>0.43</v>
      </c>
      <c r="S19" s="10" t="s">
        <v>19</v>
      </c>
      <c r="T19" s="6">
        <f t="shared" si="7"/>
        <v>35.165399999999998</v>
      </c>
      <c r="U19" s="6">
        <f t="shared" si="7"/>
        <v>40.186691999999994</v>
      </c>
      <c r="V19" s="6">
        <f t="shared" si="7"/>
        <v>49.934868000000002</v>
      </c>
      <c r="W19" s="6">
        <f t="shared" si="7"/>
        <v>59.98563</v>
      </c>
      <c r="X19" s="6">
        <f t="shared" si="7"/>
        <v>70.330799999999996</v>
      </c>
      <c r="Y19" s="6">
        <f t="shared" si="7"/>
        <v>87.218370000000007</v>
      </c>
      <c r="Z19" s="6">
        <f t="shared" si="7"/>
        <v>100.92469800000001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0.56999999999999995</v>
      </c>
      <c r="J20" s="11">
        <f>SUMIFS(ar6_r10!$F$2:$F$999,ar6_r10!$A$2:$A$999,Veda!$E$5,ar6_r10!$C$2:$C$999,Veda!J$17,ar6_r10!$M$2:$M$999,Veda!$G20)</f>
        <v>0.56999999999999995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</v>
      </c>
      <c r="N20" s="11">
        <f>SUMIFS(ar6_r10!$F$2:$F$999,ar6_r10!$A$2:$A$999,Veda!$E$5,ar6_r10!$C$2:$C$999,Veda!N$17,ar6_r10!$M$2:$M$999,Veda!$G20)</f>
        <v>0.47</v>
      </c>
      <c r="O20" s="11">
        <f>SUMIFS(ar6_r10!$F$2:$F$999,ar6_r10!$A$2:$A$999,Veda!$E$5,ar6_r10!$C$2:$C$999,Veda!O$17,ar6_r10!$M$2:$M$999,Veda!$G20)</f>
        <v>0.48</v>
      </c>
      <c r="S20" s="10" t="s">
        <v>22</v>
      </c>
      <c r="T20" s="6">
        <f t="shared" si="7"/>
        <v>46.614599999999996</v>
      </c>
      <c r="U20" s="6">
        <f t="shared" si="7"/>
        <v>54.539081999999993</v>
      </c>
      <c r="V20" s="6">
        <f t="shared" si="7"/>
        <v>61.547628000000003</v>
      </c>
      <c r="W20" s="6">
        <f t="shared" si="7"/>
        <v>67.983714000000006</v>
      </c>
      <c r="X20" s="6">
        <f t="shared" si="7"/>
        <v>81.78</v>
      </c>
      <c r="Y20" s="6">
        <f t="shared" si="7"/>
        <v>91.094741999999997</v>
      </c>
      <c r="Z20" s="6">
        <f t="shared" si="7"/>
        <v>112.660128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7.0000000000000007E-2</v>
      </c>
      <c r="S21" s="10" t="s">
        <v>24</v>
      </c>
      <c r="T21" s="6">
        <f>I21*T$14</f>
        <v>0.81780000000000008</v>
      </c>
      <c r="U21" s="6">
        <f t="shared" ref="U21:Z21" si="8">T21</f>
        <v>0.81780000000000008</v>
      </c>
      <c r="V21" s="6">
        <f t="shared" si="8"/>
        <v>0.81780000000000008</v>
      </c>
      <c r="W21" s="6">
        <f t="shared" si="8"/>
        <v>0.81780000000000008</v>
      </c>
      <c r="X21" s="6">
        <f t="shared" si="8"/>
        <v>0.81780000000000008</v>
      </c>
      <c r="Y21" s="6">
        <f t="shared" si="8"/>
        <v>0.81780000000000008</v>
      </c>
      <c r="Z21" s="6">
        <f t="shared" si="8"/>
        <v>0.81780000000000008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-0.81780000000000541</v>
      </c>
      <c r="U22" s="6">
        <f t="shared" si="9"/>
        <v>0.1390260000000012</v>
      </c>
      <c r="V22" s="6">
        <f t="shared" si="9"/>
        <v>3.827303999999998</v>
      </c>
      <c r="W22" s="6">
        <f t="shared" si="9"/>
        <v>4.5142559999999889</v>
      </c>
      <c r="X22" s="6">
        <f t="shared" si="9"/>
        <v>10.631400000000014</v>
      </c>
      <c r="Y22" s="6">
        <f t="shared" si="9"/>
        <v>14.687688000000009</v>
      </c>
      <c r="Z22" s="6">
        <f t="shared" si="9"/>
        <v>20.305973999999992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61.35</v>
      </c>
      <c r="L24" s="8">
        <f>SUMIFS(ar6_r10!$F$2:$F$999,ar6_r10!$A$2:$A$999,Veda!$E$5,ar6_r10!$C$2:$C$999,Veda!L$17,ar6_r10!$M$2:$M$999,Veda!$G24)</f>
        <v>98.16</v>
      </c>
      <c r="M24" s="8">
        <f>SUMIFS(ar6_r10!$F$2:$F$999,ar6_r10!$A$2:$A$999,Veda!$E$5,ar6_r10!$C$2:$C$999,Veda!M$17,ar6_r10!$M$2:$M$999,Veda!$G24)</f>
        <v>128.76</v>
      </c>
      <c r="N24" s="8">
        <f>SUMIFS(ar6_r10!$F$2:$F$999,ar6_r10!$A$2:$A$999,Veda!$E$5,ar6_r10!$C$2:$C$999,Veda!N$17,ar6_r10!$M$2:$M$999,Veda!$G24)</f>
        <v>172.36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6.1350000000000002E-2</v>
      </c>
      <c r="W24" s="11">
        <f>L24/1000</f>
        <v>9.8159999999999997E-2</v>
      </c>
      <c r="X24" s="11">
        <f>M24/1000</f>
        <v>0.12875999999999999</v>
      </c>
      <c r="Y24" s="11">
        <f>N24/1000</f>
        <v>0.17236000000000001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-0.64</v>
      </c>
      <c r="S29" t="s">
        <v>35</v>
      </c>
      <c r="T29" s="3">
        <f>-1*Q29</f>
        <v>0.64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1.21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1.28</v>
      </c>
      <c r="N37" s="11">
        <f>SUMIFS(ar6_r10!$F$2:$F$999,ar6_r10!$A$2:$A$999,Veda!$G$36,ar6_r10!$C$2:$C$999,Veda!N$17,ar6_r10!$M$2:$M$999,Veda!$G37)</f>
        <v>1.36</v>
      </c>
      <c r="O37" s="11">
        <f>SUMIFS(ar6_r10!$F$2:$F$999,ar6_r10!$A$2:$A$999,Veda!$G$36,ar6_r10!$C$2:$C$999,Veda!O$17,ar6_r10!$M$2:$M$999,Veda!$G37)</f>
        <v>1.38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1.08</v>
      </c>
      <c r="L38" s="11">
        <f>SUMIFS(ar6_r10!$F$2:$F$999,ar6_r10!$A$2:$A$999,Veda!$G$36,ar6_r10!$C$2:$C$999,Veda!L$17,ar6_r10!$M$2:$M$999,Veda!$G38)</f>
        <v>1.0900000000000001</v>
      </c>
      <c r="M38" s="11">
        <f>SUMIFS(ar6_r10!$F$2:$F$999,ar6_r10!$A$2:$A$999,Veda!$G$36,ar6_r10!$C$2:$C$999,Veda!M$17,ar6_r10!$M$2:$M$999,Veda!$G38)</f>
        <v>1.1000000000000001</v>
      </c>
      <c r="N38" s="11">
        <f>SUMIFS(ar6_r10!$F$2:$F$999,ar6_r10!$A$2:$A$999,Veda!$G$36,ar6_r10!$C$2:$C$999,Veda!N$17,ar6_r10!$M$2:$M$999,Veda!$G38)</f>
        <v>1.1200000000000001</v>
      </c>
      <c r="O38" s="11">
        <f>SUMIFS(ar6_r10!$F$2:$F$999,ar6_r10!$A$2:$A$999,Veda!$G$36,ar6_r10!$C$2:$C$999,Veda!O$17,ar6_r10!$M$2:$M$999,Veda!$G38)</f>
        <v>1.1399999999999999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1.05</v>
      </c>
      <c r="K39" s="11">
        <f>SUMIFS(ar6_r10!$F$2:$F$999,ar6_r10!$A$2:$A$999,Veda!$G$36,ar6_r10!$C$2:$C$999,Veda!K$17,ar6_r10!$M$2:$M$999,Veda!$G39)</f>
        <v>1.25</v>
      </c>
      <c r="L39" s="11">
        <f>SUMIFS(ar6_r10!$F$2:$F$999,ar6_r10!$A$2:$A$999,Veda!$G$36,ar6_r10!$C$2:$C$999,Veda!L$17,ar6_r10!$M$2:$M$999,Veda!$G39)</f>
        <v>1.18</v>
      </c>
      <c r="M39" s="11">
        <f>SUMIFS(ar6_r10!$F$2:$F$999,ar6_r10!$A$2:$A$999,Veda!$G$36,ar6_r10!$C$2:$C$999,Veda!M$17,ar6_r10!$M$2:$M$999,Veda!$G39)</f>
        <v>1.3</v>
      </c>
      <c r="N39" s="11">
        <f>SUMIFS(ar6_r10!$F$2:$F$999,ar6_r10!$A$2:$A$999,Veda!$G$36,ar6_r10!$C$2:$C$999,Veda!N$17,ar6_r10!$M$2:$M$999,Veda!$G39)</f>
        <v>1.4</v>
      </c>
      <c r="O39" s="11">
        <f>SUMIFS(ar6_r10!$F$2:$F$999,ar6_r10!$A$2:$A$999,Veda!$G$36,ar6_r10!$C$2:$C$999,Veda!O$17,ar6_r10!$M$2:$M$999,Veda!$G39)</f>
        <v>1.5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1.03</v>
      </c>
      <c r="K40" s="11">
        <f>SUMIFS(ar6_r10!$F$2:$F$999,ar6_r10!$A$2:$A$999,Veda!$G$36,ar6_r10!$C$2:$C$999,Veda!K$17,ar6_r10!$M$2:$M$999,Veda!$G40)</f>
        <v>1.01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0.94</v>
      </c>
      <c r="N40" s="11">
        <f>SUMIFS(ar6_r10!$F$2:$F$999,ar6_r10!$A$2:$A$999,Veda!$G$36,ar6_r10!$C$2:$C$999,Veda!N$17,ar6_r10!$M$2:$M$999,Veda!$G40)</f>
        <v>0.92</v>
      </c>
      <c r="O40" s="11">
        <f>SUMIFS(ar6_r10!$F$2:$F$999,ar6_r10!$A$2:$A$999,Veda!$G$36,ar6_r10!$C$2:$C$999,Veda!O$17,ar6_r10!$M$2:$M$999,Veda!$G40)</f>
        <v>0.87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7.7</v>
      </c>
      <c r="J45">
        <f t="shared" si="12"/>
        <v>7.931</v>
      </c>
      <c r="K45">
        <f t="shared" si="12"/>
        <v>9.3170000000000002</v>
      </c>
      <c r="L45">
        <f t="shared" si="12"/>
        <v>8.8549999999999986</v>
      </c>
      <c r="M45">
        <f t="shared" si="12"/>
        <v>9.8559999999999999</v>
      </c>
      <c r="N45">
        <f t="shared" si="12"/>
        <v>10.472000000000001</v>
      </c>
      <c r="O45">
        <f t="shared" si="12"/>
        <v>10.625999999999999</v>
      </c>
      <c r="R45">
        <f>HLOOKUP($G45&amp;"_"&amp;R$44,fuel_prices!$B$10:$I$11,2,FALSE)</f>
        <v>5.0999999999999996</v>
      </c>
      <c r="S45">
        <f>HLOOKUP($G45&amp;"_"&amp;S$44,fuel_prices!$B$10:$I$11,2,FALSE)</f>
        <v>10.3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12.2</v>
      </c>
      <c r="J46">
        <f t="shared" si="12"/>
        <v>12.565999999999999</v>
      </c>
      <c r="K46">
        <f t="shared" si="12"/>
        <v>13.176</v>
      </c>
      <c r="L46">
        <f t="shared" si="12"/>
        <v>13.298</v>
      </c>
      <c r="M46">
        <f t="shared" si="12"/>
        <v>13.42</v>
      </c>
      <c r="N46">
        <f t="shared" si="12"/>
        <v>13.664</v>
      </c>
      <c r="O46">
        <f t="shared" si="12"/>
        <v>13.907999999999998</v>
      </c>
      <c r="R46">
        <f>HLOOKUP($G46&amp;"_"&amp;R$44,fuel_prices!$B$10:$I$11,2,FALSE)</f>
        <v>10.7</v>
      </c>
      <c r="S46">
        <f>HLOOKUP($G46&amp;"_"&amp;S$44,fuel_prices!$B$10:$I$11,2,FALSE)</f>
        <v>13.7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40</v>
      </c>
      <c r="J47">
        <f t="shared" si="12"/>
        <v>42</v>
      </c>
      <c r="K47">
        <f t="shared" si="12"/>
        <v>50</v>
      </c>
      <c r="L47">
        <f t="shared" si="12"/>
        <v>47.199999999999996</v>
      </c>
      <c r="M47">
        <f t="shared" si="12"/>
        <v>52</v>
      </c>
      <c r="N47">
        <f t="shared" si="12"/>
        <v>56</v>
      </c>
      <c r="O47">
        <f t="shared" si="12"/>
        <v>60</v>
      </c>
      <c r="R47">
        <f>HLOOKUP($G47&amp;"_"&amp;R$44,fuel_prices!$B$10:$I$11,2,FALSE)</f>
        <v>35</v>
      </c>
      <c r="S47">
        <f>HLOOKUP($G47&amp;"_"&amp;S$44,fuel_prices!$B$10:$I$11,2,FALSE)</f>
        <v>45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18</v>
      </c>
      <c r="O48">
        <f>VLOOKUP($E$5,$AK$9:$AM$15,3,FALSE)*I48</f>
        <v>54</v>
      </c>
      <c r="R48">
        <f>HLOOKUP($G48&amp;"_"&amp;R$44,fuel_prices!$B$10:$I$11,2,FALSE)</f>
        <v>14</v>
      </c>
      <c r="S48">
        <f>HLOOKUP($G48&amp;"_"&amp;S$44,fuel_prices!$B$10:$I$11,2,FALSE)</f>
        <v>22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5.0999999999999996</v>
      </c>
      <c r="C11">
        <v>10.3</v>
      </c>
      <c r="D11">
        <v>10.7</v>
      </c>
      <c r="E11">
        <v>13.7</v>
      </c>
      <c r="F11">
        <v>35</v>
      </c>
      <c r="G11">
        <v>45</v>
      </c>
      <c r="H11">
        <v>14</v>
      </c>
      <c r="I11">
        <v>22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51.18</v>
      </c>
      <c r="D11">
        <v>32.880000000000003</v>
      </c>
      <c r="E11">
        <v>0.25</v>
      </c>
      <c r="F11">
        <v>0</v>
      </c>
      <c r="G11">
        <v>0.01</v>
      </c>
      <c r="H11">
        <v>-0.06</v>
      </c>
      <c r="I11">
        <v>85.27</v>
      </c>
    </row>
    <row r="12" spans="1:9" x14ac:dyDescent="0.45">
      <c r="A12" t="s">
        <v>143</v>
      </c>
      <c r="B12">
        <v>2001</v>
      </c>
      <c r="C12">
        <v>54.88</v>
      </c>
      <c r="D12">
        <v>34.54</v>
      </c>
      <c r="E12">
        <v>0.25</v>
      </c>
      <c r="F12">
        <v>0</v>
      </c>
      <c r="G12">
        <v>0.18</v>
      </c>
      <c r="H12">
        <v>-0.21</v>
      </c>
      <c r="I12">
        <v>90.12</v>
      </c>
    </row>
    <row r="13" spans="1:9" x14ac:dyDescent="0.45">
      <c r="A13" t="s">
        <v>143</v>
      </c>
      <c r="B13">
        <v>2002</v>
      </c>
      <c r="C13">
        <v>55.98</v>
      </c>
      <c r="D13">
        <v>34.65</v>
      </c>
      <c r="E13">
        <v>0.24</v>
      </c>
      <c r="F13">
        <v>0</v>
      </c>
      <c r="G13">
        <v>0.56000000000000005</v>
      </c>
      <c r="H13">
        <v>-0.42</v>
      </c>
      <c r="I13">
        <v>91.85</v>
      </c>
    </row>
    <row r="14" spans="1:9" x14ac:dyDescent="0.45">
      <c r="A14" t="s">
        <v>143</v>
      </c>
      <c r="B14">
        <v>2003</v>
      </c>
      <c r="C14">
        <v>56.56</v>
      </c>
      <c r="D14">
        <v>34.33</v>
      </c>
      <c r="E14">
        <v>0.2</v>
      </c>
      <c r="F14">
        <v>0</v>
      </c>
      <c r="G14">
        <v>0.04</v>
      </c>
      <c r="H14">
        <v>-0.45</v>
      </c>
      <c r="I14">
        <v>91.94</v>
      </c>
    </row>
    <row r="15" spans="1:9" x14ac:dyDescent="0.45">
      <c r="A15" t="s">
        <v>143</v>
      </c>
      <c r="B15">
        <v>2004</v>
      </c>
      <c r="C15">
        <v>62.59</v>
      </c>
      <c r="D15">
        <v>36.25</v>
      </c>
      <c r="E15">
        <v>0.24</v>
      </c>
      <c r="F15">
        <v>0</v>
      </c>
      <c r="G15">
        <v>0.87</v>
      </c>
      <c r="H15">
        <v>-0.48</v>
      </c>
      <c r="I15">
        <v>98.55</v>
      </c>
    </row>
    <row r="16" spans="1:9" x14ac:dyDescent="0.45">
      <c r="A16" t="s">
        <v>143</v>
      </c>
      <c r="B16">
        <v>2005</v>
      </c>
      <c r="C16">
        <v>66.239999999999995</v>
      </c>
      <c r="D16">
        <v>36.4</v>
      </c>
      <c r="E16">
        <v>0.26</v>
      </c>
      <c r="F16">
        <v>0</v>
      </c>
      <c r="G16">
        <v>0</v>
      </c>
      <c r="H16">
        <v>-0.57999999999999996</v>
      </c>
      <c r="I16">
        <v>105.38</v>
      </c>
    </row>
    <row r="17" spans="1:9" x14ac:dyDescent="0.45">
      <c r="A17" t="s">
        <v>143</v>
      </c>
      <c r="B17">
        <v>2006</v>
      </c>
      <c r="C17">
        <v>67.94</v>
      </c>
      <c r="D17">
        <v>39.770000000000003</v>
      </c>
      <c r="E17">
        <v>0.26</v>
      </c>
      <c r="F17">
        <v>0</v>
      </c>
      <c r="G17">
        <v>0</v>
      </c>
      <c r="H17">
        <v>-0.55000000000000004</v>
      </c>
      <c r="I17">
        <v>110.42</v>
      </c>
    </row>
    <row r="18" spans="1:9" x14ac:dyDescent="0.45">
      <c r="A18" t="s">
        <v>143</v>
      </c>
      <c r="B18">
        <v>2007</v>
      </c>
      <c r="C18">
        <v>68.02</v>
      </c>
      <c r="D18">
        <v>42.58</v>
      </c>
      <c r="E18">
        <v>0.28999999999999998</v>
      </c>
      <c r="F18">
        <v>0</v>
      </c>
      <c r="G18">
        <v>0</v>
      </c>
      <c r="H18">
        <v>-0.54</v>
      </c>
      <c r="I18">
        <v>114.21</v>
      </c>
    </row>
    <row r="19" spans="1:9" x14ac:dyDescent="0.45">
      <c r="A19" t="s">
        <v>143</v>
      </c>
      <c r="B19">
        <v>2008</v>
      </c>
      <c r="C19">
        <v>70.069999999999993</v>
      </c>
      <c r="D19">
        <v>43.22</v>
      </c>
      <c r="E19">
        <v>0.28000000000000003</v>
      </c>
      <c r="F19">
        <v>0</v>
      </c>
      <c r="G19">
        <v>0.1</v>
      </c>
      <c r="H19">
        <v>-0.56999999999999995</v>
      </c>
      <c r="I19">
        <v>119.3</v>
      </c>
    </row>
    <row r="20" spans="1:9" x14ac:dyDescent="0.45">
      <c r="A20" t="s">
        <v>143</v>
      </c>
      <c r="B20">
        <v>2009</v>
      </c>
      <c r="C20">
        <v>71.260000000000005</v>
      </c>
      <c r="D20">
        <v>44.92</v>
      </c>
      <c r="E20">
        <v>0.28999999999999998</v>
      </c>
      <c r="F20">
        <v>0</v>
      </c>
      <c r="G20">
        <v>0.26</v>
      </c>
      <c r="H20">
        <v>-0.63</v>
      </c>
      <c r="I20">
        <v>119.58</v>
      </c>
    </row>
    <row r="21" spans="1:9" x14ac:dyDescent="0.45">
      <c r="A21" t="s">
        <v>143</v>
      </c>
      <c r="B21">
        <v>2010</v>
      </c>
      <c r="C21">
        <v>62.67</v>
      </c>
      <c r="D21">
        <v>44.55</v>
      </c>
      <c r="E21">
        <v>0.28000000000000003</v>
      </c>
      <c r="F21">
        <v>0</v>
      </c>
      <c r="G21">
        <v>0</v>
      </c>
      <c r="H21">
        <v>-0.46</v>
      </c>
      <c r="I21">
        <v>113.77</v>
      </c>
    </row>
    <row r="22" spans="1:9" x14ac:dyDescent="0.45">
      <c r="A22" t="s">
        <v>143</v>
      </c>
      <c r="B22">
        <v>2011</v>
      </c>
      <c r="C22">
        <v>65.22</v>
      </c>
      <c r="D22">
        <v>46.49</v>
      </c>
      <c r="E22">
        <v>0.28999999999999998</v>
      </c>
      <c r="F22">
        <v>0</v>
      </c>
      <c r="G22">
        <v>0.24</v>
      </c>
      <c r="H22">
        <v>-0.73</v>
      </c>
      <c r="I22">
        <v>117.96</v>
      </c>
    </row>
    <row r="23" spans="1:9" x14ac:dyDescent="0.45">
      <c r="A23" t="s">
        <v>143</v>
      </c>
      <c r="B23">
        <v>2012</v>
      </c>
      <c r="C23">
        <v>67.459999999999994</v>
      </c>
      <c r="D23">
        <v>48.2</v>
      </c>
      <c r="E23">
        <v>0.3</v>
      </c>
      <c r="F23">
        <v>0</v>
      </c>
      <c r="G23">
        <v>0.48</v>
      </c>
      <c r="H23">
        <v>-0.81</v>
      </c>
      <c r="I23">
        <v>121.71</v>
      </c>
    </row>
    <row r="24" spans="1:9" x14ac:dyDescent="0.45">
      <c r="A24" t="s">
        <v>143</v>
      </c>
      <c r="B24">
        <v>2013</v>
      </c>
      <c r="C24">
        <v>78.09</v>
      </c>
      <c r="D24">
        <v>47.46</v>
      </c>
      <c r="E24">
        <v>0.31</v>
      </c>
      <c r="F24">
        <v>0</v>
      </c>
      <c r="G24">
        <v>0.72</v>
      </c>
      <c r="H24">
        <v>-0.85</v>
      </c>
      <c r="I24">
        <v>123.25</v>
      </c>
    </row>
    <row r="25" spans="1:9" x14ac:dyDescent="0.45">
      <c r="A25" t="s">
        <v>143</v>
      </c>
      <c r="B25">
        <v>2014</v>
      </c>
      <c r="C25">
        <v>71.34</v>
      </c>
      <c r="D25">
        <v>45.2</v>
      </c>
      <c r="E25">
        <v>0</v>
      </c>
      <c r="F25">
        <v>0</v>
      </c>
      <c r="G25">
        <v>0.02</v>
      </c>
      <c r="H25">
        <v>-0.89</v>
      </c>
      <c r="I25">
        <v>103.33</v>
      </c>
    </row>
    <row r="26" spans="1:9" x14ac:dyDescent="0.45">
      <c r="A26" t="s">
        <v>143</v>
      </c>
      <c r="B26">
        <v>2015</v>
      </c>
      <c r="C26">
        <v>70.5</v>
      </c>
      <c r="D26">
        <v>45.87</v>
      </c>
      <c r="E26">
        <v>0</v>
      </c>
      <c r="F26">
        <v>0</v>
      </c>
      <c r="G26">
        <v>0</v>
      </c>
      <c r="H26">
        <v>-0.97</v>
      </c>
      <c r="I26">
        <v>122.82</v>
      </c>
    </row>
    <row r="27" spans="1:9" x14ac:dyDescent="0.45">
      <c r="A27" t="s">
        <v>143</v>
      </c>
      <c r="B27">
        <v>2016</v>
      </c>
      <c r="C27">
        <v>59.35</v>
      </c>
      <c r="D27">
        <v>40.340000000000003</v>
      </c>
      <c r="E27">
        <v>0</v>
      </c>
      <c r="F27">
        <v>0</v>
      </c>
      <c r="G27">
        <v>0</v>
      </c>
      <c r="H27">
        <v>-1.1100000000000001</v>
      </c>
      <c r="I27">
        <v>108</v>
      </c>
    </row>
    <row r="28" spans="1:9" x14ac:dyDescent="0.45">
      <c r="A28" t="s">
        <v>143</v>
      </c>
      <c r="B28">
        <v>2017</v>
      </c>
      <c r="C28">
        <v>56.62</v>
      </c>
      <c r="D28">
        <v>38.770000000000003</v>
      </c>
      <c r="E28">
        <v>0</v>
      </c>
      <c r="F28">
        <v>0</v>
      </c>
      <c r="G28">
        <v>0</v>
      </c>
      <c r="H28">
        <v>-1.06</v>
      </c>
      <c r="I28">
        <v>103.79</v>
      </c>
    </row>
    <row r="29" spans="1:9" x14ac:dyDescent="0.45">
      <c r="A29" t="s">
        <v>143</v>
      </c>
      <c r="B29">
        <v>2018</v>
      </c>
      <c r="C29">
        <v>53.53</v>
      </c>
      <c r="D29">
        <v>37.26</v>
      </c>
      <c r="E29">
        <v>0</v>
      </c>
      <c r="F29">
        <v>0</v>
      </c>
      <c r="G29">
        <v>0</v>
      </c>
      <c r="H29">
        <v>-1.02</v>
      </c>
      <c r="I29">
        <v>99.76</v>
      </c>
    </row>
    <row r="30" spans="1:9" x14ac:dyDescent="0.45">
      <c r="A30" t="s">
        <v>143</v>
      </c>
      <c r="B30">
        <v>2019</v>
      </c>
      <c r="C30">
        <v>46.38</v>
      </c>
      <c r="D30">
        <v>31.81</v>
      </c>
      <c r="E30">
        <v>0</v>
      </c>
      <c r="F30">
        <v>0</v>
      </c>
      <c r="G30">
        <v>0</v>
      </c>
      <c r="H30">
        <v>-0.87</v>
      </c>
      <c r="I30">
        <v>85.17</v>
      </c>
    </row>
    <row r="31" spans="1:9" x14ac:dyDescent="0.45">
      <c r="A31" t="s">
        <v>143</v>
      </c>
      <c r="B31">
        <v>2020</v>
      </c>
      <c r="C31">
        <v>43.48</v>
      </c>
      <c r="D31">
        <v>30.09</v>
      </c>
      <c r="E31">
        <v>0.09</v>
      </c>
      <c r="F31">
        <v>0</v>
      </c>
      <c r="G31">
        <v>0</v>
      </c>
      <c r="H31">
        <v>-0.65</v>
      </c>
      <c r="I31">
        <v>80.569999999999993</v>
      </c>
    </row>
    <row r="32" spans="1:9" x14ac:dyDescent="0.45">
      <c r="A32" t="s">
        <v>143</v>
      </c>
      <c r="B32">
        <v>2021</v>
      </c>
      <c r="C32">
        <v>44.24</v>
      </c>
      <c r="D32">
        <v>31</v>
      </c>
      <c r="E32">
        <v>0.09</v>
      </c>
      <c r="F32">
        <v>0</v>
      </c>
      <c r="G32">
        <v>0</v>
      </c>
      <c r="H32">
        <v>0</v>
      </c>
      <c r="I32">
        <v>82.99</v>
      </c>
    </row>
    <row r="33" spans="1:9" x14ac:dyDescent="0.45">
      <c r="A33" t="s">
        <v>143</v>
      </c>
      <c r="B33">
        <v>2022</v>
      </c>
      <c r="C33">
        <v>43.44</v>
      </c>
      <c r="D33">
        <v>30.78</v>
      </c>
      <c r="E33">
        <v>0.16</v>
      </c>
      <c r="F33">
        <v>0</v>
      </c>
      <c r="G33">
        <v>0</v>
      </c>
      <c r="H33">
        <v>-0.64</v>
      </c>
      <c r="I33">
        <v>82.42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5.67</v>
      </c>
      <c r="F11">
        <v>0.55000000000000004</v>
      </c>
      <c r="G11">
        <v>7.11</v>
      </c>
      <c r="H11">
        <v>0</v>
      </c>
      <c r="I11">
        <v>17.350000000000001</v>
      </c>
      <c r="J11">
        <v>0</v>
      </c>
      <c r="K11">
        <v>13.55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165.38</v>
      </c>
      <c r="F12">
        <v>153.36000000000001</v>
      </c>
      <c r="G12">
        <v>124.95</v>
      </c>
      <c r="H12">
        <v>1.73</v>
      </c>
      <c r="I12">
        <v>626.48</v>
      </c>
      <c r="J12">
        <v>108.64</v>
      </c>
      <c r="K12">
        <v>200.87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234.48</v>
      </c>
      <c r="F13">
        <v>220.73</v>
      </c>
      <c r="G13">
        <v>112.04</v>
      </c>
      <c r="H13">
        <v>21.58</v>
      </c>
      <c r="I13">
        <v>673.46</v>
      </c>
      <c r="J13">
        <v>173.6</v>
      </c>
      <c r="K13">
        <v>252.97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322.99</v>
      </c>
      <c r="F14">
        <v>286.86</v>
      </c>
      <c r="G14">
        <v>152.29</v>
      </c>
      <c r="H14">
        <v>0</v>
      </c>
      <c r="I14">
        <v>859.53</v>
      </c>
      <c r="J14">
        <v>236.35</v>
      </c>
      <c r="K14">
        <v>439.44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431.53</v>
      </c>
      <c r="F15">
        <v>360.55</v>
      </c>
      <c r="G15">
        <v>207.19</v>
      </c>
      <c r="H15">
        <v>162.1</v>
      </c>
      <c r="I15">
        <v>1097.01</v>
      </c>
      <c r="J15">
        <v>289.44</v>
      </c>
      <c r="K15">
        <v>573.35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534.47</v>
      </c>
      <c r="F16">
        <v>471.06</v>
      </c>
      <c r="G16">
        <v>243.62</v>
      </c>
      <c r="H16">
        <v>193.42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624.12</v>
      </c>
      <c r="F17">
        <v>581.75</v>
      </c>
      <c r="G17">
        <v>257.63</v>
      </c>
      <c r="H17">
        <v>209.76</v>
      </c>
      <c r="I17">
        <v>1170.26</v>
      </c>
      <c r="J17">
        <v>409.79</v>
      </c>
      <c r="K17">
        <v>771.78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2.57</v>
      </c>
      <c r="F18">
        <v>0</v>
      </c>
      <c r="G18">
        <v>5.21</v>
      </c>
      <c r="H18">
        <v>0</v>
      </c>
      <c r="I18">
        <v>17.25</v>
      </c>
      <c r="J18">
        <v>0</v>
      </c>
      <c r="K18">
        <v>0.95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47.44</v>
      </c>
      <c r="F19">
        <v>28.56</v>
      </c>
      <c r="G19">
        <v>42.96</v>
      </c>
      <c r="H19">
        <v>0</v>
      </c>
      <c r="I19">
        <v>174.97</v>
      </c>
      <c r="J19">
        <v>22.45</v>
      </c>
      <c r="K19">
        <v>61.4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66.05</v>
      </c>
      <c r="F20">
        <v>57.59</v>
      </c>
      <c r="G20">
        <v>49.35</v>
      </c>
      <c r="H20">
        <v>0</v>
      </c>
      <c r="I20">
        <v>221.93</v>
      </c>
      <c r="J20">
        <v>28.65</v>
      </c>
      <c r="K20">
        <v>83.92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198.06</v>
      </c>
      <c r="F21">
        <v>135.74</v>
      </c>
      <c r="G21">
        <v>296.93</v>
      </c>
      <c r="H21">
        <v>-204.26</v>
      </c>
      <c r="I21">
        <v>2037.12</v>
      </c>
      <c r="J21">
        <v>87.23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249.05</v>
      </c>
      <c r="F22">
        <v>169.66</v>
      </c>
      <c r="G22">
        <v>359.66</v>
      </c>
      <c r="H22">
        <v>0</v>
      </c>
      <c r="I22">
        <v>2600</v>
      </c>
      <c r="J22">
        <v>111.56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296.01</v>
      </c>
      <c r="F23">
        <v>249.21</v>
      </c>
      <c r="G23">
        <v>189.04</v>
      </c>
      <c r="H23">
        <v>103.36</v>
      </c>
      <c r="I23">
        <v>1213.1199999999999</v>
      </c>
      <c r="J23">
        <v>166.87</v>
      </c>
      <c r="K23">
        <v>348.9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308.77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192</v>
      </c>
      <c r="E25">
        <v>8.1300000000000008</v>
      </c>
      <c r="F25">
        <v>1.08</v>
      </c>
      <c r="G25">
        <v>14.39</v>
      </c>
      <c r="H25">
        <v>0</v>
      </c>
      <c r="I25">
        <v>135.99</v>
      </c>
      <c r="J25">
        <v>0</v>
      </c>
      <c r="K25">
        <v>13.55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169</v>
      </c>
      <c r="E26">
        <v>47.25</v>
      </c>
      <c r="F26">
        <v>45.73</v>
      </c>
      <c r="G26">
        <v>35.799999999999997</v>
      </c>
      <c r="H26">
        <v>0</v>
      </c>
      <c r="I26">
        <v>170</v>
      </c>
      <c r="J26">
        <v>17.559999999999999</v>
      </c>
      <c r="K26">
        <v>64.959999999999994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192</v>
      </c>
      <c r="E27">
        <v>72.39</v>
      </c>
      <c r="F27">
        <v>61.35</v>
      </c>
      <c r="G27">
        <v>49.42</v>
      </c>
      <c r="H27">
        <v>0.63</v>
      </c>
      <c r="I27">
        <v>234.71</v>
      </c>
      <c r="J27">
        <v>34.42</v>
      </c>
      <c r="K27">
        <v>98.94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169</v>
      </c>
      <c r="E28">
        <v>120.78</v>
      </c>
      <c r="F28">
        <v>98.16</v>
      </c>
      <c r="G28">
        <v>89.47</v>
      </c>
      <c r="H28">
        <v>0.19</v>
      </c>
      <c r="I28">
        <v>960.63</v>
      </c>
      <c r="J28">
        <v>71.63</v>
      </c>
      <c r="K28">
        <v>145.52000000000001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192</v>
      </c>
      <c r="E29">
        <v>159.76</v>
      </c>
      <c r="F29">
        <v>128.76</v>
      </c>
      <c r="G29">
        <v>111.45</v>
      </c>
      <c r="H29">
        <v>45.4</v>
      </c>
      <c r="I29">
        <v>1226.04</v>
      </c>
      <c r="J29">
        <v>98.91</v>
      </c>
      <c r="K29">
        <v>192.35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169</v>
      </c>
      <c r="E30">
        <v>203.12</v>
      </c>
      <c r="F30">
        <v>172.36</v>
      </c>
      <c r="G30">
        <v>144.61000000000001</v>
      </c>
      <c r="H30">
        <v>44.95</v>
      </c>
      <c r="I30">
        <v>1564.8</v>
      </c>
      <c r="J30">
        <v>120.73</v>
      </c>
      <c r="K30">
        <v>246.99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192</v>
      </c>
      <c r="E31">
        <v>241.07</v>
      </c>
      <c r="F31">
        <v>209.45</v>
      </c>
      <c r="G31">
        <v>123.69</v>
      </c>
      <c r="H31">
        <v>48.83</v>
      </c>
      <c r="I31">
        <v>712.07</v>
      </c>
      <c r="J31">
        <v>147.91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2.39</v>
      </c>
      <c r="F32">
        <v>0</v>
      </c>
      <c r="G32">
        <v>4.58</v>
      </c>
      <c r="H32">
        <v>0</v>
      </c>
      <c r="I32">
        <v>14.45</v>
      </c>
      <c r="J32">
        <v>0</v>
      </c>
      <c r="K32">
        <v>1.08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24.52</v>
      </c>
      <c r="F33">
        <v>18.100000000000001</v>
      </c>
      <c r="G33">
        <v>29.28</v>
      </c>
      <c r="H33">
        <v>0</v>
      </c>
      <c r="I33">
        <v>170.16</v>
      </c>
      <c r="J33">
        <v>11.67</v>
      </c>
      <c r="K33">
        <v>27.61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52.63</v>
      </c>
      <c r="F34">
        <v>38.25</v>
      </c>
      <c r="G34">
        <v>57.44</v>
      </c>
      <c r="H34">
        <v>0</v>
      </c>
      <c r="I34">
        <v>313.61</v>
      </c>
      <c r="J34">
        <v>25.27</v>
      </c>
      <c r="K34">
        <v>53.43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61.55</v>
      </c>
      <c r="F35">
        <v>52.06</v>
      </c>
      <c r="G35">
        <v>29.78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86.42</v>
      </c>
      <c r="F36">
        <v>75.8</v>
      </c>
      <c r="G36">
        <v>43.37</v>
      </c>
      <c r="H36">
        <v>31.83</v>
      </c>
      <c r="I36">
        <v>282.74</v>
      </c>
      <c r="J36">
        <v>57.1</v>
      </c>
      <c r="K36">
        <v>107.93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112.2</v>
      </c>
      <c r="F37">
        <v>95.39</v>
      </c>
      <c r="G37">
        <v>56.94</v>
      </c>
      <c r="H37">
        <v>42.44</v>
      </c>
      <c r="I37">
        <v>319.25</v>
      </c>
      <c r="J37">
        <v>73.11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132.30000000000001</v>
      </c>
      <c r="F38">
        <v>112.37</v>
      </c>
      <c r="G38">
        <v>60.08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56</v>
      </c>
      <c r="E39">
        <v>2.92</v>
      </c>
      <c r="F39">
        <v>0</v>
      </c>
      <c r="G39">
        <v>5.74</v>
      </c>
      <c r="H39">
        <v>0</v>
      </c>
      <c r="I39">
        <v>17.350000000000001</v>
      </c>
      <c r="J39">
        <v>0</v>
      </c>
      <c r="K39">
        <v>0.69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51</v>
      </c>
      <c r="E40">
        <v>3.02</v>
      </c>
      <c r="F40">
        <v>0</v>
      </c>
      <c r="G40">
        <v>5.59</v>
      </c>
      <c r="H40">
        <v>0</v>
      </c>
      <c r="I40">
        <v>16.190000000000001</v>
      </c>
      <c r="J40">
        <v>0</v>
      </c>
      <c r="K40">
        <v>2.08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56</v>
      </c>
      <c r="E41">
        <v>3.92</v>
      </c>
      <c r="F41">
        <v>0</v>
      </c>
      <c r="G41">
        <v>7</v>
      </c>
      <c r="H41">
        <v>0</v>
      </c>
      <c r="I41">
        <v>27.6</v>
      </c>
      <c r="J41">
        <v>0</v>
      </c>
      <c r="K41">
        <v>3.27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51</v>
      </c>
      <c r="E42">
        <v>3.23</v>
      </c>
      <c r="F42">
        <v>0</v>
      </c>
      <c r="G42">
        <v>5.74</v>
      </c>
      <c r="H42">
        <v>0</v>
      </c>
      <c r="I42">
        <v>24.01</v>
      </c>
      <c r="J42">
        <v>0</v>
      </c>
      <c r="K42">
        <v>2.67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56</v>
      </c>
      <c r="E43">
        <v>3.03</v>
      </c>
      <c r="F43">
        <v>0</v>
      </c>
      <c r="G43">
        <v>5.57</v>
      </c>
      <c r="H43">
        <v>0</v>
      </c>
      <c r="I43">
        <v>26.68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51</v>
      </c>
      <c r="E44">
        <v>3.44</v>
      </c>
      <c r="F44">
        <v>0</v>
      </c>
      <c r="G44">
        <v>5.84</v>
      </c>
      <c r="H44">
        <v>0</v>
      </c>
      <c r="I44">
        <v>29.42</v>
      </c>
      <c r="J44">
        <v>0</v>
      </c>
      <c r="K44">
        <v>3.6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56</v>
      </c>
      <c r="E45">
        <v>3.24</v>
      </c>
      <c r="F45">
        <v>0</v>
      </c>
      <c r="G45">
        <v>5.79</v>
      </c>
      <c r="H45">
        <v>0</v>
      </c>
      <c r="I45">
        <v>32.020000000000003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64</v>
      </c>
      <c r="E47">
        <v>1.18</v>
      </c>
      <c r="F47">
        <v>1.17</v>
      </c>
      <c r="G47">
        <v>0.11</v>
      </c>
      <c r="H47">
        <v>1.05</v>
      </c>
      <c r="I47">
        <v>1.77</v>
      </c>
      <c r="J47">
        <v>1.1299999999999999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64</v>
      </c>
      <c r="E48">
        <v>1.46</v>
      </c>
      <c r="F48">
        <v>1.5</v>
      </c>
      <c r="G48">
        <v>0.22</v>
      </c>
      <c r="H48">
        <v>1.1499999999999999</v>
      </c>
      <c r="I48">
        <v>2.23</v>
      </c>
      <c r="J48">
        <v>1.24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64</v>
      </c>
      <c r="E49">
        <v>1.85</v>
      </c>
      <c r="F49">
        <v>1.88</v>
      </c>
      <c r="G49">
        <v>0.3</v>
      </c>
      <c r="H49">
        <v>1.26</v>
      </c>
      <c r="I49">
        <v>2.64</v>
      </c>
      <c r="J49">
        <v>1.55</v>
      </c>
      <c r="K49">
        <v>2.0299999999999998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64</v>
      </c>
      <c r="E50">
        <v>2.2999999999999998</v>
      </c>
      <c r="F50">
        <v>2.29</v>
      </c>
      <c r="G50">
        <v>0.41</v>
      </c>
      <c r="H50">
        <v>1.35</v>
      </c>
      <c r="I50">
        <v>3.07</v>
      </c>
      <c r="J50">
        <v>1.98</v>
      </c>
      <c r="K50">
        <v>2.6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64</v>
      </c>
      <c r="E51">
        <v>2.77</v>
      </c>
      <c r="F51">
        <v>2.7</v>
      </c>
      <c r="G51">
        <v>0.53</v>
      </c>
      <c r="H51">
        <v>1.37</v>
      </c>
      <c r="I51">
        <v>3.92</v>
      </c>
      <c r="J51">
        <v>2.39</v>
      </c>
      <c r="K51">
        <v>3.17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64</v>
      </c>
      <c r="E52">
        <v>3.22</v>
      </c>
      <c r="F52">
        <v>3.05</v>
      </c>
      <c r="G52">
        <v>0.67</v>
      </c>
      <c r="H52">
        <v>1.44</v>
      </c>
      <c r="I52">
        <v>4.74</v>
      </c>
      <c r="J52">
        <v>2.75</v>
      </c>
      <c r="K52">
        <v>3.75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1.17</v>
      </c>
      <c r="F54">
        <v>1.18</v>
      </c>
      <c r="G54">
        <v>0.08</v>
      </c>
      <c r="H54">
        <v>1.04</v>
      </c>
      <c r="I54">
        <v>1.4</v>
      </c>
      <c r="J54">
        <v>1.1299999999999999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1.39</v>
      </c>
      <c r="F55">
        <v>1.43</v>
      </c>
      <c r="G55">
        <v>0.16</v>
      </c>
      <c r="H55">
        <v>1.06</v>
      </c>
      <c r="I55">
        <v>1.75</v>
      </c>
      <c r="J55">
        <v>1.32</v>
      </c>
      <c r="K55">
        <v>1.49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1.66</v>
      </c>
      <c r="F56">
        <v>1.67</v>
      </c>
      <c r="G56">
        <v>0.26</v>
      </c>
      <c r="H56">
        <v>1.1499999999999999</v>
      </c>
      <c r="I56">
        <v>2.13</v>
      </c>
      <c r="J56">
        <v>1.51</v>
      </c>
      <c r="K56">
        <v>1.83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2.0499999999999998</v>
      </c>
      <c r="F57">
        <v>2.06</v>
      </c>
      <c r="G57">
        <v>0.38</v>
      </c>
      <c r="H57">
        <v>1.29</v>
      </c>
      <c r="I57">
        <v>2.84</v>
      </c>
      <c r="J57">
        <v>1.91</v>
      </c>
      <c r="K57">
        <v>2.31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2.4900000000000002</v>
      </c>
      <c r="F58">
        <v>2.52</v>
      </c>
      <c r="G58">
        <v>0.56000000000000005</v>
      </c>
      <c r="H58">
        <v>1.38</v>
      </c>
      <c r="I58">
        <v>3.68</v>
      </c>
      <c r="J58">
        <v>2.2400000000000002</v>
      </c>
      <c r="K58">
        <v>2.84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2.97</v>
      </c>
      <c r="F59">
        <v>2.98</v>
      </c>
      <c r="G59">
        <v>0.7</v>
      </c>
      <c r="H59">
        <v>1.45</v>
      </c>
      <c r="I59">
        <v>4.4800000000000004</v>
      </c>
      <c r="J59">
        <v>2.67</v>
      </c>
      <c r="K59">
        <v>3.4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236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213</v>
      </c>
      <c r="E61">
        <v>1.18</v>
      </c>
      <c r="F61">
        <v>1.17</v>
      </c>
      <c r="G61">
        <v>0.1</v>
      </c>
      <c r="H61">
        <v>1.03</v>
      </c>
      <c r="I61">
        <v>2.0099999999999998</v>
      </c>
      <c r="J61">
        <v>1.1200000000000001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236</v>
      </c>
      <c r="E62">
        <v>1.41</v>
      </c>
      <c r="F62">
        <v>1.42</v>
      </c>
      <c r="G62">
        <v>0.2</v>
      </c>
      <c r="H62">
        <v>1.03</v>
      </c>
      <c r="I62">
        <v>2.57</v>
      </c>
      <c r="J62">
        <v>1.26</v>
      </c>
      <c r="K62">
        <v>1.56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213</v>
      </c>
      <c r="E63">
        <v>1.69</v>
      </c>
      <c r="F63">
        <v>1.63</v>
      </c>
      <c r="G63">
        <v>0.31</v>
      </c>
      <c r="H63">
        <v>1.1100000000000001</v>
      </c>
      <c r="I63">
        <v>2.99</v>
      </c>
      <c r="J63">
        <v>1.5</v>
      </c>
      <c r="K63">
        <v>1.93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236</v>
      </c>
      <c r="E64">
        <v>2.0499999999999998</v>
      </c>
      <c r="F64">
        <v>2</v>
      </c>
      <c r="G64">
        <v>0.4</v>
      </c>
      <c r="H64">
        <v>1.2</v>
      </c>
      <c r="I64">
        <v>3.27</v>
      </c>
      <c r="J64">
        <v>1.82</v>
      </c>
      <c r="K64">
        <v>2.36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213</v>
      </c>
      <c r="E65">
        <v>2.46</v>
      </c>
      <c r="F65">
        <v>2.37</v>
      </c>
      <c r="G65">
        <v>0.54</v>
      </c>
      <c r="H65">
        <v>1.31</v>
      </c>
      <c r="I65">
        <v>4</v>
      </c>
      <c r="J65">
        <v>2.1800000000000002</v>
      </c>
      <c r="K65">
        <v>2.92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236</v>
      </c>
      <c r="E66">
        <v>2.92</v>
      </c>
      <c r="F66">
        <v>2.87</v>
      </c>
      <c r="G66">
        <v>0.64</v>
      </c>
      <c r="H66">
        <v>1.43</v>
      </c>
      <c r="I66">
        <v>4.68</v>
      </c>
      <c r="J66">
        <v>2.62</v>
      </c>
      <c r="K66">
        <v>3.43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1.1499999999999999</v>
      </c>
      <c r="F68">
        <v>1.1599999999999999</v>
      </c>
      <c r="G68">
        <v>7.0000000000000007E-2</v>
      </c>
      <c r="H68">
        <v>1.04</v>
      </c>
      <c r="I68">
        <v>1.32</v>
      </c>
      <c r="J68">
        <v>1.1100000000000001</v>
      </c>
      <c r="K68">
        <v>1.17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1.31</v>
      </c>
      <c r="F69">
        <v>1.31</v>
      </c>
      <c r="G69">
        <v>0.16</v>
      </c>
      <c r="H69">
        <v>1.03</v>
      </c>
      <c r="I69">
        <v>1.6</v>
      </c>
      <c r="J69">
        <v>1.23</v>
      </c>
      <c r="K69">
        <v>1.42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1.48</v>
      </c>
      <c r="F70">
        <v>1.53</v>
      </c>
      <c r="G70">
        <v>0.23</v>
      </c>
      <c r="H70">
        <v>1.08</v>
      </c>
      <c r="I70">
        <v>1.93</v>
      </c>
      <c r="J70">
        <v>1.32</v>
      </c>
      <c r="K70">
        <v>1.61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1.73</v>
      </c>
      <c r="F71">
        <v>1.77</v>
      </c>
      <c r="G71">
        <v>0.34</v>
      </c>
      <c r="H71">
        <v>1.1399999999999999</v>
      </c>
      <c r="I71">
        <v>2.39</v>
      </c>
      <c r="J71">
        <v>1.42</v>
      </c>
      <c r="K71">
        <v>1.93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2.0099999999999998</v>
      </c>
      <c r="F72">
        <v>2.1</v>
      </c>
      <c r="G72">
        <v>0.46</v>
      </c>
      <c r="H72">
        <v>1.2</v>
      </c>
      <c r="I72">
        <v>2.86</v>
      </c>
      <c r="J72">
        <v>1.57</v>
      </c>
      <c r="K72">
        <v>2.25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2.39</v>
      </c>
      <c r="F73">
        <v>2.5299999999999998</v>
      </c>
      <c r="G73">
        <v>0.56999999999999995</v>
      </c>
      <c r="H73">
        <v>1.31</v>
      </c>
      <c r="I73">
        <v>3.75</v>
      </c>
      <c r="J73">
        <v>1.96</v>
      </c>
      <c r="K73">
        <v>2.74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64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59</v>
      </c>
      <c r="E75">
        <v>1.2</v>
      </c>
      <c r="F75">
        <v>1.2</v>
      </c>
      <c r="G75">
        <v>0.08</v>
      </c>
      <c r="H75">
        <v>1.04</v>
      </c>
      <c r="I75">
        <v>1.6</v>
      </c>
      <c r="J75">
        <v>1.1499999999999999</v>
      </c>
      <c r="K75">
        <v>1.24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64</v>
      </c>
      <c r="E76">
        <v>1.43</v>
      </c>
      <c r="F76">
        <v>1.44</v>
      </c>
      <c r="G76">
        <v>0.13</v>
      </c>
      <c r="H76">
        <v>1.08</v>
      </c>
      <c r="I76">
        <v>1.66</v>
      </c>
      <c r="J76">
        <v>1.37</v>
      </c>
      <c r="K76">
        <v>1.54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59</v>
      </c>
      <c r="E77">
        <v>1.65</v>
      </c>
      <c r="F77">
        <v>1.7</v>
      </c>
      <c r="G77">
        <v>0.2</v>
      </c>
      <c r="H77">
        <v>1.1299999999999999</v>
      </c>
      <c r="I77">
        <v>2.1800000000000002</v>
      </c>
      <c r="J77">
        <v>1.55</v>
      </c>
      <c r="K77">
        <v>1.8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64</v>
      </c>
      <c r="E78">
        <v>1.9</v>
      </c>
      <c r="F78">
        <v>1.97</v>
      </c>
      <c r="G78">
        <v>0.28000000000000003</v>
      </c>
      <c r="H78">
        <v>1.17</v>
      </c>
      <c r="I78">
        <v>2.72</v>
      </c>
      <c r="J78">
        <v>1.74</v>
      </c>
      <c r="K78">
        <v>2.0699999999999998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59</v>
      </c>
      <c r="E79">
        <v>2.13</v>
      </c>
      <c r="F79">
        <v>2.25</v>
      </c>
      <c r="G79">
        <v>0.37</v>
      </c>
      <c r="H79">
        <v>1.23</v>
      </c>
      <c r="I79">
        <v>3.28</v>
      </c>
      <c r="J79">
        <v>1.91</v>
      </c>
      <c r="K79">
        <v>2.35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64</v>
      </c>
      <c r="E80">
        <v>2.42</v>
      </c>
      <c r="F80">
        <v>2.58</v>
      </c>
      <c r="G80">
        <v>0.46</v>
      </c>
      <c r="H80">
        <v>1.28</v>
      </c>
      <c r="I80">
        <v>3.82</v>
      </c>
      <c r="J80">
        <v>2.14</v>
      </c>
      <c r="K80">
        <v>2.71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64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64</v>
      </c>
      <c r="E82">
        <v>0</v>
      </c>
      <c r="F82">
        <v>0.01</v>
      </c>
      <c r="G82">
        <v>0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64</v>
      </c>
      <c r="E83">
        <v>0.01</v>
      </c>
      <c r="F83">
        <v>0.01</v>
      </c>
      <c r="G83">
        <v>0.02</v>
      </c>
      <c r="H83">
        <v>0</v>
      </c>
      <c r="I83">
        <v>0.12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64</v>
      </c>
      <c r="E84">
        <v>0.03</v>
      </c>
      <c r="F84">
        <v>0.02</v>
      </c>
      <c r="G84">
        <v>0.04</v>
      </c>
      <c r="H84">
        <v>0</v>
      </c>
      <c r="I84">
        <v>0.22</v>
      </c>
      <c r="J84">
        <v>0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64</v>
      </c>
      <c r="E85">
        <v>0.05</v>
      </c>
      <c r="F85">
        <v>0.04</v>
      </c>
      <c r="G85">
        <v>0.06</v>
      </c>
      <c r="H85">
        <v>0</v>
      </c>
      <c r="I85">
        <v>0.47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64</v>
      </c>
      <c r="E86">
        <v>7.0000000000000007E-2</v>
      </c>
      <c r="F86">
        <v>0.06</v>
      </c>
      <c r="G86">
        <v>0.1</v>
      </c>
      <c r="H86">
        <v>0</v>
      </c>
      <c r="I86">
        <v>0.67</v>
      </c>
      <c r="J86">
        <v>0.03</v>
      </c>
      <c r="K86">
        <v>0.09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64</v>
      </c>
      <c r="E87">
        <v>0.09</v>
      </c>
      <c r="F87">
        <v>7.0000000000000007E-2</v>
      </c>
      <c r="G87">
        <v>0.1</v>
      </c>
      <c r="H87">
        <v>0</v>
      </c>
      <c r="I87">
        <v>0.53</v>
      </c>
      <c r="J87">
        <v>0.03</v>
      </c>
      <c r="K87">
        <v>0.1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0.02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89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89</v>
      </c>
      <c r="E91">
        <v>0.01</v>
      </c>
      <c r="F91">
        <v>0</v>
      </c>
      <c r="G91">
        <v>0.01</v>
      </c>
      <c r="H91">
        <v>0</v>
      </c>
      <c r="I91">
        <v>0.05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100</v>
      </c>
      <c r="E92">
        <v>0.02</v>
      </c>
      <c r="F92">
        <v>0.02</v>
      </c>
      <c r="G92">
        <v>0.03</v>
      </c>
      <c r="H92">
        <v>0</v>
      </c>
      <c r="I92">
        <v>0.25</v>
      </c>
      <c r="J92">
        <v>0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89</v>
      </c>
      <c r="E93">
        <v>0.05</v>
      </c>
      <c r="F93">
        <v>0.03</v>
      </c>
      <c r="G93">
        <v>0.08</v>
      </c>
      <c r="H93">
        <v>0</v>
      </c>
      <c r="I93">
        <v>0.43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100</v>
      </c>
      <c r="E94">
        <v>0.08</v>
      </c>
      <c r="F94">
        <v>0.05</v>
      </c>
      <c r="G94">
        <v>0.11</v>
      </c>
      <c r="H94">
        <v>0</v>
      </c>
      <c r="I94">
        <v>0.53</v>
      </c>
      <c r="J94">
        <v>0</v>
      </c>
      <c r="K94">
        <v>0.1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234</v>
      </c>
      <c r="E95">
        <v>0</v>
      </c>
      <c r="F95">
        <v>0</v>
      </c>
      <c r="G95">
        <v>0</v>
      </c>
      <c r="H95">
        <v>0</v>
      </c>
      <c r="I95">
        <v>0.02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211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234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211</v>
      </c>
      <c r="E98">
        <v>0.01</v>
      </c>
      <c r="F98">
        <v>0</v>
      </c>
      <c r="G98">
        <v>0.01</v>
      </c>
      <c r="H98">
        <v>0</v>
      </c>
      <c r="I98">
        <v>0.11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234</v>
      </c>
      <c r="E99">
        <v>0.02</v>
      </c>
      <c r="F99">
        <v>0.01</v>
      </c>
      <c r="G99">
        <v>0.02</v>
      </c>
      <c r="H99">
        <v>0</v>
      </c>
      <c r="I99">
        <v>0.12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211</v>
      </c>
      <c r="E100">
        <v>0.02</v>
      </c>
      <c r="F100">
        <v>0.01</v>
      </c>
      <c r="G100">
        <v>0.04</v>
      </c>
      <c r="H100">
        <v>0</v>
      </c>
      <c r="I100">
        <v>0.53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234</v>
      </c>
      <c r="E101">
        <v>0.04</v>
      </c>
      <c r="F101">
        <v>0.03</v>
      </c>
      <c r="G101">
        <v>0.06</v>
      </c>
      <c r="H101">
        <v>0</v>
      </c>
      <c r="I101">
        <v>0.57999999999999996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0.02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97</v>
      </c>
      <c r="E104">
        <v>0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0.03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97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0.05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97</v>
      </c>
      <c r="E108">
        <v>0.01</v>
      </c>
      <c r="F108">
        <v>0</v>
      </c>
      <c r="G108">
        <v>0.02</v>
      </c>
      <c r="H108">
        <v>0</v>
      </c>
      <c r="I108">
        <v>0.06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62</v>
      </c>
      <c r="E109">
        <v>0</v>
      </c>
      <c r="F109">
        <v>0</v>
      </c>
      <c r="G109">
        <v>0</v>
      </c>
      <c r="H109">
        <v>0</v>
      </c>
      <c r="I109">
        <v>0.02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57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62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57</v>
      </c>
      <c r="E112">
        <v>0.01</v>
      </c>
      <c r="F112">
        <v>0.01</v>
      </c>
      <c r="G112">
        <v>0.01</v>
      </c>
      <c r="H112">
        <v>0</v>
      </c>
      <c r="I112">
        <v>0.02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62</v>
      </c>
      <c r="E113">
        <v>0.02</v>
      </c>
      <c r="F113">
        <v>0.02</v>
      </c>
      <c r="G113">
        <v>0.01</v>
      </c>
      <c r="H113">
        <v>0</v>
      </c>
      <c r="I113">
        <v>0.03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57</v>
      </c>
      <c r="E114">
        <v>0.02</v>
      </c>
      <c r="F114">
        <v>0.02</v>
      </c>
      <c r="G114">
        <v>0.01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62</v>
      </c>
      <c r="E115">
        <v>0.03</v>
      </c>
      <c r="F115">
        <v>0.03</v>
      </c>
      <c r="G115">
        <v>0.02</v>
      </c>
      <c r="H115">
        <v>0</v>
      </c>
      <c r="I115">
        <v>7.0000000000000007E-2</v>
      </c>
      <c r="J115">
        <v>0.01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64</v>
      </c>
      <c r="E116">
        <v>0.45</v>
      </c>
      <c r="F116">
        <v>0.43</v>
      </c>
      <c r="G116">
        <v>0.03</v>
      </c>
      <c r="H116">
        <v>0.42</v>
      </c>
      <c r="I116">
        <v>0.52</v>
      </c>
      <c r="J116">
        <v>0.43</v>
      </c>
      <c r="K116">
        <v>0.46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64</v>
      </c>
      <c r="E117">
        <v>0.43</v>
      </c>
      <c r="F117">
        <v>0.42</v>
      </c>
      <c r="G117">
        <v>0.08</v>
      </c>
      <c r="H117">
        <v>0.23</v>
      </c>
      <c r="I117">
        <v>0.69</v>
      </c>
      <c r="J117">
        <v>0.4</v>
      </c>
      <c r="K117">
        <v>0.46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64</v>
      </c>
      <c r="E118">
        <v>0.44</v>
      </c>
      <c r="F118">
        <v>0.46</v>
      </c>
      <c r="G118">
        <v>0.08</v>
      </c>
      <c r="H118">
        <v>0.24</v>
      </c>
      <c r="I118">
        <v>0.62</v>
      </c>
      <c r="J118">
        <v>0.43</v>
      </c>
      <c r="K118">
        <v>0.47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64</v>
      </c>
      <c r="E119">
        <v>0.44</v>
      </c>
      <c r="F119">
        <v>0.46</v>
      </c>
      <c r="G119">
        <v>0.09</v>
      </c>
      <c r="H119">
        <v>0.25</v>
      </c>
      <c r="I119">
        <v>0.61</v>
      </c>
      <c r="J119">
        <v>0.42</v>
      </c>
      <c r="K119">
        <v>0.48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64</v>
      </c>
      <c r="E120">
        <v>0.44</v>
      </c>
      <c r="F120">
        <v>0.46</v>
      </c>
      <c r="G120">
        <v>0.09</v>
      </c>
      <c r="H120">
        <v>0.24</v>
      </c>
      <c r="I120">
        <v>0.6</v>
      </c>
      <c r="J120">
        <v>0.39</v>
      </c>
      <c r="K120">
        <v>0.49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64</v>
      </c>
      <c r="E121">
        <v>0.44</v>
      </c>
      <c r="F121">
        <v>0.48</v>
      </c>
      <c r="G121">
        <v>0.1</v>
      </c>
      <c r="H121">
        <v>0.23</v>
      </c>
      <c r="I121">
        <v>0.61</v>
      </c>
      <c r="J121">
        <v>0.34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64</v>
      </c>
      <c r="E122">
        <v>0.43</v>
      </c>
      <c r="F122">
        <v>0.49</v>
      </c>
      <c r="G122">
        <v>0.11</v>
      </c>
      <c r="H122">
        <v>0.23</v>
      </c>
      <c r="I122">
        <v>0.61</v>
      </c>
      <c r="J122">
        <v>0.32</v>
      </c>
      <c r="K122">
        <v>0.52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0.45</v>
      </c>
      <c r="F123">
        <v>0.43</v>
      </c>
      <c r="G123">
        <v>0.03</v>
      </c>
      <c r="H123">
        <v>0.42</v>
      </c>
      <c r="I123">
        <v>0.52</v>
      </c>
      <c r="J123">
        <v>0.43</v>
      </c>
      <c r="K123">
        <v>0.46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0.44</v>
      </c>
      <c r="F124">
        <v>0.43</v>
      </c>
      <c r="G124">
        <v>0.06</v>
      </c>
      <c r="H124">
        <v>0</v>
      </c>
      <c r="I124">
        <v>0.55000000000000004</v>
      </c>
      <c r="J124">
        <v>0.42</v>
      </c>
      <c r="K124">
        <v>0.45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0.43</v>
      </c>
      <c r="F125">
        <v>0.43</v>
      </c>
      <c r="G125">
        <v>0.06</v>
      </c>
      <c r="H125">
        <v>0</v>
      </c>
      <c r="I125">
        <v>0.57999999999999996</v>
      </c>
      <c r="J125">
        <v>0.41</v>
      </c>
      <c r="K125">
        <v>0.45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0.44</v>
      </c>
      <c r="F126">
        <v>0.44</v>
      </c>
      <c r="G126">
        <v>0.06</v>
      </c>
      <c r="H126">
        <v>0.26</v>
      </c>
      <c r="I126">
        <v>0.57999999999999996</v>
      </c>
      <c r="J126">
        <v>0.4</v>
      </c>
      <c r="K126">
        <v>0.47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0.43</v>
      </c>
      <c r="F127">
        <v>0.44</v>
      </c>
      <c r="G127">
        <v>7.0000000000000007E-2</v>
      </c>
      <c r="H127">
        <v>0.27</v>
      </c>
      <c r="I127">
        <v>0.56999999999999995</v>
      </c>
      <c r="J127">
        <v>0.37</v>
      </c>
      <c r="K127">
        <v>0.48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0.43</v>
      </c>
      <c r="F128">
        <v>0.45</v>
      </c>
      <c r="G128">
        <v>0.09</v>
      </c>
      <c r="H128">
        <v>0.26</v>
      </c>
      <c r="I128">
        <v>0.64</v>
      </c>
      <c r="J128">
        <v>0.35</v>
      </c>
      <c r="K128">
        <v>0.51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0.42</v>
      </c>
      <c r="F129">
        <v>0.43</v>
      </c>
      <c r="G129">
        <v>0.1</v>
      </c>
      <c r="H129">
        <v>0.25</v>
      </c>
      <c r="I129">
        <v>0.64</v>
      </c>
      <c r="J129">
        <v>0.32</v>
      </c>
      <c r="K129">
        <v>0.5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236</v>
      </c>
      <c r="E130">
        <v>0.44</v>
      </c>
      <c r="F130">
        <v>0.43</v>
      </c>
      <c r="G130">
        <v>0.03</v>
      </c>
      <c r="H130">
        <v>0.39</v>
      </c>
      <c r="I130">
        <v>0.53</v>
      </c>
      <c r="J130">
        <v>0.43</v>
      </c>
      <c r="K130">
        <v>0.45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213</v>
      </c>
      <c r="E131">
        <v>0.41</v>
      </c>
      <c r="F131">
        <v>0.42</v>
      </c>
      <c r="G131">
        <v>0.11</v>
      </c>
      <c r="H131">
        <v>0</v>
      </c>
      <c r="I131">
        <v>0.7</v>
      </c>
      <c r="J131">
        <v>0.39</v>
      </c>
      <c r="K131">
        <v>0.47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236</v>
      </c>
      <c r="E132">
        <v>0.41</v>
      </c>
      <c r="F132">
        <v>0.43</v>
      </c>
      <c r="G132">
        <v>0.11</v>
      </c>
      <c r="H132">
        <v>0</v>
      </c>
      <c r="I132">
        <v>0.64</v>
      </c>
      <c r="J132">
        <v>0.37</v>
      </c>
      <c r="K132">
        <v>0.46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213</v>
      </c>
      <c r="E133">
        <v>0.43</v>
      </c>
      <c r="F133">
        <v>0.45</v>
      </c>
      <c r="G133">
        <v>0.09</v>
      </c>
      <c r="H133">
        <v>0.25</v>
      </c>
      <c r="I133">
        <v>0.65</v>
      </c>
      <c r="J133">
        <v>0.36</v>
      </c>
      <c r="K133">
        <v>0.47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236</v>
      </c>
      <c r="E134">
        <v>0.42</v>
      </c>
      <c r="F134">
        <v>0.43</v>
      </c>
      <c r="G134">
        <v>0.1</v>
      </c>
      <c r="H134">
        <v>0.27</v>
      </c>
      <c r="I134">
        <v>0.66</v>
      </c>
      <c r="J134">
        <v>0.32</v>
      </c>
      <c r="K134">
        <v>0.48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213</v>
      </c>
      <c r="E135">
        <v>0.43</v>
      </c>
      <c r="F135">
        <v>0.45</v>
      </c>
      <c r="G135">
        <v>0.11</v>
      </c>
      <c r="H135">
        <v>0.24</v>
      </c>
      <c r="I135">
        <v>0.64</v>
      </c>
      <c r="J135">
        <v>0.31</v>
      </c>
      <c r="K135">
        <v>0.5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236</v>
      </c>
      <c r="E136">
        <v>0.41</v>
      </c>
      <c r="F136">
        <v>0.43</v>
      </c>
      <c r="G136">
        <v>0.12</v>
      </c>
      <c r="H136">
        <v>0.23</v>
      </c>
      <c r="I136">
        <v>0.64</v>
      </c>
      <c r="J136">
        <v>0.28000000000000003</v>
      </c>
      <c r="K136">
        <v>0.5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102</v>
      </c>
      <c r="E137">
        <v>0.45</v>
      </c>
      <c r="F137">
        <v>0.44</v>
      </c>
      <c r="G137">
        <v>0.04</v>
      </c>
      <c r="H137">
        <v>0.39</v>
      </c>
      <c r="I137">
        <v>0.52</v>
      </c>
      <c r="J137">
        <v>0.43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96</v>
      </c>
      <c r="E138">
        <v>0.42</v>
      </c>
      <c r="F138">
        <v>0.43</v>
      </c>
      <c r="G138">
        <v>0.12</v>
      </c>
      <c r="H138">
        <v>0</v>
      </c>
      <c r="I138">
        <v>0.55000000000000004</v>
      </c>
      <c r="J138">
        <v>0.39</v>
      </c>
      <c r="K138">
        <v>0.48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102</v>
      </c>
      <c r="E139">
        <v>0.4</v>
      </c>
      <c r="F139">
        <v>0.43</v>
      </c>
      <c r="G139">
        <v>0.11</v>
      </c>
      <c r="H139">
        <v>0</v>
      </c>
      <c r="I139">
        <v>0.54</v>
      </c>
      <c r="J139">
        <v>0.37</v>
      </c>
      <c r="K139">
        <v>0.48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96</v>
      </c>
      <c r="E140">
        <v>0.41</v>
      </c>
      <c r="F140">
        <v>0.44</v>
      </c>
      <c r="G140">
        <v>0.08</v>
      </c>
      <c r="H140">
        <v>0.26</v>
      </c>
      <c r="I140">
        <v>0.53</v>
      </c>
      <c r="J140">
        <v>0.36</v>
      </c>
      <c r="K140">
        <v>0.48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102</v>
      </c>
      <c r="E141">
        <v>0.41</v>
      </c>
      <c r="F141">
        <v>0.43</v>
      </c>
      <c r="G141">
        <v>0.09</v>
      </c>
      <c r="H141">
        <v>0.27</v>
      </c>
      <c r="I141">
        <v>0.56999999999999995</v>
      </c>
      <c r="J141">
        <v>0.33</v>
      </c>
      <c r="K141">
        <v>0.47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96</v>
      </c>
      <c r="E142">
        <v>0.41</v>
      </c>
      <c r="F142">
        <v>0.44</v>
      </c>
      <c r="G142">
        <v>0.1</v>
      </c>
      <c r="H142">
        <v>0.28000000000000003</v>
      </c>
      <c r="I142">
        <v>0.61</v>
      </c>
      <c r="J142">
        <v>0.31</v>
      </c>
      <c r="K142">
        <v>0.49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102</v>
      </c>
      <c r="E143">
        <v>0.4</v>
      </c>
      <c r="F143">
        <v>0.42</v>
      </c>
      <c r="G143">
        <v>0.12</v>
      </c>
      <c r="H143">
        <v>0.24</v>
      </c>
      <c r="I143">
        <v>0.63</v>
      </c>
      <c r="J143">
        <v>0.28000000000000003</v>
      </c>
      <c r="K143">
        <v>0.49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64</v>
      </c>
      <c r="E144">
        <v>0.45</v>
      </c>
      <c r="F144">
        <v>0.44</v>
      </c>
      <c r="G144">
        <v>0.04</v>
      </c>
      <c r="H144">
        <v>0.38</v>
      </c>
      <c r="I144">
        <v>0.53</v>
      </c>
      <c r="J144">
        <v>0.43</v>
      </c>
      <c r="K144">
        <v>0.47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59</v>
      </c>
      <c r="E145">
        <v>0.45</v>
      </c>
      <c r="F145">
        <v>0.44</v>
      </c>
      <c r="G145">
        <v>0.04</v>
      </c>
      <c r="H145">
        <v>0.39</v>
      </c>
      <c r="I145">
        <v>0.64</v>
      </c>
      <c r="J145">
        <v>0.43</v>
      </c>
      <c r="K145">
        <v>0.46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64</v>
      </c>
      <c r="E146">
        <v>0.43</v>
      </c>
      <c r="F146">
        <v>0.44</v>
      </c>
      <c r="G146">
        <v>0.05</v>
      </c>
      <c r="H146">
        <v>0.31</v>
      </c>
      <c r="I146">
        <v>0.51</v>
      </c>
      <c r="J146">
        <v>0.43</v>
      </c>
      <c r="K146">
        <v>0.45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59</v>
      </c>
      <c r="E147">
        <v>0.44</v>
      </c>
      <c r="F147">
        <v>0.44</v>
      </c>
      <c r="G147">
        <v>0.03</v>
      </c>
      <c r="H147">
        <v>0.36</v>
      </c>
      <c r="I147">
        <v>0.51</v>
      </c>
      <c r="J147">
        <v>0.42</v>
      </c>
      <c r="K147">
        <v>0.46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64</v>
      </c>
      <c r="E148">
        <v>0.42</v>
      </c>
      <c r="F148">
        <v>0.43</v>
      </c>
      <c r="G148">
        <v>0.05</v>
      </c>
      <c r="H148">
        <v>0.28000000000000003</v>
      </c>
      <c r="I148">
        <v>0.5</v>
      </c>
      <c r="J148">
        <v>0.4</v>
      </c>
      <c r="K148">
        <v>0.45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59</v>
      </c>
      <c r="E149">
        <v>0.42</v>
      </c>
      <c r="F149">
        <v>0.43</v>
      </c>
      <c r="G149">
        <v>0.04</v>
      </c>
      <c r="H149">
        <v>0.31</v>
      </c>
      <c r="I149">
        <v>0.51</v>
      </c>
      <c r="J149">
        <v>0.41</v>
      </c>
      <c r="K149">
        <v>0.44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64</v>
      </c>
      <c r="E150">
        <v>0.4</v>
      </c>
      <c r="F150">
        <v>0.42</v>
      </c>
      <c r="G150">
        <v>0.06</v>
      </c>
      <c r="H150">
        <v>0.26</v>
      </c>
      <c r="I150">
        <v>0.52</v>
      </c>
      <c r="J150">
        <v>0.37</v>
      </c>
      <c r="K150">
        <v>0.44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64</v>
      </c>
      <c r="E151">
        <v>0.54</v>
      </c>
      <c r="F151">
        <v>0.56999999999999995</v>
      </c>
      <c r="G151">
        <v>0.04</v>
      </c>
      <c r="H151">
        <v>0.46</v>
      </c>
      <c r="I151">
        <v>0.57999999999999996</v>
      </c>
      <c r="J151">
        <v>0.5</v>
      </c>
      <c r="K151">
        <v>0.56999999999999995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64</v>
      </c>
      <c r="E152">
        <v>0.55000000000000004</v>
      </c>
      <c r="F152">
        <v>0.56999999999999995</v>
      </c>
      <c r="G152">
        <v>7.0000000000000007E-2</v>
      </c>
      <c r="H152">
        <v>0.28999999999999998</v>
      </c>
      <c r="I152">
        <v>0.68</v>
      </c>
      <c r="J152">
        <v>0.51</v>
      </c>
      <c r="K152">
        <v>0.59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64</v>
      </c>
      <c r="E153">
        <v>0.53</v>
      </c>
      <c r="F153">
        <v>0.52</v>
      </c>
      <c r="G153">
        <v>7.0000000000000007E-2</v>
      </c>
      <c r="H153">
        <v>0.36</v>
      </c>
      <c r="I153">
        <v>0.67</v>
      </c>
      <c r="J153">
        <v>0.5</v>
      </c>
      <c r="K153">
        <v>0.55000000000000004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64</v>
      </c>
      <c r="E154">
        <v>0.5</v>
      </c>
      <c r="F154">
        <v>0.5</v>
      </c>
      <c r="G154">
        <v>7.0000000000000007E-2</v>
      </c>
      <c r="H154">
        <v>0.36</v>
      </c>
      <c r="I154">
        <v>0.65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64</v>
      </c>
      <c r="E155">
        <v>0.48</v>
      </c>
      <c r="F155">
        <v>0.46</v>
      </c>
      <c r="G155">
        <v>0.08</v>
      </c>
      <c r="H155">
        <v>0.35</v>
      </c>
      <c r="I155">
        <v>0.62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64</v>
      </c>
      <c r="E156">
        <v>0.46</v>
      </c>
      <c r="F156">
        <v>0.44</v>
      </c>
      <c r="G156">
        <v>0.08</v>
      </c>
      <c r="H156">
        <v>0.34</v>
      </c>
      <c r="I156">
        <v>0.62</v>
      </c>
      <c r="J156">
        <v>0.41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64</v>
      </c>
      <c r="E157">
        <v>0.45</v>
      </c>
      <c r="F157">
        <v>0.43</v>
      </c>
      <c r="G157">
        <v>0.08</v>
      </c>
      <c r="H157">
        <v>0.34</v>
      </c>
      <c r="I157">
        <v>0.61</v>
      </c>
      <c r="J157">
        <v>0.4</v>
      </c>
      <c r="K157">
        <v>0.49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0.54</v>
      </c>
      <c r="F158">
        <v>0.56999999999999995</v>
      </c>
      <c r="G158">
        <v>0.04</v>
      </c>
      <c r="H158">
        <v>0.46</v>
      </c>
      <c r="I158">
        <v>0.57999999999999996</v>
      </c>
      <c r="J158">
        <v>0.52</v>
      </c>
      <c r="K158">
        <v>0.56999999999999995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0.54</v>
      </c>
      <c r="F159">
        <v>0.55000000000000004</v>
      </c>
      <c r="G159">
        <v>0.06</v>
      </c>
      <c r="H159">
        <v>0.42</v>
      </c>
      <c r="I159">
        <v>0.93</v>
      </c>
      <c r="J159">
        <v>0.5</v>
      </c>
      <c r="K159">
        <v>0.56999999999999995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0.53</v>
      </c>
      <c r="F160">
        <v>0.53</v>
      </c>
      <c r="G160">
        <v>0.06</v>
      </c>
      <c r="H160">
        <v>0.38</v>
      </c>
      <c r="I160">
        <v>0.94</v>
      </c>
      <c r="J160">
        <v>0.51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0.51</v>
      </c>
      <c r="F161">
        <v>0.52</v>
      </c>
      <c r="G161">
        <v>0.05</v>
      </c>
      <c r="H161">
        <v>0.37</v>
      </c>
      <c r="I161">
        <v>0.64</v>
      </c>
      <c r="J161">
        <v>0.48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0.49</v>
      </c>
      <c r="F162">
        <v>0.5</v>
      </c>
      <c r="G162">
        <v>0.05</v>
      </c>
      <c r="H162">
        <v>0.36</v>
      </c>
      <c r="I162">
        <v>0.62</v>
      </c>
      <c r="J162">
        <v>0.47</v>
      </c>
      <c r="K162">
        <v>0.53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0.47</v>
      </c>
      <c r="F163">
        <v>0.47</v>
      </c>
      <c r="G163">
        <v>0.06</v>
      </c>
      <c r="H163">
        <v>0.34</v>
      </c>
      <c r="I163">
        <v>0.62</v>
      </c>
      <c r="J163">
        <v>0.43</v>
      </c>
      <c r="K163">
        <v>0.51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0.46</v>
      </c>
      <c r="F164">
        <v>0.48</v>
      </c>
      <c r="G164">
        <v>0.05</v>
      </c>
      <c r="H164">
        <v>0.34</v>
      </c>
      <c r="I164">
        <v>0.61</v>
      </c>
      <c r="J164">
        <v>0.42</v>
      </c>
      <c r="K164">
        <v>0.5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236</v>
      </c>
      <c r="E165">
        <v>0.54</v>
      </c>
      <c r="F165">
        <v>0.56999999999999995</v>
      </c>
      <c r="G165">
        <v>0.04</v>
      </c>
      <c r="H165">
        <v>0.45</v>
      </c>
      <c r="I165">
        <v>0.59</v>
      </c>
      <c r="J165">
        <v>0.5</v>
      </c>
      <c r="K165">
        <v>0.56999999999999995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213</v>
      </c>
      <c r="E166">
        <v>0.56000000000000005</v>
      </c>
      <c r="F166">
        <v>0.56999999999999995</v>
      </c>
      <c r="G166">
        <v>0.1</v>
      </c>
      <c r="H166">
        <v>0.28000000000000003</v>
      </c>
      <c r="I166">
        <v>0.95</v>
      </c>
      <c r="J166">
        <v>0.51</v>
      </c>
      <c r="K166">
        <v>0.57999999999999996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236</v>
      </c>
      <c r="E167">
        <v>0.56000000000000005</v>
      </c>
      <c r="F167">
        <v>0.53</v>
      </c>
      <c r="G167">
        <v>0.1</v>
      </c>
      <c r="H167">
        <v>0.35</v>
      </c>
      <c r="I167">
        <v>0.94</v>
      </c>
      <c r="J167">
        <v>0.51</v>
      </c>
      <c r="K167">
        <v>0.59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213</v>
      </c>
      <c r="E168">
        <v>0.53</v>
      </c>
      <c r="F168">
        <v>0.51</v>
      </c>
      <c r="G168">
        <v>0.08</v>
      </c>
      <c r="H168">
        <v>0.32</v>
      </c>
      <c r="I168">
        <v>0.66</v>
      </c>
      <c r="J168">
        <v>0.49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236</v>
      </c>
      <c r="E169">
        <v>0.52</v>
      </c>
      <c r="F169">
        <v>0.5</v>
      </c>
      <c r="G169">
        <v>0.09</v>
      </c>
      <c r="H169">
        <v>0.32</v>
      </c>
      <c r="I169">
        <v>0.72</v>
      </c>
      <c r="J169">
        <v>0.47</v>
      </c>
      <c r="K169">
        <v>0.57999999999999996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213</v>
      </c>
      <c r="E170">
        <v>0.49</v>
      </c>
      <c r="F170">
        <v>0.47</v>
      </c>
      <c r="G170">
        <v>0.08</v>
      </c>
      <c r="H170">
        <v>0.33</v>
      </c>
      <c r="I170">
        <v>0.62</v>
      </c>
      <c r="J170">
        <v>0.44</v>
      </c>
      <c r="K170">
        <v>0.54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236</v>
      </c>
      <c r="E171">
        <v>0.49</v>
      </c>
      <c r="F171">
        <v>0.48</v>
      </c>
      <c r="G171">
        <v>0.09</v>
      </c>
      <c r="H171">
        <v>0.32</v>
      </c>
      <c r="I171">
        <v>0.72</v>
      </c>
      <c r="J171">
        <v>0.43</v>
      </c>
      <c r="K171">
        <v>0.55000000000000004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0.53</v>
      </c>
      <c r="F172">
        <v>0.5</v>
      </c>
      <c r="G172">
        <v>0.04</v>
      </c>
      <c r="H172">
        <v>0.45</v>
      </c>
      <c r="I172">
        <v>0.59</v>
      </c>
      <c r="J172">
        <v>0.5</v>
      </c>
      <c r="K172">
        <v>0.56999999999999995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0.55000000000000004</v>
      </c>
      <c r="F173">
        <v>0.55000000000000004</v>
      </c>
      <c r="G173">
        <v>0.1</v>
      </c>
      <c r="H173">
        <v>0.42</v>
      </c>
      <c r="I173">
        <v>0.94</v>
      </c>
      <c r="J173">
        <v>0.49</v>
      </c>
      <c r="K173">
        <v>0.6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0.56000000000000005</v>
      </c>
      <c r="F174">
        <v>0.53</v>
      </c>
      <c r="G174">
        <v>0.09</v>
      </c>
      <c r="H174">
        <v>0.43</v>
      </c>
      <c r="I174">
        <v>0.95</v>
      </c>
      <c r="J174">
        <v>0.49</v>
      </c>
      <c r="K174">
        <v>0.59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0.54</v>
      </c>
      <c r="F175">
        <v>0.52</v>
      </c>
      <c r="G175">
        <v>7.0000000000000007E-2</v>
      </c>
      <c r="H175">
        <v>0.44</v>
      </c>
      <c r="I175">
        <v>0.66</v>
      </c>
      <c r="J175">
        <v>0.49</v>
      </c>
      <c r="K175">
        <v>0.6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0.54</v>
      </c>
      <c r="F176">
        <v>0.53</v>
      </c>
      <c r="G176">
        <v>0.08</v>
      </c>
      <c r="H176">
        <v>0.38</v>
      </c>
      <c r="I176">
        <v>0.71</v>
      </c>
      <c r="J176">
        <v>0.49</v>
      </c>
      <c r="K176">
        <v>0.59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0.51</v>
      </c>
      <c r="F177">
        <v>0.51</v>
      </c>
      <c r="G177">
        <v>7.0000000000000007E-2</v>
      </c>
      <c r="H177">
        <v>0.36</v>
      </c>
      <c r="I177">
        <v>0.63</v>
      </c>
      <c r="J177">
        <v>0.47</v>
      </c>
      <c r="K177">
        <v>0.56000000000000005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0.51</v>
      </c>
      <c r="F178">
        <v>0.49</v>
      </c>
      <c r="G178">
        <v>0.09</v>
      </c>
      <c r="H178">
        <v>0.34</v>
      </c>
      <c r="I178">
        <v>0.73</v>
      </c>
      <c r="J178">
        <v>0.45</v>
      </c>
      <c r="K178">
        <v>0.56000000000000005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55</v>
      </c>
      <c r="E179">
        <v>0.53</v>
      </c>
      <c r="F179">
        <v>0.53</v>
      </c>
      <c r="G179">
        <v>0.04</v>
      </c>
      <c r="H179">
        <v>0.46</v>
      </c>
      <c r="I179">
        <v>0.57999999999999996</v>
      </c>
      <c r="J179">
        <v>0.5</v>
      </c>
      <c r="K179">
        <v>0.56999999999999995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55</v>
      </c>
      <c r="E180">
        <v>0.53</v>
      </c>
      <c r="F180">
        <v>0.54</v>
      </c>
      <c r="G180">
        <v>0.04</v>
      </c>
      <c r="H180">
        <v>0.34</v>
      </c>
      <c r="I180">
        <v>0.6</v>
      </c>
      <c r="J180">
        <v>0.51</v>
      </c>
      <c r="K180">
        <v>0.56999999999999995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55</v>
      </c>
      <c r="E181">
        <v>0.53</v>
      </c>
      <c r="F181">
        <v>0.54</v>
      </c>
      <c r="G181">
        <v>0.03</v>
      </c>
      <c r="H181">
        <v>0.47</v>
      </c>
      <c r="I181">
        <v>0.6</v>
      </c>
      <c r="J181">
        <v>0.51</v>
      </c>
      <c r="K181">
        <v>0.55000000000000004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55</v>
      </c>
      <c r="E182">
        <v>0.53</v>
      </c>
      <c r="F182">
        <v>0.53</v>
      </c>
      <c r="G182">
        <v>0.03</v>
      </c>
      <c r="H182">
        <v>0.46</v>
      </c>
      <c r="I182">
        <v>0.62</v>
      </c>
      <c r="J182">
        <v>0.51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55</v>
      </c>
      <c r="E183">
        <v>0.53</v>
      </c>
      <c r="F183">
        <v>0.53</v>
      </c>
      <c r="G183">
        <v>0.03</v>
      </c>
      <c r="H183">
        <v>0.46</v>
      </c>
      <c r="I183">
        <v>0.63</v>
      </c>
      <c r="J183">
        <v>0.51</v>
      </c>
      <c r="K183">
        <v>0.56000000000000005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55</v>
      </c>
      <c r="E184">
        <v>0.53</v>
      </c>
      <c r="F184">
        <v>0.52</v>
      </c>
      <c r="G184">
        <v>0.04</v>
      </c>
      <c r="H184">
        <v>0.47</v>
      </c>
      <c r="I184">
        <v>0.64</v>
      </c>
      <c r="J184">
        <v>0.51</v>
      </c>
      <c r="K184">
        <v>0.56000000000000005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55</v>
      </c>
      <c r="E185">
        <v>0.53</v>
      </c>
      <c r="F185">
        <v>0.52</v>
      </c>
      <c r="G185">
        <v>0.04</v>
      </c>
      <c r="H185">
        <v>0.46</v>
      </c>
      <c r="I185">
        <v>0.63</v>
      </c>
      <c r="J185">
        <v>0.5</v>
      </c>
      <c r="K185">
        <v>0.56999999999999995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0.01</v>
      </c>
      <c r="F186">
        <v>0.01</v>
      </c>
      <c r="G186">
        <v>0</v>
      </c>
      <c r="H186">
        <v>0</v>
      </c>
      <c r="I186">
        <v>0.01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0.01</v>
      </c>
      <c r="F187">
        <v>0.01</v>
      </c>
      <c r="G187">
        <v>0.01</v>
      </c>
      <c r="H187">
        <v>0</v>
      </c>
      <c r="I187">
        <v>0.02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0.03</v>
      </c>
      <c r="F188">
        <v>0.02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0.05</v>
      </c>
      <c r="F189">
        <v>0.04</v>
      </c>
      <c r="G189">
        <v>0.02</v>
      </c>
      <c r="H189">
        <v>0.01</v>
      </c>
      <c r="I189">
        <v>0.11</v>
      </c>
      <c r="J189">
        <v>0.03</v>
      </c>
      <c r="K189">
        <v>7.0000000000000007E-2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7.0000000000000007E-2</v>
      </c>
      <c r="F190">
        <v>0.05</v>
      </c>
      <c r="G190">
        <v>0.04</v>
      </c>
      <c r="H190">
        <v>0.02</v>
      </c>
      <c r="I190">
        <v>0.16</v>
      </c>
      <c r="J190">
        <v>0.04</v>
      </c>
      <c r="K190">
        <v>0.11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0.09</v>
      </c>
      <c r="F191">
        <v>7.0000000000000007E-2</v>
      </c>
      <c r="G191">
        <v>0.05</v>
      </c>
      <c r="H191">
        <v>0.03</v>
      </c>
      <c r="I191">
        <v>0.19</v>
      </c>
      <c r="J191">
        <v>0.05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</v>
      </c>
      <c r="F192">
        <v>0.09</v>
      </c>
      <c r="G192">
        <v>0.05</v>
      </c>
      <c r="H192">
        <v>0.03</v>
      </c>
      <c r="I192">
        <v>0.21</v>
      </c>
      <c r="J192">
        <v>7.0000000000000007E-2</v>
      </c>
      <c r="K192">
        <v>0.14000000000000001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0.01</v>
      </c>
      <c r="F193">
        <v>0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0.03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0.03</v>
      </c>
      <c r="F195">
        <v>0.02</v>
      </c>
      <c r="G195">
        <v>0.02</v>
      </c>
      <c r="H195">
        <v>0</v>
      </c>
      <c r="I195">
        <v>7.0000000000000007E-2</v>
      </c>
      <c r="J195">
        <v>0.01</v>
      </c>
      <c r="K195">
        <v>0.04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0.08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7.0000000000000007E-2</v>
      </c>
      <c r="F197">
        <v>0.05</v>
      </c>
      <c r="G197">
        <v>0.04</v>
      </c>
      <c r="H197">
        <v>0</v>
      </c>
      <c r="I197">
        <v>0.15</v>
      </c>
      <c r="J197">
        <v>0.03</v>
      </c>
      <c r="K197">
        <v>0.11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0.09</v>
      </c>
      <c r="F198">
        <v>7.0000000000000007E-2</v>
      </c>
      <c r="G198">
        <v>0.06</v>
      </c>
      <c r="H198">
        <v>0</v>
      </c>
      <c r="I198">
        <v>0.2</v>
      </c>
      <c r="J198">
        <v>0.04</v>
      </c>
      <c r="K198">
        <v>0.14000000000000001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0.12</v>
      </c>
      <c r="F199">
        <v>0.09</v>
      </c>
      <c r="G199">
        <v>7.0000000000000007E-2</v>
      </c>
      <c r="H199">
        <v>0</v>
      </c>
      <c r="I199">
        <v>0.25</v>
      </c>
      <c r="J199">
        <v>0.06</v>
      </c>
      <c r="K199">
        <v>0.2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235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212</v>
      </c>
      <c r="E201">
        <v>0.01</v>
      </c>
      <c r="F201">
        <v>0.01</v>
      </c>
      <c r="G201">
        <v>0.01</v>
      </c>
      <c r="H201">
        <v>0</v>
      </c>
      <c r="I201">
        <v>0.08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235</v>
      </c>
      <c r="E202">
        <v>0.02</v>
      </c>
      <c r="F202">
        <v>0.02</v>
      </c>
      <c r="G202">
        <v>0.02</v>
      </c>
      <c r="H202">
        <v>0</v>
      </c>
      <c r="I202">
        <v>0.18</v>
      </c>
      <c r="J202">
        <v>0.01</v>
      </c>
      <c r="K202">
        <v>0.02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212</v>
      </c>
      <c r="E203">
        <v>0.03</v>
      </c>
      <c r="F203">
        <v>0.02</v>
      </c>
      <c r="G203">
        <v>0.02</v>
      </c>
      <c r="H203">
        <v>0</v>
      </c>
      <c r="I203">
        <v>0.11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235</v>
      </c>
      <c r="E204">
        <v>0.05</v>
      </c>
      <c r="F204">
        <v>0.04</v>
      </c>
      <c r="G204">
        <v>0.04</v>
      </c>
      <c r="H204">
        <v>0</v>
      </c>
      <c r="I204">
        <v>0.18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212</v>
      </c>
      <c r="E205">
        <v>7.0000000000000007E-2</v>
      </c>
      <c r="F205">
        <v>0.05</v>
      </c>
      <c r="G205">
        <v>0.05</v>
      </c>
      <c r="H205">
        <v>0</v>
      </c>
      <c r="I205">
        <v>0.24</v>
      </c>
      <c r="J205">
        <v>0.03</v>
      </c>
      <c r="K205">
        <v>0.08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235</v>
      </c>
      <c r="E206">
        <v>0.09</v>
      </c>
      <c r="F206">
        <v>7.0000000000000007E-2</v>
      </c>
      <c r="G206">
        <v>7.0000000000000007E-2</v>
      </c>
      <c r="H206">
        <v>0</v>
      </c>
      <c r="I206">
        <v>0.27</v>
      </c>
      <c r="J206">
        <v>0.03</v>
      </c>
      <c r="K206">
        <v>0.12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0.01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0.01</v>
      </c>
      <c r="F208">
        <v>0.01</v>
      </c>
      <c r="G208">
        <v>0.04</v>
      </c>
      <c r="H208">
        <v>0</v>
      </c>
      <c r="I208">
        <v>0.4</v>
      </c>
      <c r="J208">
        <v>0</v>
      </c>
      <c r="K208">
        <v>0.01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0.02</v>
      </c>
      <c r="F209">
        <v>0.01</v>
      </c>
      <c r="G209">
        <v>0.05</v>
      </c>
      <c r="H209">
        <v>0</v>
      </c>
      <c r="I209">
        <v>0.5</v>
      </c>
      <c r="J209">
        <v>0</v>
      </c>
      <c r="K209">
        <v>0.02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0.02</v>
      </c>
      <c r="F210">
        <v>0.02</v>
      </c>
      <c r="G210">
        <v>0.02</v>
      </c>
      <c r="H210">
        <v>0</v>
      </c>
      <c r="I210">
        <v>0.09</v>
      </c>
      <c r="J210">
        <v>0.01</v>
      </c>
      <c r="K210">
        <v>0.02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0.03</v>
      </c>
      <c r="F211">
        <v>0.02</v>
      </c>
      <c r="G211">
        <v>0.04</v>
      </c>
      <c r="H211">
        <v>0</v>
      </c>
      <c r="I211">
        <v>0.14000000000000001</v>
      </c>
      <c r="J211">
        <v>0.01</v>
      </c>
      <c r="K211">
        <v>0.04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0.05</v>
      </c>
      <c r="F212">
        <v>0.03</v>
      </c>
      <c r="G212">
        <v>0.06</v>
      </c>
      <c r="H212">
        <v>0</v>
      </c>
      <c r="I212">
        <v>0.21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7.0000000000000007E-2</v>
      </c>
      <c r="F213">
        <v>0.03</v>
      </c>
      <c r="G213">
        <v>0.08</v>
      </c>
      <c r="H213">
        <v>0</v>
      </c>
      <c r="I213">
        <v>0.28000000000000003</v>
      </c>
      <c r="J213">
        <v>0.02</v>
      </c>
      <c r="K213">
        <v>0.12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64</v>
      </c>
      <c r="E214">
        <v>0.01</v>
      </c>
      <c r="F214">
        <v>0</v>
      </c>
      <c r="G214">
        <v>0.01</v>
      </c>
      <c r="H214">
        <v>0</v>
      </c>
      <c r="I214">
        <v>0.03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59</v>
      </c>
      <c r="E215">
        <v>0.01</v>
      </c>
      <c r="F215">
        <v>0.01</v>
      </c>
      <c r="G215">
        <v>0.01</v>
      </c>
      <c r="H215">
        <v>0</v>
      </c>
      <c r="I215">
        <v>0.06</v>
      </c>
      <c r="J215">
        <v>0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64</v>
      </c>
      <c r="E216">
        <v>0.01</v>
      </c>
      <c r="F216">
        <v>0.01</v>
      </c>
      <c r="G216">
        <v>0.02</v>
      </c>
      <c r="H216">
        <v>0</v>
      </c>
      <c r="I216">
        <v>0.1</v>
      </c>
      <c r="J216">
        <v>0</v>
      </c>
      <c r="K216">
        <v>0.01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59</v>
      </c>
      <c r="E217">
        <v>0.02</v>
      </c>
      <c r="F217">
        <v>0.02</v>
      </c>
      <c r="G217">
        <v>0.02</v>
      </c>
      <c r="H217">
        <v>0</v>
      </c>
      <c r="I217">
        <v>0.11</v>
      </c>
      <c r="J217">
        <v>0.01</v>
      </c>
      <c r="K217">
        <v>0.02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64</v>
      </c>
      <c r="E218">
        <v>0.02</v>
      </c>
      <c r="F218">
        <v>0.02</v>
      </c>
      <c r="G218">
        <v>0.03</v>
      </c>
      <c r="H218">
        <v>0</v>
      </c>
      <c r="I218">
        <v>0.11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59</v>
      </c>
      <c r="E219">
        <v>0.03</v>
      </c>
      <c r="F219">
        <v>0.02</v>
      </c>
      <c r="G219">
        <v>0.03</v>
      </c>
      <c r="H219">
        <v>0</v>
      </c>
      <c r="I219">
        <v>0.12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64</v>
      </c>
      <c r="E220">
        <v>0.04</v>
      </c>
      <c r="F220">
        <v>0.03</v>
      </c>
      <c r="G220">
        <v>0.03</v>
      </c>
      <c r="H220">
        <v>0</v>
      </c>
      <c r="I220">
        <v>0.13</v>
      </c>
      <c r="J220">
        <v>0.01</v>
      </c>
      <c r="K220">
        <v>7.0000000000000007E-2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37</v>
      </c>
      <c r="E222">
        <v>65535</v>
      </c>
      <c r="F222">
        <v>1.93</v>
      </c>
      <c r="H222">
        <v>1.26</v>
      </c>
      <c r="I222">
        <v>65535</v>
      </c>
      <c r="J222">
        <v>1.7</v>
      </c>
      <c r="K222">
        <v>2.38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37</v>
      </c>
      <c r="E223">
        <v>65535</v>
      </c>
      <c r="F223">
        <v>2.65</v>
      </c>
      <c r="H223">
        <v>1.63</v>
      </c>
      <c r="I223">
        <v>65535</v>
      </c>
      <c r="J223">
        <v>2.34</v>
      </c>
      <c r="K223">
        <v>3.32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37</v>
      </c>
      <c r="E224">
        <v>65535</v>
      </c>
      <c r="F224">
        <v>3.13</v>
      </c>
      <c r="H224">
        <v>1.95</v>
      </c>
      <c r="I224">
        <v>65535</v>
      </c>
      <c r="J224">
        <v>2.48</v>
      </c>
      <c r="K224">
        <v>4.0199999999999996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37</v>
      </c>
      <c r="E225">
        <v>65535</v>
      </c>
      <c r="F225">
        <v>3.66</v>
      </c>
      <c r="H225">
        <v>2.4300000000000002</v>
      </c>
      <c r="I225">
        <v>65535</v>
      </c>
      <c r="J225">
        <v>2.98</v>
      </c>
      <c r="K225">
        <v>4.33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37</v>
      </c>
      <c r="E226">
        <v>65535</v>
      </c>
      <c r="F226">
        <v>3.74</v>
      </c>
      <c r="H226">
        <v>2.4500000000000002</v>
      </c>
      <c r="I226">
        <v>65535</v>
      </c>
      <c r="J226">
        <v>3.23</v>
      </c>
      <c r="K226">
        <v>4.96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37</v>
      </c>
      <c r="E227">
        <v>65535</v>
      </c>
      <c r="F227">
        <v>3.74</v>
      </c>
      <c r="H227">
        <v>2.21</v>
      </c>
      <c r="I227">
        <v>65535</v>
      </c>
      <c r="J227">
        <v>3.22</v>
      </c>
      <c r="K227">
        <v>4.2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43</v>
      </c>
      <c r="E229">
        <v>1.25</v>
      </c>
      <c r="F229">
        <v>1.17</v>
      </c>
      <c r="G229">
        <v>0.19</v>
      </c>
      <c r="H229">
        <v>1.04</v>
      </c>
      <c r="I229">
        <v>1.83</v>
      </c>
      <c r="J229">
        <v>1.1299999999999999</v>
      </c>
      <c r="K229">
        <v>1.28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43</v>
      </c>
      <c r="E230">
        <v>1.59</v>
      </c>
      <c r="F230">
        <v>1.56</v>
      </c>
      <c r="G230">
        <v>0.32</v>
      </c>
      <c r="H230">
        <v>1.05</v>
      </c>
      <c r="I230">
        <v>2.39</v>
      </c>
      <c r="J230">
        <v>1.34</v>
      </c>
      <c r="K230">
        <v>1.77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43</v>
      </c>
      <c r="E231">
        <v>2.72</v>
      </c>
      <c r="F231">
        <v>2.15</v>
      </c>
      <c r="G231">
        <v>2.08</v>
      </c>
      <c r="H231">
        <v>1.05</v>
      </c>
      <c r="I231">
        <v>10.54</v>
      </c>
      <c r="J231">
        <v>1.84</v>
      </c>
      <c r="K231">
        <v>2.4700000000000002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43</v>
      </c>
      <c r="E232">
        <v>3.74</v>
      </c>
      <c r="F232">
        <v>2.7</v>
      </c>
      <c r="G232">
        <v>3.88</v>
      </c>
      <c r="H232">
        <v>1.04</v>
      </c>
      <c r="I232">
        <v>18.89</v>
      </c>
      <c r="J232">
        <v>2.0499999999999998</v>
      </c>
      <c r="K232">
        <v>3.02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43</v>
      </c>
      <c r="E233">
        <v>3.42</v>
      </c>
      <c r="F233">
        <v>2.8</v>
      </c>
      <c r="G233">
        <v>1.73</v>
      </c>
      <c r="H233">
        <v>1.1000000000000001</v>
      </c>
      <c r="I233">
        <v>10.94</v>
      </c>
      <c r="J233">
        <v>2.56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43</v>
      </c>
      <c r="E234">
        <v>3.32</v>
      </c>
      <c r="F234">
        <v>2.92</v>
      </c>
      <c r="G234">
        <v>1.23</v>
      </c>
      <c r="H234">
        <v>1.2</v>
      </c>
      <c r="I234">
        <v>8.44</v>
      </c>
      <c r="J234">
        <v>2.7</v>
      </c>
      <c r="K234">
        <v>3.67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113</v>
      </c>
      <c r="E236">
        <v>1.38</v>
      </c>
      <c r="F236">
        <v>1.33</v>
      </c>
      <c r="G236">
        <v>0.3</v>
      </c>
      <c r="H236">
        <v>1.02</v>
      </c>
      <c r="I236">
        <v>2.65</v>
      </c>
      <c r="J236">
        <v>1.2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113</v>
      </c>
      <c r="E237">
        <v>1.78</v>
      </c>
      <c r="F237">
        <v>1.71</v>
      </c>
      <c r="G237">
        <v>0.49</v>
      </c>
      <c r="H237">
        <v>1.05</v>
      </c>
      <c r="I237">
        <v>3.7</v>
      </c>
      <c r="J237">
        <v>1.44</v>
      </c>
      <c r="K237">
        <v>2.04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113</v>
      </c>
      <c r="E238">
        <v>2.2200000000000002</v>
      </c>
      <c r="F238">
        <v>1.89</v>
      </c>
      <c r="G238">
        <v>0.9</v>
      </c>
      <c r="H238">
        <v>1.05</v>
      </c>
      <c r="I238">
        <v>7.88</v>
      </c>
      <c r="J238">
        <v>1.64</v>
      </c>
      <c r="K238">
        <v>2.71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113</v>
      </c>
      <c r="E239">
        <v>2.73</v>
      </c>
      <c r="F239">
        <v>2.4</v>
      </c>
      <c r="G239">
        <v>1.19</v>
      </c>
      <c r="H239">
        <v>1.06</v>
      </c>
      <c r="I239">
        <v>8.68</v>
      </c>
      <c r="J239">
        <v>1.86</v>
      </c>
      <c r="K239">
        <v>3.31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113</v>
      </c>
      <c r="E240">
        <v>3.11</v>
      </c>
      <c r="F240">
        <v>2.71</v>
      </c>
      <c r="G240">
        <v>1.23</v>
      </c>
      <c r="H240">
        <v>1.08</v>
      </c>
      <c r="I240">
        <v>6.68</v>
      </c>
      <c r="J240">
        <v>2.2200000000000002</v>
      </c>
      <c r="K240">
        <v>3.77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113</v>
      </c>
      <c r="E241">
        <v>3.32</v>
      </c>
      <c r="F241">
        <v>2.93</v>
      </c>
      <c r="G241">
        <v>1.39</v>
      </c>
      <c r="H241">
        <v>1.1100000000000001</v>
      </c>
      <c r="I241">
        <v>8.02</v>
      </c>
      <c r="J241">
        <v>2.2799999999999998</v>
      </c>
      <c r="K241">
        <v>4.0199999999999996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1.26</v>
      </c>
      <c r="F243">
        <v>1.23</v>
      </c>
      <c r="G243">
        <v>0.19</v>
      </c>
      <c r="H243">
        <v>0.99</v>
      </c>
      <c r="I243">
        <v>1.63</v>
      </c>
      <c r="J243">
        <v>1.06</v>
      </c>
      <c r="K243">
        <v>1.41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1.65</v>
      </c>
      <c r="F244">
        <v>1.7</v>
      </c>
      <c r="G244">
        <v>0.42</v>
      </c>
      <c r="H244">
        <v>1.07</v>
      </c>
      <c r="I244">
        <v>2.33</v>
      </c>
      <c r="J244">
        <v>1.28</v>
      </c>
      <c r="K244">
        <v>1.88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1.9</v>
      </c>
      <c r="F245">
        <v>1.92</v>
      </c>
      <c r="G245">
        <v>0.44</v>
      </c>
      <c r="H245">
        <v>1.17</v>
      </c>
      <c r="I245">
        <v>2.89</v>
      </c>
      <c r="J245">
        <v>1.65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2.23</v>
      </c>
      <c r="F246">
        <v>2.29</v>
      </c>
      <c r="G246">
        <v>0.57999999999999996</v>
      </c>
      <c r="H246">
        <v>1.35</v>
      </c>
      <c r="I246">
        <v>3.47</v>
      </c>
      <c r="J246">
        <v>1.7</v>
      </c>
      <c r="K246">
        <v>2.65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2.4900000000000002</v>
      </c>
      <c r="F247">
        <v>2.6</v>
      </c>
      <c r="G247">
        <v>0.55000000000000004</v>
      </c>
      <c r="H247">
        <v>1.52</v>
      </c>
      <c r="I247">
        <v>3.4</v>
      </c>
      <c r="J247">
        <v>2.13</v>
      </c>
      <c r="K247">
        <v>2.89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2.63</v>
      </c>
      <c r="F248">
        <v>2.75</v>
      </c>
      <c r="G248">
        <v>0.63</v>
      </c>
      <c r="H248">
        <v>1.58</v>
      </c>
      <c r="I248">
        <v>3.51</v>
      </c>
      <c r="J248">
        <v>2.2000000000000002</v>
      </c>
      <c r="K248">
        <v>3.09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48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48</v>
      </c>
      <c r="E250">
        <v>1.05</v>
      </c>
      <c r="F250">
        <v>1.03</v>
      </c>
      <c r="G250">
        <v>0.08</v>
      </c>
      <c r="H250">
        <v>0.94</v>
      </c>
      <c r="I250">
        <v>1.3</v>
      </c>
      <c r="J250">
        <v>0.99</v>
      </c>
      <c r="K250">
        <v>1.07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48</v>
      </c>
      <c r="E251">
        <v>1.21</v>
      </c>
      <c r="F251">
        <v>1.21</v>
      </c>
      <c r="G251">
        <v>0.15</v>
      </c>
      <c r="H251">
        <v>1.01</v>
      </c>
      <c r="I251">
        <v>1.74</v>
      </c>
      <c r="J251">
        <v>1.08</v>
      </c>
      <c r="K251">
        <v>1.28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48</v>
      </c>
      <c r="E252">
        <v>1.25</v>
      </c>
      <c r="F252">
        <v>1.1499999999999999</v>
      </c>
      <c r="G252">
        <v>0.23</v>
      </c>
      <c r="H252">
        <v>1.01</v>
      </c>
      <c r="I252">
        <v>2.08</v>
      </c>
      <c r="J252">
        <v>1.0900000000000001</v>
      </c>
      <c r="K252">
        <v>1.36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48</v>
      </c>
      <c r="E253">
        <v>1.33</v>
      </c>
      <c r="F253">
        <v>1.28</v>
      </c>
      <c r="G253">
        <v>0.25</v>
      </c>
      <c r="H253">
        <v>1.03</v>
      </c>
      <c r="I253">
        <v>2.33</v>
      </c>
      <c r="J253">
        <v>1.1499999999999999</v>
      </c>
      <c r="K253">
        <v>1.38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48</v>
      </c>
      <c r="E254">
        <v>1.42</v>
      </c>
      <c r="F254">
        <v>1.36</v>
      </c>
      <c r="G254">
        <v>0.28000000000000003</v>
      </c>
      <c r="H254">
        <v>1.05</v>
      </c>
      <c r="I254">
        <v>2.48</v>
      </c>
      <c r="J254">
        <v>1.31</v>
      </c>
      <c r="K254">
        <v>1.53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48</v>
      </c>
      <c r="E255">
        <v>1.44</v>
      </c>
      <c r="F255">
        <v>1.38</v>
      </c>
      <c r="G255">
        <v>0.31</v>
      </c>
      <c r="H255">
        <v>1.07</v>
      </c>
      <c r="I255">
        <v>2.71</v>
      </c>
      <c r="J255">
        <v>1.23</v>
      </c>
      <c r="K255">
        <v>1.57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1.51</v>
      </c>
      <c r="F257">
        <v>1.28</v>
      </c>
      <c r="G257">
        <v>0.77</v>
      </c>
      <c r="H257">
        <v>0</v>
      </c>
      <c r="I257">
        <v>4.42</v>
      </c>
      <c r="J257">
        <v>1.1499999999999999</v>
      </c>
      <c r="K257">
        <v>1.67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2.5299999999999998</v>
      </c>
      <c r="F258">
        <v>2.4300000000000002</v>
      </c>
      <c r="G258">
        <v>1.1000000000000001</v>
      </c>
      <c r="H258">
        <v>-0.22</v>
      </c>
      <c r="I258">
        <v>6.22</v>
      </c>
      <c r="J258">
        <v>1.92</v>
      </c>
      <c r="K258">
        <v>2.96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2.89</v>
      </c>
      <c r="F259">
        <v>2.37</v>
      </c>
      <c r="G259">
        <v>1.73</v>
      </c>
      <c r="H259">
        <v>0</v>
      </c>
      <c r="I259">
        <v>7.52</v>
      </c>
      <c r="J259">
        <v>1.78</v>
      </c>
      <c r="K259">
        <v>3.5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3.6</v>
      </c>
      <c r="F260">
        <v>2.83</v>
      </c>
      <c r="G260">
        <v>2.31</v>
      </c>
      <c r="H260">
        <v>-0.16</v>
      </c>
      <c r="I260">
        <v>8.8699999999999992</v>
      </c>
      <c r="J260">
        <v>2.37</v>
      </c>
      <c r="K260">
        <v>3.58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3.79</v>
      </c>
      <c r="F261">
        <v>2.82</v>
      </c>
      <c r="G261">
        <v>3.2</v>
      </c>
      <c r="H261">
        <v>-0.53</v>
      </c>
      <c r="I261">
        <v>10.8</v>
      </c>
      <c r="J261">
        <v>2.25</v>
      </c>
      <c r="K261">
        <v>4.0599999999999996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3.83</v>
      </c>
      <c r="F262">
        <v>2.56</v>
      </c>
      <c r="G262">
        <v>3.75</v>
      </c>
      <c r="H262">
        <v>-0.45</v>
      </c>
      <c r="I262">
        <v>11.68</v>
      </c>
      <c r="J262">
        <v>2.19</v>
      </c>
      <c r="K262">
        <v>3.55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1.1399999999999999</v>
      </c>
      <c r="F264">
        <v>1.08</v>
      </c>
      <c r="G264">
        <v>0.22</v>
      </c>
      <c r="H264">
        <v>0.78</v>
      </c>
      <c r="I264">
        <v>2.04</v>
      </c>
      <c r="J264">
        <v>1.04</v>
      </c>
      <c r="K264">
        <v>1.1200000000000001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1.95</v>
      </c>
      <c r="F265">
        <v>1.48</v>
      </c>
      <c r="G265">
        <v>1.66</v>
      </c>
      <c r="H265">
        <v>0.68</v>
      </c>
      <c r="I265">
        <v>9.11</v>
      </c>
      <c r="J265">
        <v>1.26</v>
      </c>
      <c r="K265">
        <v>1.77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2.4500000000000002</v>
      </c>
      <c r="F266">
        <v>1.79</v>
      </c>
      <c r="G266">
        <v>2.2999999999999998</v>
      </c>
      <c r="H266">
        <v>0.82</v>
      </c>
      <c r="I266">
        <v>12.94</v>
      </c>
      <c r="J266">
        <v>1.56</v>
      </c>
      <c r="K266">
        <v>2.08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3.56</v>
      </c>
      <c r="F267">
        <v>2.17</v>
      </c>
      <c r="G267">
        <v>3.41</v>
      </c>
      <c r="H267">
        <v>-0.34</v>
      </c>
      <c r="I267">
        <v>14.86</v>
      </c>
      <c r="J267">
        <v>1.8</v>
      </c>
      <c r="K267">
        <v>3.28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2.54</v>
      </c>
      <c r="F268">
        <v>2.2200000000000002</v>
      </c>
      <c r="G268">
        <v>1.72</v>
      </c>
      <c r="H268">
        <v>-0.35</v>
      </c>
      <c r="I268">
        <v>9.7200000000000006</v>
      </c>
      <c r="J268">
        <v>1.77</v>
      </c>
      <c r="K268">
        <v>2.81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3.11</v>
      </c>
      <c r="F269">
        <v>2.0099999999999998</v>
      </c>
      <c r="G269">
        <v>4.62</v>
      </c>
      <c r="H269">
        <v>-0.73</v>
      </c>
      <c r="I269">
        <v>22.48</v>
      </c>
      <c r="J269">
        <v>1.2</v>
      </c>
      <c r="K269">
        <v>2.7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166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1.19</v>
      </c>
      <c r="F271">
        <v>1.1000000000000001</v>
      </c>
      <c r="G271">
        <v>0.28000000000000003</v>
      </c>
      <c r="H271">
        <v>0.84</v>
      </c>
      <c r="I271">
        <v>2.5099999999999998</v>
      </c>
      <c r="J271">
        <v>1.01</v>
      </c>
      <c r="K271">
        <v>1.25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1.63</v>
      </c>
      <c r="F272">
        <v>1.53</v>
      </c>
      <c r="G272">
        <v>0.47</v>
      </c>
      <c r="H272">
        <v>0.84</v>
      </c>
      <c r="I272">
        <v>3.55</v>
      </c>
      <c r="J272">
        <v>1.3</v>
      </c>
      <c r="K272">
        <v>1.76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1.92</v>
      </c>
      <c r="F273">
        <v>1.55</v>
      </c>
      <c r="G273">
        <v>0.88</v>
      </c>
      <c r="H273">
        <v>0.93</v>
      </c>
      <c r="I273">
        <v>6.78</v>
      </c>
      <c r="J273">
        <v>1.37</v>
      </c>
      <c r="K273">
        <v>2.27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2.2599999999999998</v>
      </c>
      <c r="F274">
        <v>1.89</v>
      </c>
      <c r="G274">
        <v>0.99</v>
      </c>
      <c r="H274">
        <v>0.89</v>
      </c>
      <c r="I274">
        <v>5.87</v>
      </c>
      <c r="J274">
        <v>1.58</v>
      </c>
      <c r="K274">
        <v>2.85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2.65</v>
      </c>
      <c r="F275">
        <v>2.14</v>
      </c>
      <c r="G275">
        <v>1.18</v>
      </c>
      <c r="H275">
        <v>0.65</v>
      </c>
      <c r="I275">
        <v>6.25</v>
      </c>
      <c r="J275">
        <v>1.84</v>
      </c>
      <c r="K275">
        <v>3.29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2.64</v>
      </c>
      <c r="F276">
        <v>2.2999999999999998</v>
      </c>
      <c r="G276">
        <v>1.49</v>
      </c>
      <c r="H276">
        <v>-0.54</v>
      </c>
      <c r="I276">
        <v>7.44</v>
      </c>
      <c r="J276">
        <v>1.82</v>
      </c>
      <c r="K276">
        <v>3.11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51</v>
      </c>
      <c r="E278">
        <v>1.27</v>
      </c>
      <c r="F278">
        <v>1.19</v>
      </c>
      <c r="G278">
        <v>0.19</v>
      </c>
      <c r="H278">
        <v>0.97</v>
      </c>
      <c r="I278">
        <v>1.72</v>
      </c>
      <c r="J278">
        <v>1.1200000000000001</v>
      </c>
      <c r="K278">
        <v>1.35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51</v>
      </c>
      <c r="E279">
        <v>1.55</v>
      </c>
      <c r="F279">
        <v>1.46</v>
      </c>
      <c r="G279">
        <v>0.39</v>
      </c>
      <c r="H279">
        <v>1</v>
      </c>
      <c r="I279">
        <v>2.66</v>
      </c>
      <c r="J279">
        <v>1.25</v>
      </c>
      <c r="K279">
        <v>1.61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51</v>
      </c>
      <c r="E280">
        <v>1.62</v>
      </c>
      <c r="F280">
        <v>1.53</v>
      </c>
      <c r="G280">
        <v>0.28999999999999998</v>
      </c>
      <c r="H280">
        <v>1.01</v>
      </c>
      <c r="I280">
        <v>2.35</v>
      </c>
      <c r="J280">
        <v>1.39</v>
      </c>
      <c r="K280">
        <v>1.83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51</v>
      </c>
      <c r="E281">
        <v>1.84</v>
      </c>
      <c r="F281">
        <v>1.64</v>
      </c>
      <c r="G281">
        <v>0.44</v>
      </c>
      <c r="H281">
        <v>1</v>
      </c>
      <c r="I281">
        <v>2.79</v>
      </c>
      <c r="J281">
        <v>1.45</v>
      </c>
      <c r="K281">
        <v>2.19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51</v>
      </c>
      <c r="E282">
        <v>2.17</v>
      </c>
      <c r="F282">
        <v>1.9</v>
      </c>
      <c r="G282">
        <v>0.52</v>
      </c>
      <c r="H282">
        <v>1</v>
      </c>
      <c r="I282">
        <v>3.16</v>
      </c>
      <c r="J282">
        <v>1.75</v>
      </c>
      <c r="K282">
        <v>2.6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51</v>
      </c>
      <c r="E283">
        <v>2.19</v>
      </c>
      <c r="F283">
        <v>1.95</v>
      </c>
      <c r="G283">
        <v>0.73</v>
      </c>
      <c r="H283">
        <v>0.92</v>
      </c>
      <c r="I283">
        <v>3.5</v>
      </c>
      <c r="J283">
        <v>1.56</v>
      </c>
      <c r="K283">
        <v>2.85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1.01</v>
      </c>
      <c r="F285">
        <v>1.05</v>
      </c>
      <c r="G285">
        <v>0.17</v>
      </c>
      <c r="H285">
        <v>0.65</v>
      </c>
      <c r="I285">
        <v>1.42</v>
      </c>
      <c r="J285">
        <v>0.85</v>
      </c>
      <c r="K285">
        <v>1.1000000000000001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1.24</v>
      </c>
      <c r="F286">
        <v>1.25</v>
      </c>
      <c r="G286">
        <v>0.12</v>
      </c>
      <c r="H286">
        <v>1</v>
      </c>
      <c r="I286">
        <v>1.5</v>
      </c>
      <c r="J286">
        <v>1.1499999999999999</v>
      </c>
      <c r="K286">
        <v>1.34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1.19</v>
      </c>
      <c r="F287">
        <v>1.18</v>
      </c>
      <c r="G287">
        <v>0.18</v>
      </c>
      <c r="H287">
        <v>0.9</v>
      </c>
      <c r="I287">
        <v>1.58</v>
      </c>
      <c r="J287">
        <v>1.03</v>
      </c>
      <c r="K287">
        <v>1.33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1.31</v>
      </c>
      <c r="F288">
        <v>1.3</v>
      </c>
      <c r="G288">
        <v>0.19</v>
      </c>
      <c r="H288">
        <v>0.97</v>
      </c>
      <c r="I288">
        <v>1.75</v>
      </c>
      <c r="J288">
        <v>1.19</v>
      </c>
      <c r="K288">
        <v>1.45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1.4</v>
      </c>
      <c r="F289">
        <v>1.4</v>
      </c>
      <c r="G289">
        <v>0.2</v>
      </c>
      <c r="H289">
        <v>0.98</v>
      </c>
      <c r="I289">
        <v>1.79</v>
      </c>
      <c r="J289">
        <v>1.31</v>
      </c>
      <c r="K289">
        <v>1.53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1.5</v>
      </c>
      <c r="F290">
        <v>1.5</v>
      </c>
      <c r="G290">
        <v>0.26</v>
      </c>
      <c r="H290">
        <v>0.98</v>
      </c>
      <c r="I290">
        <v>2.06</v>
      </c>
      <c r="J290">
        <v>1.36</v>
      </c>
      <c r="K290">
        <v>1.65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3.65</v>
      </c>
      <c r="F292">
        <v>3.17</v>
      </c>
      <c r="G292">
        <v>2.33</v>
      </c>
      <c r="H292">
        <v>1.0900000000000001</v>
      </c>
      <c r="I292">
        <v>10.06</v>
      </c>
      <c r="J292">
        <v>1.83</v>
      </c>
      <c r="K292">
        <v>4.5999999999999996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6.51</v>
      </c>
      <c r="F293">
        <v>6.66</v>
      </c>
      <c r="G293">
        <v>3.35</v>
      </c>
      <c r="H293">
        <v>1.94</v>
      </c>
      <c r="I293">
        <v>15.67</v>
      </c>
      <c r="J293">
        <v>3.38</v>
      </c>
      <c r="K293">
        <v>8.2100000000000009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8.9</v>
      </c>
      <c r="F294">
        <v>8.35</v>
      </c>
      <c r="G294">
        <v>6.19</v>
      </c>
      <c r="H294">
        <v>1.22</v>
      </c>
      <c r="I294">
        <v>19.03</v>
      </c>
      <c r="J294">
        <v>2.8</v>
      </c>
      <c r="K294">
        <v>15.35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12.11</v>
      </c>
      <c r="F295">
        <v>10.55</v>
      </c>
      <c r="G295">
        <v>8.74</v>
      </c>
      <c r="H295">
        <v>2.25</v>
      </c>
      <c r="I295">
        <v>22.53</v>
      </c>
      <c r="J295">
        <v>3.04</v>
      </c>
      <c r="K295">
        <v>21.53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14.94</v>
      </c>
      <c r="F296">
        <v>12.28</v>
      </c>
      <c r="G296">
        <v>11.12</v>
      </c>
      <c r="H296">
        <v>2.57</v>
      </c>
      <c r="I296">
        <v>27.45</v>
      </c>
      <c r="J296">
        <v>3.15</v>
      </c>
      <c r="K296">
        <v>26.87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16.52</v>
      </c>
      <c r="F297">
        <v>13.46</v>
      </c>
      <c r="G297">
        <v>13.11</v>
      </c>
      <c r="H297">
        <v>2.06</v>
      </c>
      <c r="I297">
        <v>31.24</v>
      </c>
      <c r="J297">
        <v>2.75</v>
      </c>
      <c r="K297">
        <v>31.19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18</v>
      </c>
      <c r="E299">
        <v>1.68</v>
      </c>
      <c r="F299">
        <v>1.49</v>
      </c>
      <c r="G299">
        <v>0.48</v>
      </c>
      <c r="H299">
        <v>1.05</v>
      </c>
      <c r="I299">
        <v>2.5099999999999998</v>
      </c>
      <c r="J299">
        <v>1.27</v>
      </c>
      <c r="K299">
        <v>2.0699999999999998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18</v>
      </c>
      <c r="E300">
        <v>2.42</v>
      </c>
      <c r="F300">
        <v>2.3199999999999998</v>
      </c>
      <c r="G300">
        <v>0.43</v>
      </c>
      <c r="H300">
        <v>1.58</v>
      </c>
      <c r="I300">
        <v>3.23</v>
      </c>
      <c r="J300">
        <v>2.09</v>
      </c>
      <c r="K300">
        <v>2.8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18</v>
      </c>
      <c r="E301">
        <v>5.21</v>
      </c>
      <c r="F301">
        <v>2.39</v>
      </c>
      <c r="G301">
        <v>6.04</v>
      </c>
      <c r="H301">
        <v>1.71</v>
      </c>
      <c r="I301">
        <v>21.88</v>
      </c>
      <c r="J301">
        <v>1.89</v>
      </c>
      <c r="K301">
        <v>4.17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18</v>
      </c>
      <c r="E302">
        <v>6.92</v>
      </c>
      <c r="F302">
        <v>3.64</v>
      </c>
      <c r="G302">
        <v>7.52</v>
      </c>
      <c r="H302">
        <v>2.13</v>
      </c>
      <c r="I302">
        <v>30.5</v>
      </c>
      <c r="J302">
        <v>2.29</v>
      </c>
      <c r="K302">
        <v>10.38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18</v>
      </c>
      <c r="E303">
        <v>5.77</v>
      </c>
      <c r="F303">
        <v>3.78</v>
      </c>
      <c r="G303">
        <v>6.23</v>
      </c>
      <c r="H303">
        <v>1.73</v>
      </c>
      <c r="I303">
        <v>26.11</v>
      </c>
      <c r="J303">
        <v>2.2000000000000002</v>
      </c>
      <c r="K303">
        <v>5.0199999999999996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18</v>
      </c>
      <c r="E304">
        <v>4.47</v>
      </c>
      <c r="F304">
        <v>3.61</v>
      </c>
      <c r="G304">
        <v>2.64</v>
      </c>
      <c r="H304">
        <v>1.98</v>
      </c>
      <c r="I304">
        <v>11.03</v>
      </c>
      <c r="J304">
        <v>2.31</v>
      </c>
      <c r="K304">
        <v>5.76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2.08</v>
      </c>
      <c r="F306">
        <v>1.69</v>
      </c>
      <c r="G306">
        <v>0.96</v>
      </c>
      <c r="H306">
        <v>1.04</v>
      </c>
      <c r="I306">
        <v>5.21</v>
      </c>
      <c r="J306">
        <v>1.47</v>
      </c>
      <c r="K306">
        <v>3.02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3.41</v>
      </c>
      <c r="F307">
        <v>2.21</v>
      </c>
      <c r="G307">
        <v>2.6</v>
      </c>
      <c r="H307">
        <v>1.07</v>
      </c>
      <c r="I307">
        <v>9.44</v>
      </c>
      <c r="J307">
        <v>2</v>
      </c>
      <c r="K307">
        <v>4.3899999999999997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3.93</v>
      </c>
      <c r="F308">
        <v>3.34</v>
      </c>
      <c r="G308">
        <v>2.38</v>
      </c>
      <c r="H308">
        <v>1.27</v>
      </c>
      <c r="I308">
        <v>10.14</v>
      </c>
      <c r="J308">
        <v>1.73</v>
      </c>
      <c r="K308">
        <v>5.6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5.2</v>
      </c>
      <c r="F309">
        <v>3.65</v>
      </c>
      <c r="G309">
        <v>3.61</v>
      </c>
      <c r="H309">
        <v>1.41</v>
      </c>
      <c r="I309">
        <v>16.489999999999998</v>
      </c>
      <c r="J309">
        <v>2.02</v>
      </c>
      <c r="K309">
        <v>7.66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6</v>
      </c>
      <c r="F310">
        <v>3.94</v>
      </c>
      <c r="G310">
        <v>4.3</v>
      </c>
      <c r="H310">
        <v>1.59</v>
      </c>
      <c r="I310">
        <v>15.42</v>
      </c>
      <c r="J310">
        <v>2.11</v>
      </c>
      <c r="K310">
        <v>8.92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6.68</v>
      </c>
      <c r="F311">
        <v>4.28</v>
      </c>
      <c r="G311">
        <v>4.93</v>
      </c>
      <c r="H311">
        <v>1.73</v>
      </c>
      <c r="I311">
        <v>18.84</v>
      </c>
      <c r="J311">
        <v>2.44</v>
      </c>
      <c r="K311">
        <v>10.01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27</v>
      </c>
      <c r="E313">
        <v>1.81</v>
      </c>
      <c r="F313">
        <v>1.6</v>
      </c>
      <c r="G313">
        <v>0.72</v>
      </c>
      <c r="H313">
        <v>1.04</v>
      </c>
      <c r="I313">
        <v>3.14</v>
      </c>
      <c r="J313">
        <v>1.27</v>
      </c>
      <c r="K313">
        <v>2.25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27</v>
      </c>
      <c r="E314">
        <v>3.21</v>
      </c>
      <c r="F314">
        <v>2.29</v>
      </c>
      <c r="G314">
        <v>2.76</v>
      </c>
      <c r="H314">
        <v>1.07</v>
      </c>
      <c r="I314">
        <v>9.44</v>
      </c>
      <c r="J314">
        <v>1.25</v>
      </c>
      <c r="K314">
        <v>3.11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27</v>
      </c>
      <c r="E315">
        <v>3.1</v>
      </c>
      <c r="F315">
        <v>3.23</v>
      </c>
      <c r="G315">
        <v>1.31</v>
      </c>
      <c r="H315">
        <v>1.03</v>
      </c>
      <c r="I315">
        <v>5.63</v>
      </c>
      <c r="J315">
        <v>2.63</v>
      </c>
      <c r="K315">
        <v>3.77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27</v>
      </c>
      <c r="E316">
        <v>4.16</v>
      </c>
      <c r="F316">
        <v>4.26</v>
      </c>
      <c r="G316">
        <v>2</v>
      </c>
      <c r="H316">
        <v>1.1599999999999999</v>
      </c>
      <c r="I316">
        <v>10.17</v>
      </c>
      <c r="J316">
        <v>3.64</v>
      </c>
      <c r="K316">
        <v>4.99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27</v>
      </c>
      <c r="E317">
        <v>4.83</v>
      </c>
      <c r="F317">
        <v>4.8499999999999996</v>
      </c>
      <c r="G317">
        <v>2.5</v>
      </c>
      <c r="H317">
        <v>1.28</v>
      </c>
      <c r="I317">
        <v>12.27</v>
      </c>
      <c r="J317">
        <v>4.1100000000000003</v>
      </c>
      <c r="K317">
        <v>5.87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27</v>
      </c>
      <c r="E318">
        <v>4.97</v>
      </c>
      <c r="F318">
        <v>5.51</v>
      </c>
      <c r="G318">
        <v>2.31</v>
      </c>
      <c r="H318">
        <v>1.41</v>
      </c>
      <c r="I318">
        <v>9.44</v>
      </c>
      <c r="J318">
        <v>4.01</v>
      </c>
      <c r="K318">
        <v>6.4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1.04</v>
      </c>
      <c r="F320">
        <v>1.03</v>
      </c>
      <c r="G320">
        <v>0.05</v>
      </c>
      <c r="H320">
        <v>0.98</v>
      </c>
      <c r="I320">
        <v>1.2</v>
      </c>
      <c r="J320">
        <v>1.02</v>
      </c>
      <c r="K320">
        <v>1.04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1.1100000000000001</v>
      </c>
      <c r="F321">
        <v>1.08</v>
      </c>
      <c r="G321">
        <v>0.12</v>
      </c>
      <c r="H321">
        <v>0.91</v>
      </c>
      <c r="I321">
        <v>1.43</v>
      </c>
      <c r="J321">
        <v>1.05</v>
      </c>
      <c r="K321">
        <v>1.1000000000000001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1.1100000000000001</v>
      </c>
      <c r="F322">
        <v>1.0900000000000001</v>
      </c>
      <c r="G322">
        <v>0.12</v>
      </c>
      <c r="H322">
        <v>0.83</v>
      </c>
      <c r="I322">
        <v>1.33</v>
      </c>
      <c r="J322">
        <v>1.07</v>
      </c>
      <c r="K322">
        <v>1.21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1.1599999999999999</v>
      </c>
      <c r="F323">
        <v>1.1000000000000001</v>
      </c>
      <c r="G323">
        <v>0.18</v>
      </c>
      <c r="H323">
        <v>0.78</v>
      </c>
      <c r="I323">
        <v>1.46</v>
      </c>
      <c r="J323">
        <v>1.08</v>
      </c>
      <c r="K323">
        <v>1.32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1.24</v>
      </c>
      <c r="F324">
        <v>1.1200000000000001</v>
      </c>
      <c r="G324">
        <v>0.22</v>
      </c>
      <c r="H324">
        <v>0.98</v>
      </c>
      <c r="I324">
        <v>1.69</v>
      </c>
      <c r="J324">
        <v>1.0900000000000001</v>
      </c>
      <c r="K324">
        <v>1.42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1.28</v>
      </c>
      <c r="F325">
        <v>1.1399999999999999</v>
      </c>
      <c r="G325">
        <v>0.28999999999999998</v>
      </c>
      <c r="H325">
        <v>0.91</v>
      </c>
      <c r="I325">
        <v>1.79</v>
      </c>
      <c r="J325">
        <v>1.0900000000000001</v>
      </c>
      <c r="K325">
        <v>1.55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6</v>
      </c>
      <c r="E327">
        <v>1.03</v>
      </c>
      <c r="F327">
        <v>1.03</v>
      </c>
      <c r="G327">
        <v>0</v>
      </c>
      <c r="H327">
        <v>1.02</v>
      </c>
      <c r="I327">
        <v>1.04</v>
      </c>
      <c r="J327">
        <v>1.03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6</v>
      </c>
      <c r="E328">
        <v>1</v>
      </c>
      <c r="F328">
        <v>0.99</v>
      </c>
      <c r="G328">
        <v>0.02</v>
      </c>
      <c r="H328">
        <v>0.98</v>
      </c>
      <c r="I328">
        <v>1.02</v>
      </c>
      <c r="J328">
        <v>0.98</v>
      </c>
      <c r="K328">
        <v>1.01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6</v>
      </c>
      <c r="E329">
        <v>1.03</v>
      </c>
      <c r="F329">
        <v>1.02</v>
      </c>
      <c r="G329">
        <v>0.02</v>
      </c>
      <c r="H329">
        <v>1.02</v>
      </c>
      <c r="I329">
        <v>1.06</v>
      </c>
      <c r="J329">
        <v>1.02</v>
      </c>
      <c r="K329">
        <v>1.03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6</v>
      </c>
      <c r="E330">
        <v>1.07</v>
      </c>
      <c r="F330">
        <v>1.06</v>
      </c>
      <c r="G330">
        <v>0.02</v>
      </c>
      <c r="H330">
        <v>1.05</v>
      </c>
      <c r="I330">
        <v>1.1000000000000001</v>
      </c>
      <c r="J330">
        <v>1.06</v>
      </c>
      <c r="K330">
        <v>1.07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6</v>
      </c>
      <c r="E331">
        <v>1</v>
      </c>
      <c r="F331">
        <v>1</v>
      </c>
      <c r="G331">
        <v>0.01</v>
      </c>
      <c r="H331">
        <v>1</v>
      </c>
      <c r="I331">
        <v>1.02</v>
      </c>
      <c r="J331">
        <v>1</v>
      </c>
      <c r="K331">
        <v>1.01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6</v>
      </c>
      <c r="E332">
        <v>0.96</v>
      </c>
      <c r="F332">
        <v>0.96</v>
      </c>
      <c r="G332">
        <v>0.01</v>
      </c>
      <c r="H332">
        <v>0.95</v>
      </c>
      <c r="I332">
        <v>0.97</v>
      </c>
      <c r="J332">
        <v>0.96</v>
      </c>
      <c r="K332">
        <v>0.96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1.02</v>
      </c>
      <c r="F334">
        <v>1.02</v>
      </c>
      <c r="G334">
        <v>0.01</v>
      </c>
      <c r="H334">
        <v>1</v>
      </c>
      <c r="I334">
        <v>1.03</v>
      </c>
      <c r="J334">
        <v>1.01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1.01</v>
      </c>
      <c r="F335">
        <v>1.02</v>
      </c>
      <c r="G335">
        <v>0.03</v>
      </c>
      <c r="H335">
        <v>0.95</v>
      </c>
      <c r="I335">
        <v>1.04</v>
      </c>
      <c r="J335">
        <v>0.99</v>
      </c>
      <c r="K335">
        <v>1.03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0.99</v>
      </c>
      <c r="F336">
        <v>1.01</v>
      </c>
      <c r="G336">
        <v>0.06</v>
      </c>
      <c r="H336">
        <v>0.89</v>
      </c>
      <c r="I336">
        <v>1.06</v>
      </c>
      <c r="J336">
        <v>0.96</v>
      </c>
      <c r="K336">
        <v>1.03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0.97</v>
      </c>
      <c r="F337">
        <v>0.99</v>
      </c>
      <c r="G337">
        <v>0.05</v>
      </c>
      <c r="H337">
        <v>0.89</v>
      </c>
      <c r="I337">
        <v>1.03</v>
      </c>
      <c r="J337">
        <v>0.94</v>
      </c>
      <c r="K337">
        <v>1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0.94</v>
      </c>
      <c r="F338">
        <v>0.94</v>
      </c>
      <c r="G338">
        <v>0.04</v>
      </c>
      <c r="H338">
        <v>0.9</v>
      </c>
      <c r="I338">
        <v>0.99</v>
      </c>
      <c r="J338">
        <v>0.92</v>
      </c>
      <c r="K338">
        <v>0.97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0.97</v>
      </c>
      <c r="F339">
        <v>0.95</v>
      </c>
      <c r="G339">
        <v>0.05</v>
      </c>
      <c r="H339">
        <v>0.93</v>
      </c>
      <c r="I339">
        <v>1.04</v>
      </c>
      <c r="J339">
        <v>0.94</v>
      </c>
      <c r="K339">
        <v>1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1.06</v>
      </c>
      <c r="F341">
        <v>1.04</v>
      </c>
      <c r="G341">
        <v>0.06</v>
      </c>
      <c r="H341">
        <v>0.97</v>
      </c>
      <c r="I341">
        <v>1.18</v>
      </c>
      <c r="J341">
        <v>1.03</v>
      </c>
      <c r="K341">
        <v>1.1100000000000001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1.06</v>
      </c>
      <c r="F342">
        <v>1.02</v>
      </c>
      <c r="G342">
        <v>0.15</v>
      </c>
      <c r="H342">
        <v>0.8</v>
      </c>
      <c r="I342">
        <v>1.55</v>
      </c>
      <c r="J342">
        <v>1.01</v>
      </c>
      <c r="K342">
        <v>1.06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1.24</v>
      </c>
      <c r="F343">
        <v>1.1399999999999999</v>
      </c>
      <c r="G343">
        <v>0.27</v>
      </c>
      <c r="H343">
        <v>0.96</v>
      </c>
      <c r="I343">
        <v>1.86</v>
      </c>
      <c r="J343">
        <v>1</v>
      </c>
      <c r="K343">
        <v>1.43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</v>
      </c>
      <c r="F344">
        <v>1.19</v>
      </c>
      <c r="G344">
        <v>0.61</v>
      </c>
      <c r="H344">
        <v>0.91</v>
      </c>
      <c r="I344">
        <v>2.72</v>
      </c>
      <c r="J344">
        <v>0.98</v>
      </c>
      <c r="K344">
        <v>1.93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1.85</v>
      </c>
      <c r="F345">
        <v>1.42</v>
      </c>
      <c r="G345">
        <v>1.08</v>
      </c>
      <c r="H345">
        <v>0.84</v>
      </c>
      <c r="I345">
        <v>3.9</v>
      </c>
      <c r="J345">
        <v>0.92</v>
      </c>
      <c r="K345">
        <v>2.5099999999999998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2.25</v>
      </c>
      <c r="F346">
        <v>1.79</v>
      </c>
      <c r="G346">
        <v>1.54</v>
      </c>
      <c r="H346">
        <v>0.81</v>
      </c>
      <c r="I346">
        <v>5.0199999999999996</v>
      </c>
      <c r="J346">
        <v>0.9</v>
      </c>
      <c r="K346">
        <v>3.07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1.1299999999999999</v>
      </c>
      <c r="F348">
        <v>1.1499999999999999</v>
      </c>
      <c r="G348">
        <v>0.06</v>
      </c>
      <c r="H348">
        <v>1.05</v>
      </c>
      <c r="I348">
        <v>1.18</v>
      </c>
      <c r="J348">
        <v>1.0900000000000001</v>
      </c>
      <c r="K348">
        <v>1.18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1.02</v>
      </c>
      <c r="F349">
        <v>1.02</v>
      </c>
      <c r="G349">
        <v>0.03</v>
      </c>
      <c r="H349">
        <v>0.96</v>
      </c>
      <c r="I349">
        <v>1.05</v>
      </c>
      <c r="J349">
        <v>1.02</v>
      </c>
      <c r="K349">
        <v>1.02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1.04</v>
      </c>
      <c r="F350">
        <v>1.04</v>
      </c>
      <c r="G350">
        <v>0.08</v>
      </c>
      <c r="H350">
        <v>0.96</v>
      </c>
      <c r="I350">
        <v>1.17</v>
      </c>
      <c r="J350">
        <v>0.97</v>
      </c>
      <c r="K350">
        <v>1.0900000000000001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1.17</v>
      </c>
      <c r="F351">
        <v>1.1000000000000001</v>
      </c>
      <c r="G351">
        <v>0.15</v>
      </c>
      <c r="H351">
        <v>1.05</v>
      </c>
      <c r="I351">
        <v>1.51</v>
      </c>
      <c r="J351">
        <v>1.08</v>
      </c>
      <c r="K351">
        <v>1.2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1.48</v>
      </c>
      <c r="F352">
        <v>1.55</v>
      </c>
      <c r="G352">
        <v>0.21</v>
      </c>
      <c r="H352">
        <v>1.18</v>
      </c>
      <c r="I352">
        <v>1.78</v>
      </c>
      <c r="J352">
        <v>1.3</v>
      </c>
      <c r="K352">
        <v>1.62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2.0499999999999998</v>
      </c>
      <c r="F353">
        <v>1.94</v>
      </c>
      <c r="G353">
        <v>0.36</v>
      </c>
      <c r="H353">
        <v>1.55</v>
      </c>
      <c r="I353">
        <v>2.61</v>
      </c>
      <c r="J353">
        <v>1.81</v>
      </c>
      <c r="K353">
        <v>2.31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1.05</v>
      </c>
      <c r="F355">
        <v>1.03</v>
      </c>
      <c r="G355">
        <v>0.05</v>
      </c>
      <c r="H355">
        <v>1.02</v>
      </c>
      <c r="I355">
        <v>1.18</v>
      </c>
      <c r="J355">
        <v>1.03</v>
      </c>
      <c r="K355">
        <v>1.04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0.98</v>
      </c>
      <c r="F356">
        <v>1.01</v>
      </c>
      <c r="G356">
        <v>0.06</v>
      </c>
      <c r="H356">
        <v>0.86</v>
      </c>
      <c r="I356">
        <v>1.04</v>
      </c>
      <c r="J356">
        <v>0.97</v>
      </c>
      <c r="K356">
        <v>1.02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0.92</v>
      </c>
      <c r="F357">
        <v>0.93</v>
      </c>
      <c r="G357">
        <v>0.1</v>
      </c>
      <c r="H357">
        <v>0.78</v>
      </c>
      <c r="I357">
        <v>1.06</v>
      </c>
      <c r="J357">
        <v>0.86</v>
      </c>
      <c r="K357">
        <v>0.97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0.93</v>
      </c>
      <c r="F358">
        <v>0.94</v>
      </c>
      <c r="G358">
        <v>0.09</v>
      </c>
      <c r="H358">
        <v>0.75</v>
      </c>
      <c r="I358">
        <v>1.07</v>
      </c>
      <c r="J358">
        <v>0.88</v>
      </c>
      <c r="K358">
        <v>0.98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0.94</v>
      </c>
      <c r="F359">
        <v>0.92</v>
      </c>
      <c r="G359">
        <v>0.13</v>
      </c>
      <c r="H359">
        <v>0.76</v>
      </c>
      <c r="I359">
        <v>1.1599999999999999</v>
      </c>
      <c r="J359">
        <v>0.84</v>
      </c>
      <c r="K359">
        <v>1.02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0.96</v>
      </c>
      <c r="F360">
        <v>0.87</v>
      </c>
      <c r="G360">
        <v>0.2</v>
      </c>
      <c r="H360">
        <v>0.76</v>
      </c>
      <c r="I360">
        <v>1.36</v>
      </c>
      <c r="J360">
        <v>0.79</v>
      </c>
      <c r="K360">
        <v>1.07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3" x14ac:dyDescent="0.45">
      <c r="A10" t="str">
        <f>IFERROR(Veda!D5,"ts_12t")</f>
        <v>ts_annual</v>
      </c>
      <c r="B10" s="15"/>
      <c r="C10" s="15" t="s">
        <v>245</v>
      </c>
      <c r="D10" t="s">
        <v>124</v>
      </c>
      <c r="F10" t="s">
        <v>245</v>
      </c>
      <c r="G10" t="s">
        <v>126</v>
      </c>
      <c r="I10" t="s">
        <v>245</v>
      </c>
      <c r="J10" t="s">
        <v>106</v>
      </c>
      <c r="L10" t="s">
        <v>245</v>
      </c>
      <c r="M10" t="s">
        <v>131</v>
      </c>
    </row>
    <row r="11" spans="1:13" x14ac:dyDescent="0.45">
      <c r="B11" s="15"/>
      <c r="C11" s="15" t="s">
        <v>246</v>
      </c>
      <c r="D11" t="s">
        <v>247</v>
      </c>
      <c r="F11" t="s">
        <v>246</v>
      </c>
      <c r="G11" t="s">
        <v>298</v>
      </c>
      <c r="I11" t="s">
        <v>246</v>
      </c>
      <c r="J11" t="s">
        <v>302</v>
      </c>
      <c r="L11" t="s">
        <v>246</v>
      </c>
      <c r="M11" t="s">
        <v>321</v>
      </c>
    </row>
    <row r="12" spans="1:13" x14ac:dyDescent="0.45">
      <c r="B12" s="15"/>
      <c r="C12" s="15" t="s">
        <v>248</v>
      </c>
      <c r="D12" t="s">
        <v>249</v>
      </c>
      <c r="F12" t="s">
        <v>248</v>
      </c>
      <c r="G12" t="s">
        <v>299</v>
      </c>
      <c r="I12" t="s">
        <v>248</v>
      </c>
      <c r="J12" t="s">
        <v>302</v>
      </c>
      <c r="L12" t="s">
        <v>248</v>
      </c>
      <c r="M12" t="s">
        <v>322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14D87-B54A-451A-AD2C-865FC806B052}">
  <dimension ref="A9:AN4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161</v>
      </c>
      <c r="L10" t="s">
        <v>30</v>
      </c>
      <c r="N10" t="s">
        <v>13</v>
      </c>
      <c r="O10" t="s">
        <v>121</v>
      </c>
      <c r="P10" t="s">
        <v>161</v>
      </c>
      <c r="Q10" t="s">
        <v>30</v>
      </c>
      <c r="S10" t="s">
        <v>13</v>
      </c>
      <c r="T10" t="s">
        <v>121</v>
      </c>
      <c r="U10" t="s">
        <v>161</v>
      </c>
      <c r="V10" t="s">
        <v>30</v>
      </c>
      <c r="X10" t="s">
        <v>244</v>
      </c>
      <c r="Y10" t="s">
        <v>161</v>
      </c>
      <c r="Z10" t="s">
        <v>121</v>
      </c>
      <c r="AA10" t="s">
        <v>13</v>
      </c>
      <c r="AC10" t="s">
        <v>13</v>
      </c>
      <c r="AD10" t="s">
        <v>121</v>
      </c>
      <c r="AE10" t="s">
        <v>161</v>
      </c>
      <c r="AG10" t="s">
        <v>13</v>
      </c>
      <c r="AH10" t="s">
        <v>121</v>
      </c>
      <c r="AI10" t="s">
        <v>250</v>
      </c>
      <c r="AK10" t="s">
        <v>47</v>
      </c>
      <c r="AL10" t="s">
        <v>121</v>
      </c>
      <c r="AM10" t="s">
        <v>251</v>
      </c>
      <c r="AN10" t="s">
        <v>252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155</v>
      </c>
      <c r="G11" t="s">
        <v>153</v>
      </c>
      <c r="I11" t="s">
        <v>162</v>
      </c>
      <c r="J11" t="s">
        <v>163</v>
      </c>
      <c r="K11">
        <v>2.4357215580408872E-2</v>
      </c>
      <c r="L11" t="s">
        <v>164</v>
      </c>
      <c r="N11" t="s">
        <v>208</v>
      </c>
      <c r="O11" t="s">
        <v>163</v>
      </c>
      <c r="P11">
        <v>0.2331648445948987</v>
      </c>
      <c r="Q11" t="s">
        <v>164</v>
      </c>
      <c r="S11" t="s">
        <v>228</v>
      </c>
      <c r="T11" t="s">
        <v>163</v>
      </c>
      <c r="U11">
        <v>7.2747673873735597E-2</v>
      </c>
      <c r="V11" t="s">
        <v>164</v>
      </c>
      <c r="X11">
        <v>6.7351598173515978E-2</v>
      </c>
      <c r="Y11">
        <v>4.6996991770877364E-2</v>
      </c>
      <c r="Z11" t="s">
        <v>163</v>
      </c>
      <c r="AA11" t="s">
        <v>25</v>
      </c>
      <c r="AC11" t="s">
        <v>22</v>
      </c>
      <c r="AD11" t="s">
        <v>163</v>
      </c>
      <c r="AE11">
        <v>5.7420539592102283E-2</v>
      </c>
      <c r="AG11" t="s">
        <v>96</v>
      </c>
      <c r="AH11" t="s">
        <v>163</v>
      </c>
      <c r="AI11">
        <v>0.20529178317313512</v>
      </c>
      <c r="AK11">
        <v>2025</v>
      </c>
      <c r="AL11" t="s">
        <v>152</v>
      </c>
      <c r="AM11">
        <v>0.37660000000000005</v>
      </c>
      <c r="AN11" t="s">
        <v>253</v>
      </c>
    </row>
    <row r="12" spans="1:40" x14ac:dyDescent="0.45">
      <c r="C12" t="s">
        <v>156</v>
      </c>
      <c r="E12" t="s">
        <v>157</v>
      </c>
      <c r="G12" t="s">
        <v>153</v>
      </c>
      <c r="I12" t="s">
        <v>162</v>
      </c>
      <c r="J12" t="s">
        <v>165</v>
      </c>
      <c r="K12">
        <v>0.13843284232492326</v>
      </c>
      <c r="L12" t="s">
        <v>164</v>
      </c>
      <c r="N12" t="s">
        <v>208</v>
      </c>
      <c r="O12" t="s">
        <v>165</v>
      </c>
      <c r="P12">
        <v>0.14458970038017094</v>
      </c>
      <c r="Q12" t="s">
        <v>164</v>
      </c>
      <c r="S12" t="s">
        <v>228</v>
      </c>
      <c r="T12" t="s">
        <v>165</v>
      </c>
      <c r="U12">
        <v>6.2156649157542022E-2</v>
      </c>
      <c r="V12" t="s">
        <v>164</v>
      </c>
      <c r="X12">
        <v>5.3881278538812784E-2</v>
      </c>
      <c r="Y12">
        <v>7.9051952034076695E-2</v>
      </c>
      <c r="Z12" t="s">
        <v>165</v>
      </c>
      <c r="AA12" t="s">
        <v>25</v>
      </c>
      <c r="AC12" t="s">
        <v>22</v>
      </c>
      <c r="AD12" t="s">
        <v>165</v>
      </c>
      <c r="AE12">
        <v>4.7677271180739604E-2</v>
      </c>
      <c r="AG12" t="s">
        <v>96</v>
      </c>
      <c r="AH12" t="s">
        <v>165</v>
      </c>
      <c r="AI12">
        <v>0.14839769051666774</v>
      </c>
      <c r="AK12">
        <v>2025</v>
      </c>
      <c r="AL12" t="s">
        <v>156</v>
      </c>
      <c r="AM12">
        <v>0.31056666666666666</v>
      </c>
      <c r="AN12" t="s">
        <v>253</v>
      </c>
    </row>
    <row r="13" spans="1:40" x14ac:dyDescent="0.45">
      <c r="C13" t="s">
        <v>158</v>
      </c>
      <c r="E13" t="s">
        <v>159</v>
      </c>
      <c r="G13" t="s">
        <v>153</v>
      </c>
      <c r="I13" t="s">
        <v>162</v>
      </c>
      <c r="J13" t="s">
        <v>166</v>
      </c>
      <c r="K13">
        <v>9.149019920078735E-3</v>
      </c>
      <c r="L13" t="s">
        <v>164</v>
      </c>
      <c r="N13" t="s">
        <v>208</v>
      </c>
      <c r="O13" t="s">
        <v>166</v>
      </c>
      <c r="P13">
        <v>8.9685930200519598E-2</v>
      </c>
      <c r="Q13" t="s">
        <v>164</v>
      </c>
      <c r="S13" t="s">
        <v>228</v>
      </c>
      <c r="T13" t="s">
        <v>166</v>
      </c>
      <c r="U13">
        <v>4.9717286865556445E-2</v>
      </c>
      <c r="V13" t="s">
        <v>164</v>
      </c>
      <c r="X13">
        <v>4.041095890410959E-2</v>
      </c>
      <c r="Y13">
        <v>3.5594891811484314E-2</v>
      </c>
      <c r="Z13" t="s">
        <v>166</v>
      </c>
      <c r="AA13" t="s">
        <v>25</v>
      </c>
      <c r="AC13" t="s">
        <v>22</v>
      </c>
      <c r="AD13" t="s">
        <v>166</v>
      </c>
      <c r="AE13">
        <v>3.7570869329466808E-2</v>
      </c>
      <c r="AG13" t="s">
        <v>96</v>
      </c>
      <c r="AH13" t="s">
        <v>166</v>
      </c>
      <c r="AI13">
        <v>0.13828822716844424</v>
      </c>
      <c r="AK13">
        <v>2025</v>
      </c>
      <c r="AL13" t="s">
        <v>158</v>
      </c>
      <c r="AM13">
        <v>0.31893333333333335</v>
      </c>
      <c r="AN13" t="s">
        <v>253</v>
      </c>
    </row>
    <row r="14" spans="1:40" x14ac:dyDescent="0.45">
      <c r="C14" t="s">
        <v>160</v>
      </c>
      <c r="I14" t="s">
        <v>162</v>
      </c>
      <c r="J14" t="s">
        <v>167</v>
      </c>
      <c r="K14">
        <v>4.269871071975781E-2</v>
      </c>
      <c r="L14" t="s">
        <v>164</v>
      </c>
      <c r="N14" t="s">
        <v>208</v>
      </c>
      <c r="O14" t="s">
        <v>167</v>
      </c>
      <c r="P14">
        <v>3.7157215030408974E-2</v>
      </c>
      <c r="Q14" t="s">
        <v>164</v>
      </c>
      <c r="S14" t="s">
        <v>228</v>
      </c>
      <c r="T14" t="s">
        <v>167</v>
      </c>
      <c r="U14">
        <v>0.10656040674591789</v>
      </c>
      <c r="V14" t="s">
        <v>164</v>
      </c>
      <c r="X14">
        <v>0.1050228310502283</v>
      </c>
      <c r="Y14">
        <v>7.3283444795266411E-2</v>
      </c>
      <c r="Z14" t="s">
        <v>167</v>
      </c>
      <c r="AA14" t="s">
        <v>25</v>
      </c>
      <c r="AC14" t="s">
        <v>22</v>
      </c>
      <c r="AD14" t="s">
        <v>167</v>
      </c>
      <c r="AE14">
        <v>9.8389354062282053E-2</v>
      </c>
      <c r="AG14" t="s">
        <v>96</v>
      </c>
      <c r="AH14" t="s">
        <v>167</v>
      </c>
      <c r="AI14">
        <v>0.24392052027990885</v>
      </c>
      <c r="AK14">
        <v>2025</v>
      </c>
      <c r="AL14" t="s">
        <v>160</v>
      </c>
      <c r="AM14">
        <v>0.3453</v>
      </c>
      <c r="AN14" t="s">
        <v>253</v>
      </c>
    </row>
    <row r="15" spans="1:40" x14ac:dyDescent="0.45">
      <c r="I15" t="s">
        <v>162</v>
      </c>
      <c r="J15" t="s">
        <v>168</v>
      </c>
      <c r="K15">
        <v>0.1989829542826754</v>
      </c>
      <c r="L15" t="s">
        <v>164</v>
      </c>
      <c r="N15" t="s">
        <v>208</v>
      </c>
      <c r="O15" t="s">
        <v>168</v>
      </c>
      <c r="P15">
        <v>1.6040732915539993E-2</v>
      </c>
      <c r="Q15" t="s">
        <v>164</v>
      </c>
      <c r="S15" t="s">
        <v>228</v>
      </c>
      <c r="T15" t="s">
        <v>168</v>
      </c>
      <c r="U15">
        <v>8.9547317899238893E-2</v>
      </c>
      <c r="V15" t="s">
        <v>164</v>
      </c>
      <c r="X15">
        <v>8.4018264840182655E-2</v>
      </c>
      <c r="Y15">
        <v>0.12326745062940773</v>
      </c>
      <c r="Z15" t="s">
        <v>168</v>
      </c>
      <c r="AA15" t="s">
        <v>25</v>
      </c>
      <c r="AC15" t="s">
        <v>22</v>
      </c>
      <c r="AD15" t="s">
        <v>168</v>
      </c>
      <c r="AE15">
        <v>8.3316202202515649E-2</v>
      </c>
      <c r="AG15" t="s">
        <v>96</v>
      </c>
      <c r="AH15" t="s">
        <v>168</v>
      </c>
      <c r="AI15">
        <v>0.27400377744455739</v>
      </c>
      <c r="AK15">
        <v>2026</v>
      </c>
      <c r="AL15" t="s">
        <v>152</v>
      </c>
      <c r="AM15">
        <v>0.40475</v>
      </c>
      <c r="AN15" t="s">
        <v>253</v>
      </c>
    </row>
    <row r="16" spans="1:40" x14ac:dyDescent="0.45">
      <c r="I16" t="s">
        <v>162</v>
      </c>
      <c r="J16" t="s">
        <v>169</v>
      </c>
      <c r="K16">
        <v>9.5181309909460471E-3</v>
      </c>
      <c r="L16" t="s">
        <v>164</v>
      </c>
      <c r="N16" t="s">
        <v>208</v>
      </c>
      <c r="O16" t="s">
        <v>169</v>
      </c>
      <c r="P16">
        <v>2.8161513267703692E-2</v>
      </c>
      <c r="Q16" t="s">
        <v>164</v>
      </c>
      <c r="S16" t="s">
        <v>228</v>
      </c>
      <c r="T16" t="s">
        <v>169</v>
      </c>
      <c r="U16">
        <v>7.2604059329917842E-2</v>
      </c>
      <c r="V16" t="s">
        <v>164</v>
      </c>
      <c r="X16">
        <v>6.3013698630136991E-2</v>
      </c>
      <c r="Y16">
        <v>5.5503899095873853E-2</v>
      </c>
      <c r="Z16" t="s">
        <v>169</v>
      </c>
      <c r="AA16" t="s">
        <v>25</v>
      </c>
      <c r="AC16" t="s">
        <v>22</v>
      </c>
      <c r="AD16" t="s">
        <v>169</v>
      </c>
      <c r="AE16">
        <v>6.932435303335964E-2</v>
      </c>
      <c r="AG16" t="s">
        <v>96</v>
      </c>
      <c r="AH16" t="s">
        <v>169</v>
      </c>
      <c r="AI16">
        <v>0.20107454382032586</v>
      </c>
      <c r="AK16">
        <v>2026</v>
      </c>
      <c r="AL16" t="s">
        <v>156</v>
      </c>
      <c r="AM16">
        <v>0.3274333333333333</v>
      </c>
      <c r="AN16" t="s">
        <v>253</v>
      </c>
    </row>
    <row r="17" spans="9:40" x14ac:dyDescent="0.45">
      <c r="I17" t="s">
        <v>162</v>
      </c>
      <c r="J17" t="s">
        <v>170</v>
      </c>
      <c r="K17">
        <v>8.2220009340265438E-2</v>
      </c>
      <c r="L17" t="s">
        <v>164</v>
      </c>
      <c r="N17" t="s">
        <v>208</v>
      </c>
      <c r="O17" t="s">
        <v>170</v>
      </c>
      <c r="P17">
        <v>0.10361222924263414</v>
      </c>
      <c r="Q17" t="s">
        <v>164</v>
      </c>
      <c r="S17" t="s">
        <v>228</v>
      </c>
      <c r="T17" t="s">
        <v>170</v>
      </c>
      <c r="U17">
        <v>0.18636946407135682</v>
      </c>
      <c r="V17" t="s">
        <v>164</v>
      </c>
      <c r="X17">
        <v>0.2089041095890411</v>
      </c>
      <c r="Y17">
        <v>0.14577033040797557</v>
      </c>
      <c r="Z17" t="s">
        <v>170</v>
      </c>
      <c r="AA17" t="s">
        <v>25</v>
      </c>
      <c r="AC17" t="s">
        <v>22</v>
      </c>
      <c r="AD17" t="s">
        <v>170</v>
      </c>
      <c r="AE17">
        <v>0.20614562362175337</v>
      </c>
      <c r="AG17" t="s">
        <v>96</v>
      </c>
      <c r="AH17" t="s">
        <v>170</v>
      </c>
      <c r="AI17">
        <v>0.23725338082399983</v>
      </c>
      <c r="AK17">
        <v>2026</v>
      </c>
      <c r="AL17" t="s">
        <v>158</v>
      </c>
      <c r="AM17">
        <v>0.32223333333333332</v>
      </c>
      <c r="AN17" t="s">
        <v>253</v>
      </c>
    </row>
    <row r="18" spans="9:40" x14ac:dyDescent="0.45">
      <c r="I18" t="s">
        <v>162</v>
      </c>
      <c r="J18" t="s">
        <v>171</v>
      </c>
      <c r="K18">
        <v>0.39387056930636982</v>
      </c>
      <c r="L18" t="s">
        <v>164</v>
      </c>
      <c r="N18" t="s">
        <v>208</v>
      </c>
      <c r="O18" t="s">
        <v>171</v>
      </c>
      <c r="P18">
        <v>5.8489084130563564E-2</v>
      </c>
      <c r="Q18" t="s">
        <v>164</v>
      </c>
      <c r="S18" t="s">
        <v>228</v>
      </c>
      <c r="T18" t="s">
        <v>171</v>
      </c>
      <c r="U18">
        <v>0.14901368955679031</v>
      </c>
      <c r="V18" t="s">
        <v>164</v>
      </c>
      <c r="X18">
        <v>0.16712328767123288</v>
      </c>
      <c r="Y18">
        <v>0.2451950376650176</v>
      </c>
      <c r="Z18" t="s">
        <v>171</v>
      </c>
      <c r="AA18" t="s">
        <v>25</v>
      </c>
      <c r="AC18" t="s">
        <v>22</v>
      </c>
      <c r="AD18" t="s">
        <v>171</v>
      </c>
      <c r="AE18">
        <v>0.17591402899083014</v>
      </c>
      <c r="AG18" t="s">
        <v>96</v>
      </c>
      <c r="AH18" t="s">
        <v>171</v>
      </c>
      <c r="AI18">
        <v>0.25018954370384794</v>
      </c>
      <c r="AK18">
        <v>2026</v>
      </c>
      <c r="AL18" t="s">
        <v>160</v>
      </c>
      <c r="AM18">
        <v>0.37309999999999999</v>
      </c>
      <c r="AN18" t="s">
        <v>253</v>
      </c>
    </row>
    <row r="19" spans="9:40" x14ac:dyDescent="0.45">
      <c r="I19" t="s">
        <v>162</v>
      </c>
      <c r="J19" t="s">
        <v>172</v>
      </c>
      <c r="K19">
        <v>1.7458886843710809E-2</v>
      </c>
      <c r="L19" t="s">
        <v>164</v>
      </c>
      <c r="N19" t="s">
        <v>208</v>
      </c>
      <c r="O19" t="s">
        <v>172</v>
      </c>
      <c r="P19">
        <v>4.3974193943015258E-2</v>
      </c>
      <c r="Q19" t="s">
        <v>164</v>
      </c>
      <c r="S19" t="s">
        <v>228</v>
      </c>
      <c r="T19" t="s">
        <v>172</v>
      </c>
      <c r="U19">
        <v>0.12737910268721814</v>
      </c>
      <c r="V19" t="s">
        <v>164</v>
      </c>
      <c r="X19">
        <v>0.12534246575342467</v>
      </c>
      <c r="Y19">
        <v>0.11040449494070559</v>
      </c>
      <c r="Z19" t="s">
        <v>172</v>
      </c>
      <c r="AA19" t="s">
        <v>25</v>
      </c>
      <c r="AC19" t="s">
        <v>22</v>
      </c>
      <c r="AD19" t="s">
        <v>172</v>
      </c>
      <c r="AE19">
        <v>0.14952848514817299</v>
      </c>
      <c r="AG19" t="s">
        <v>96</v>
      </c>
      <c r="AH19" t="s">
        <v>172</v>
      </c>
      <c r="AI19">
        <v>0.14740176682151063</v>
      </c>
      <c r="AK19">
        <v>2027</v>
      </c>
      <c r="AL19" t="s">
        <v>152</v>
      </c>
      <c r="AM19">
        <v>0.39829999999999999</v>
      </c>
      <c r="AN19" t="s">
        <v>253</v>
      </c>
    </row>
    <row r="20" spans="9:40" x14ac:dyDescent="0.45">
      <c r="I20" t="s">
        <v>162</v>
      </c>
      <c r="J20" t="s">
        <v>173</v>
      </c>
      <c r="K20">
        <v>1.3599297878755684E-2</v>
      </c>
      <c r="L20" t="s">
        <v>164</v>
      </c>
      <c r="N20" t="s">
        <v>208</v>
      </c>
      <c r="O20" t="s">
        <v>173</v>
      </c>
      <c r="P20">
        <v>0.11852796072018894</v>
      </c>
      <c r="Q20" t="s">
        <v>164</v>
      </c>
      <c r="S20" t="s">
        <v>228</v>
      </c>
      <c r="T20" t="s">
        <v>173</v>
      </c>
      <c r="U20">
        <v>3.2706514074483606E-2</v>
      </c>
      <c r="V20" t="s">
        <v>164</v>
      </c>
      <c r="X20">
        <v>3.5388127853881277E-2</v>
      </c>
      <c r="Y20">
        <v>2.4693334659274549E-2</v>
      </c>
      <c r="Z20" t="s">
        <v>173</v>
      </c>
      <c r="AA20" t="s">
        <v>25</v>
      </c>
      <c r="AC20" t="s">
        <v>22</v>
      </c>
      <c r="AD20" t="s">
        <v>173</v>
      </c>
      <c r="AE20">
        <v>3.0028691949393303E-2</v>
      </c>
      <c r="AG20" t="s">
        <v>96</v>
      </c>
      <c r="AH20" t="s">
        <v>173</v>
      </c>
      <c r="AI20">
        <v>0.20500541971502595</v>
      </c>
      <c r="AK20">
        <v>2027</v>
      </c>
      <c r="AL20" t="s">
        <v>156</v>
      </c>
      <c r="AM20">
        <v>0.29833333333333328</v>
      </c>
      <c r="AN20" t="s">
        <v>253</v>
      </c>
    </row>
    <row r="21" spans="9:40" x14ac:dyDescent="0.45">
      <c r="I21" t="s">
        <v>162</v>
      </c>
      <c r="J21" t="s">
        <v>174</v>
      </c>
      <c r="K21">
        <v>6.5773790981607683E-2</v>
      </c>
      <c r="L21" t="s">
        <v>164</v>
      </c>
      <c r="N21" t="s">
        <v>208</v>
      </c>
      <c r="O21" t="s">
        <v>174</v>
      </c>
      <c r="P21">
        <v>7.9830880359186729E-2</v>
      </c>
      <c r="Q21" t="s">
        <v>164</v>
      </c>
      <c r="S21" t="s">
        <v>228</v>
      </c>
      <c r="T21" t="s">
        <v>174</v>
      </c>
      <c r="U21">
        <v>2.7966840347933529E-2</v>
      </c>
      <c r="V21" t="s">
        <v>164</v>
      </c>
      <c r="X21">
        <v>2.8310502283105023E-2</v>
      </c>
      <c r="Y21">
        <v>4.1535771407735213E-2</v>
      </c>
      <c r="Z21" t="s">
        <v>174</v>
      </c>
      <c r="AA21" t="s">
        <v>25</v>
      </c>
      <c r="AC21" t="s">
        <v>22</v>
      </c>
      <c r="AD21" t="s">
        <v>174</v>
      </c>
      <c r="AE21">
        <v>2.4935203166872522E-2</v>
      </c>
      <c r="AG21" t="s">
        <v>96</v>
      </c>
      <c r="AH21" t="s">
        <v>174</v>
      </c>
      <c r="AI21">
        <v>0.14997272201846257</v>
      </c>
      <c r="AK21">
        <v>2027</v>
      </c>
      <c r="AL21" t="s">
        <v>158</v>
      </c>
      <c r="AM21">
        <v>0.30829999999999996</v>
      </c>
      <c r="AN21" t="s">
        <v>253</v>
      </c>
    </row>
    <row r="22" spans="9:40" x14ac:dyDescent="0.45">
      <c r="I22" t="s">
        <v>162</v>
      </c>
      <c r="J22" t="s">
        <v>175</v>
      </c>
      <c r="K22">
        <v>3.9385718305000187E-3</v>
      </c>
      <c r="L22" t="s">
        <v>164</v>
      </c>
      <c r="N22" t="s">
        <v>208</v>
      </c>
      <c r="O22" t="s">
        <v>175</v>
      </c>
      <c r="P22">
        <v>4.6765715215168334E-2</v>
      </c>
      <c r="Q22" t="s">
        <v>164</v>
      </c>
      <c r="S22" t="s">
        <v>228</v>
      </c>
      <c r="T22" t="s">
        <v>175</v>
      </c>
      <c r="U22">
        <v>2.3230995390306538E-2</v>
      </c>
      <c r="V22" t="s">
        <v>164</v>
      </c>
      <c r="X22">
        <v>2.1232876712328767E-2</v>
      </c>
      <c r="Y22">
        <v>1.8702400782305319E-2</v>
      </c>
      <c r="Z22" t="s">
        <v>175</v>
      </c>
      <c r="AA22" t="s">
        <v>25</v>
      </c>
      <c r="AC22" t="s">
        <v>22</v>
      </c>
      <c r="AD22" t="s">
        <v>175</v>
      </c>
      <c r="AE22">
        <v>1.9749377722511764E-2</v>
      </c>
      <c r="AG22" t="s">
        <v>96</v>
      </c>
      <c r="AH22" t="s">
        <v>175</v>
      </c>
      <c r="AI22">
        <v>0.13433140114400532</v>
      </c>
      <c r="AK22">
        <v>2027</v>
      </c>
      <c r="AL22" t="s">
        <v>160</v>
      </c>
      <c r="AM22">
        <v>0.35560000000000003</v>
      </c>
      <c r="AN22" t="s">
        <v>253</v>
      </c>
    </row>
    <row r="23" spans="9:40" x14ac:dyDescent="0.45">
      <c r="I23" t="s">
        <v>176</v>
      </c>
      <c r="J23" t="s">
        <v>163</v>
      </c>
      <c r="K23">
        <v>2.4313102765271283E-2</v>
      </c>
      <c r="L23" t="s">
        <v>164</v>
      </c>
      <c r="N23" t="s">
        <v>209</v>
      </c>
      <c r="O23" t="s">
        <v>163</v>
      </c>
      <c r="P23">
        <v>0.2355825976970197</v>
      </c>
      <c r="Q23" t="s">
        <v>164</v>
      </c>
      <c r="S23" t="s">
        <v>229</v>
      </c>
      <c r="T23" t="s">
        <v>163</v>
      </c>
      <c r="U23">
        <v>5.9417291978481432E-2</v>
      </c>
      <c r="V23" t="s">
        <v>164</v>
      </c>
      <c r="AC23" t="s">
        <v>19</v>
      </c>
      <c r="AD23" t="s">
        <v>163</v>
      </c>
      <c r="AE23">
        <v>6.7168531503370307E-2</v>
      </c>
      <c r="AK23">
        <v>2028</v>
      </c>
      <c r="AL23" t="s">
        <v>152</v>
      </c>
      <c r="AM23">
        <v>0.42925000000000002</v>
      </c>
      <c r="AN23" t="s">
        <v>253</v>
      </c>
    </row>
    <row r="24" spans="9:40" x14ac:dyDescent="0.45">
      <c r="I24" t="s">
        <v>176</v>
      </c>
      <c r="J24" t="s">
        <v>165</v>
      </c>
      <c r="K24">
        <v>0.12871791719906678</v>
      </c>
      <c r="L24" t="s">
        <v>164</v>
      </c>
      <c r="N24" t="s">
        <v>209</v>
      </c>
      <c r="O24" t="s">
        <v>165</v>
      </c>
      <c r="P24">
        <v>0.13834514286373575</v>
      </c>
      <c r="Q24" t="s">
        <v>164</v>
      </c>
      <c r="S24" t="s">
        <v>229</v>
      </c>
      <c r="T24" t="s">
        <v>165</v>
      </c>
      <c r="U24">
        <v>9.0288360771348275E-2</v>
      </c>
      <c r="V24" t="s">
        <v>164</v>
      </c>
      <c r="AC24" t="s">
        <v>19</v>
      </c>
      <c r="AD24" t="s">
        <v>165</v>
      </c>
      <c r="AE24">
        <v>5.3849087396172293E-2</v>
      </c>
      <c r="AK24">
        <v>2028</v>
      </c>
      <c r="AL24" t="s">
        <v>156</v>
      </c>
      <c r="AM24">
        <v>0.36610000000000004</v>
      </c>
      <c r="AN24" t="s">
        <v>253</v>
      </c>
    </row>
    <row r="25" spans="9:40" x14ac:dyDescent="0.45">
      <c r="I25" t="s">
        <v>176</v>
      </c>
      <c r="J25" t="s">
        <v>166</v>
      </c>
      <c r="K25">
        <v>7.9708020587680797E-3</v>
      </c>
      <c r="L25" t="s">
        <v>164</v>
      </c>
      <c r="N25" t="s">
        <v>209</v>
      </c>
      <c r="O25" t="s">
        <v>166</v>
      </c>
      <c r="P25">
        <v>8.0241418682791166E-2</v>
      </c>
      <c r="Q25" t="s">
        <v>164</v>
      </c>
      <c r="S25" t="s">
        <v>229</v>
      </c>
      <c r="T25" t="s">
        <v>166</v>
      </c>
      <c r="U25">
        <v>5.8292999333554238E-2</v>
      </c>
      <c r="V25" t="s">
        <v>164</v>
      </c>
      <c r="AC25" t="s">
        <v>19</v>
      </c>
      <c r="AD25" t="s">
        <v>166</v>
      </c>
      <c r="AE25">
        <v>4.0505808568311992E-2</v>
      </c>
      <c r="AK25">
        <v>2028</v>
      </c>
      <c r="AL25" t="s">
        <v>158</v>
      </c>
      <c r="AM25">
        <v>0.36876666666666663</v>
      </c>
      <c r="AN25" t="s">
        <v>253</v>
      </c>
    </row>
    <row r="26" spans="9:40" x14ac:dyDescent="0.45">
      <c r="I26" t="s">
        <v>176</v>
      </c>
      <c r="J26" t="s">
        <v>167</v>
      </c>
      <c r="K26">
        <v>3.8963415063913556E-2</v>
      </c>
      <c r="L26" t="s">
        <v>164</v>
      </c>
      <c r="N26" t="s">
        <v>209</v>
      </c>
      <c r="O26" t="s">
        <v>167</v>
      </c>
      <c r="P26">
        <v>6.8384982824747947E-2</v>
      </c>
      <c r="Q26" t="s">
        <v>164</v>
      </c>
      <c r="S26" t="s">
        <v>229</v>
      </c>
      <c r="T26" t="s">
        <v>167</v>
      </c>
      <c r="U26">
        <v>8.6727457728140861E-2</v>
      </c>
      <c r="V26" t="s">
        <v>164</v>
      </c>
      <c r="AC26" t="s">
        <v>19</v>
      </c>
      <c r="AD26" t="s">
        <v>167</v>
      </c>
      <c r="AE26">
        <v>0.10461275366426165</v>
      </c>
      <c r="AK26">
        <v>2028</v>
      </c>
      <c r="AL26" t="s">
        <v>160</v>
      </c>
      <c r="AM26">
        <v>0.46139999999999998</v>
      </c>
      <c r="AN26" t="s">
        <v>253</v>
      </c>
    </row>
    <row r="27" spans="9:40" x14ac:dyDescent="0.45">
      <c r="I27" t="s">
        <v>176</v>
      </c>
      <c r="J27" t="s">
        <v>168</v>
      </c>
      <c r="K27">
        <v>0.19350472788579179</v>
      </c>
      <c r="L27" t="s">
        <v>164</v>
      </c>
      <c r="N27" t="s">
        <v>209</v>
      </c>
      <c r="O27" t="s">
        <v>168</v>
      </c>
      <c r="P27">
        <v>2.679434527368962E-2</v>
      </c>
      <c r="Q27" t="s">
        <v>164</v>
      </c>
      <c r="S27" t="s">
        <v>229</v>
      </c>
      <c r="T27" t="s">
        <v>168</v>
      </c>
      <c r="U27">
        <v>0.11527079979922661</v>
      </c>
      <c r="V27" t="s">
        <v>164</v>
      </c>
      <c r="AC27" t="s">
        <v>19</v>
      </c>
      <c r="AD27" t="s">
        <v>168</v>
      </c>
      <c r="AE27">
        <v>8.3992439459097262E-2</v>
      </c>
      <c r="AK27">
        <v>2029</v>
      </c>
      <c r="AL27" t="s">
        <v>152</v>
      </c>
      <c r="AM27">
        <v>0.42054999999999998</v>
      </c>
      <c r="AN27" t="s">
        <v>253</v>
      </c>
    </row>
    <row r="28" spans="9:40" x14ac:dyDescent="0.45">
      <c r="I28" t="s">
        <v>176</v>
      </c>
      <c r="J28" t="s">
        <v>169</v>
      </c>
      <c r="K28">
        <v>9.9635924199145739E-3</v>
      </c>
      <c r="L28" t="s">
        <v>164</v>
      </c>
      <c r="N28" t="s">
        <v>209</v>
      </c>
      <c r="O28" t="s">
        <v>169</v>
      </c>
      <c r="P28">
        <v>3.5674324676886887E-2</v>
      </c>
      <c r="Q28" t="s">
        <v>164</v>
      </c>
      <c r="S28" t="s">
        <v>229</v>
      </c>
      <c r="T28" t="s">
        <v>169</v>
      </c>
      <c r="U28">
        <v>8.0812496002523201E-2</v>
      </c>
      <c r="V28" t="s">
        <v>164</v>
      </c>
      <c r="AC28" t="s">
        <v>19</v>
      </c>
      <c r="AD28" t="s">
        <v>169</v>
      </c>
      <c r="AE28">
        <v>6.3443097917834299E-2</v>
      </c>
      <c r="AK28">
        <v>2029</v>
      </c>
      <c r="AL28" t="s">
        <v>156</v>
      </c>
      <c r="AM28">
        <v>0.36689999999999995</v>
      </c>
      <c r="AN28" t="s">
        <v>253</v>
      </c>
    </row>
    <row r="29" spans="9:40" x14ac:dyDescent="0.45">
      <c r="I29" t="s">
        <v>176</v>
      </c>
      <c r="J29" t="s">
        <v>170</v>
      </c>
      <c r="K29">
        <v>9.5750646315261798E-2</v>
      </c>
      <c r="L29" t="s">
        <v>164</v>
      </c>
      <c r="N29" t="s">
        <v>209</v>
      </c>
      <c r="O29" t="s">
        <v>170</v>
      </c>
      <c r="P29">
        <v>0.10343797660754822</v>
      </c>
      <c r="Q29" t="s">
        <v>164</v>
      </c>
      <c r="S29" t="s">
        <v>229</v>
      </c>
      <c r="T29" t="s">
        <v>170</v>
      </c>
      <c r="U29">
        <v>0.12039069692756646</v>
      </c>
      <c r="V29" t="s">
        <v>164</v>
      </c>
      <c r="AC29" t="s">
        <v>19</v>
      </c>
      <c r="AD29" t="s">
        <v>170</v>
      </c>
      <c r="AE29">
        <v>0.20797652689322313</v>
      </c>
      <c r="AK29">
        <v>2029</v>
      </c>
      <c r="AL29" t="s">
        <v>158</v>
      </c>
      <c r="AM29">
        <v>0.38345000000000001</v>
      </c>
      <c r="AN29" t="s">
        <v>253</v>
      </c>
    </row>
    <row r="30" spans="9:40" x14ac:dyDescent="0.45">
      <c r="I30" t="s">
        <v>176</v>
      </c>
      <c r="J30" t="s">
        <v>171</v>
      </c>
      <c r="K30">
        <v>0.40476141025671469</v>
      </c>
      <c r="L30" t="s">
        <v>164</v>
      </c>
      <c r="N30" t="s">
        <v>209</v>
      </c>
      <c r="O30" t="s">
        <v>171</v>
      </c>
      <c r="P30">
        <v>5.2778895391578817E-2</v>
      </c>
      <c r="Q30" t="s">
        <v>164</v>
      </c>
      <c r="S30" t="s">
        <v>229</v>
      </c>
      <c r="T30" t="s">
        <v>171</v>
      </c>
      <c r="U30">
        <v>0.18046963056710552</v>
      </c>
      <c r="V30" t="s">
        <v>164</v>
      </c>
      <c r="AC30" t="s">
        <v>19</v>
      </c>
      <c r="AD30" t="s">
        <v>171</v>
      </c>
      <c r="AE30">
        <v>0.1671030582526577</v>
      </c>
      <c r="AK30">
        <v>2029</v>
      </c>
      <c r="AL30" t="s">
        <v>160</v>
      </c>
      <c r="AM30">
        <v>0.43090000000000001</v>
      </c>
      <c r="AN30" t="s">
        <v>253</v>
      </c>
    </row>
    <row r="31" spans="9:40" x14ac:dyDescent="0.45">
      <c r="I31" t="s">
        <v>176</v>
      </c>
      <c r="J31" t="s">
        <v>172</v>
      </c>
      <c r="K31">
        <v>1.8004184625196179E-2</v>
      </c>
      <c r="L31" t="s">
        <v>164</v>
      </c>
      <c r="N31" t="s">
        <v>209</v>
      </c>
      <c r="O31" t="s">
        <v>172</v>
      </c>
      <c r="P31">
        <v>4.1955460944886093E-2</v>
      </c>
      <c r="Q31" t="s">
        <v>164</v>
      </c>
      <c r="S31" t="s">
        <v>229</v>
      </c>
      <c r="T31" t="s">
        <v>172</v>
      </c>
      <c r="U31">
        <v>0.12996455634830806</v>
      </c>
      <c r="V31" t="s">
        <v>164</v>
      </c>
      <c r="AC31" t="s">
        <v>19</v>
      </c>
      <c r="AD31" t="s">
        <v>172</v>
      </c>
      <c r="AE31">
        <v>0.12648202999933417</v>
      </c>
      <c r="AK31">
        <v>2030</v>
      </c>
      <c r="AL31" t="s">
        <v>152</v>
      </c>
      <c r="AM31">
        <v>0.42330000000000001</v>
      </c>
      <c r="AN31" t="s">
        <v>253</v>
      </c>
    </row>
    <row r="32" spans="9:40" x14ac:dyDescent="0.45">
      <c r="I32" t="s">
        <v>176</v>
      </c>
      <c r="J32" t="s">
        <v>173</v>
      </c>
      <c r="K32">
        <v>1.2418543265133704E-2</v>
      </c>
      <c r="L32" t="s">
        <v>164</v>
      </c>
      <c r="N32" t="s">
        <v>209</v>
      </c>
      <c r="O32" t="s">
        <v>173</v>
      </c>
      <c r="P32">
        <v>0.1020076280269499</v>
      </c>
      <c r="Q32" t="s">
        <v>164</v>
      </c>
      <c r="S32" t="s">
        <v>229</v>
      </c>
      <c r="T32" t="s">
        <v>173</v>
      </c>
      <c r="U32">
        <v>2.1209049854961713E-2</v>
      </c>
      <c r="V32" t="s">
        <v>164</v>
      </c>
      <c r="AC32" t="s">
        <v>19</v>
      </c>
      <c r="AD32" t="s">
        <v>173</v>
      </c>
      <c r="AE32">
        <v>3.5288790426334038E-2</v>
      </c>
      <c r="AK32">
        <v>2030</v>
      </c>
      <c r="AL32" t="s">
        <v>156</v>
      </c>
      <c r="AM32">
        <v>0.34406666666666669</v>
      </c>
      <c r="AN32" t="s">
        <v>253</v>
      </c>
    </row>
    <row r="33" spans="9:40" x14ac:dyDescent="0.45">
      <c r="I33" t="s">
        <v>176</v>
      </c>
      <c r="J33" t="s">
        <v>174</v>
      </c>
      <c r="K33">
        <v>6.2393111848790067E-2</v>
      </c>
      <c r="L33" t="s">
        <v>164</v>
      </c>
      <c r="N33" t="s">
        <v>209</v>
      </c>
      <c r="O33" t="s">
        <v>174</v>
      </c>
      <c r="P33">
        <v>7.0585504448730602E-2</v>
      </c>
      <c r="Q33" t="s">
        <v>164</v>
      </c>
      <c r="S33" t="s">
        <v>229</v>
      </c>
      <c r="T33" t="s">
        <v>174</v>
      </c>
      <c r="U33">
        <v>3.5504382240977655E-2</v>
      </c>
      <c r="V33" t="s">
        <v>164</v>
      </c>
      <c r="AC33" t="s">
        <v>19</v>
      </c>
      <c r="AD33" t="s">
        <v>174</v>
      </c>
      <c r="AE33">
        <v>2.8290908992942256E-2</v>
      </c>
      <c r="AK33">
        <v>2030</v>
      </c>
      <c r="AL33" t="s">
        <v>158</v>
      </c>
      <c r="AM33">
        <v>0.37698333333333328</v>
      </c>
      <c r="AN33" t="s">
        <v>253</v>
      </c>
    </row>
    <row r="34" spans="9:40" x14ac:dyDescent="0.45">
      <c r="I34" t="s">
        <v>176</v>
      </c>
      <c r="J34" t="s">
        <v>175</v>
      </c>
      <c r="K34">
        <v>3.2385462961741513E-3</v>
      </c>
      <c r="L34" t="s">
        <v>164</v>
      </c>
      <c r="N34" t="s">
        <v>209</v>
      </c>
      <c r="O34" t="s">
        <v>175</v>
      </c>
      <c r="P34">
        <v>4.421172256143413E-2</v>
      </c>
      <c r="Q34" t="s">
        <v>164</v>
      </c>
      <c r="S34" t="s">
        <v>229</v>
      </c>
      <c r="T34" t="s">
        <v>175</v>
      </c>
      <c r="U34">
        <v>2.1652278447803951E-2</v>
      </c>
      <c r="V34" t="s">
        <v>164</v>
      </c>
      <c r="AC34" t="s">
        <v>19</v>
      </c>
      <c r="AD34" t="s">
        <v>175</v>
      </c>
      <c r="AE34">
        <v>2.1286966926460905E-2</v>
      </c>
      <c r="AK34">
        <v>2030</v>
      </c>
      <c r="AL34" t="s">
        <v>160</v>
      </c>
      <c r="AM34">
        <v>0.47099999999999997</v>
      </c>
      <c r="AN34" t="s">
        <v>253</v>
      </c>
    </row>
    <row r="35" spans="9:40" x14ac:dyDescent="0.45">
      <c r="I35" t="s">
        <v>177</v>
      </c>
      <c r="J35" t="s">
        <v>163</v>
      </c>
      <c r="K35">
        <v>3.0760723495676143E-2</v>
      </c>
      <c r="L35" t="s">
        <v>164</v>
      </c>
      <c r="N35" t="s">
        <v>210</v>
      </c>
      <c r="O35" t="s">
        <v>163</v>
      </c>
      <c r="P35">
        <v>9.8835476328746577E-2</v>
      </c>
      <c r="Q35" t="s">
        <v>164</v>
      </c>
      <c r="S35" t="s">
        <v>230</v>
      </c>
      <c r="T35" t="s">
        <v>163</v>
      </c>
      <c r="U35">
        <v>8.4879671653600983E-2</v>
      </c>
      <c r="V35" t="s">
        <v>164</v>
      </c>
      <c r="AK35">
        <v>2031</v>
      </c>
      <c r="AL35" t="s">
        <v>152</v>
      </c>
      <c r="AM35">
        <v>0.44945000000000002</v>
      </c>
      <c r="AN35" t="s">
        <v>253</v>
      </c>
    </row>
    <row r="36" spans="9:40" x14ac:dyDescent="0.45">
      <c r="I36" t="s">
        <v>177</v>
      </c>
      <c r="J36" t="s">
        <v>165</v>
      </c>
      <c r="K36">
        <v>0.1297492363067845</v>
      </c>
      <c r="L36" t="s">
        <v>164</v>
      </c>
      <c r="N36" t="s">
        <v>210</v>
      </c>
      <c r="O36" t="s">
        <v>165</v>
      </c>
      <c r="P36">
        <v>8.8675658520277909E-2</v>
      </c>
      <c r="Q36" t="s">
        <v>164</v>
      </c>
      <c r="S36" t="s">
        <v>230</v>
      </c>
      <c r="T36" t="s">
        <v>165</v>
      </c>
      <c r="U36">
        <v>7.3452455840382416E-2</v>
      </c>
      <c r="V36" t="s">
        <v>164</v>
      </c>
      <c r="AK36">
        <v>2031</v>
      </c>
      <c r="AL36" t="s">
        <v>156</v>
      </c>
      <c r="AM36">
        <v>0.35076666666666667</v>
      </c>
      <c r="AN36" t="s">
        <v>253</v>
      </c>
    </row>
    <row r="37" spans="9:40" x14ac:dyDescent="0.45">
      <c r="I37" t="s">
        <v>177</v>
      </c>
      <c r="J37" t="s">
        <v>166</v>
      </c>
      <c r="K37">
        <v>7.2724992348496345E-3</v>
      </c>
      <c r="L37" t="s">
        <v>164</v>
      </c>
      <c r="N37" t="s">
        <v>210</v>
      </c>
      <c r="O37" t="s">
        <v>166</v>
      </c>
      <c r="P37">
        <v>9.105010374922419E-2</v>
      </c>
      <c r="Q37" t="s">
        <v>164</v>
      </c>
      <c r="S37" t="s">
        <v>230</v>
      </c>
      <c r="T37" t="s">
        <v>166</v>
      </c>
      <c r="U37">
        <v>5.6728390478187903E-2</v>
      </c>
      <c r="V37" t="s">
        <v>164</v>
      </c>
      <c r="AK37">
        <v>2031</v>
      </c>
      <c r="AL37" t="s">
        <v>158</v>
      </c>
      <c r="AM37">
        <v>0.3701666666666667</v>
      </c>
      <c r="AN37" t="s">
        <v>253</v>
      </c>
    </row>
    <row r="38" spans="9:40" x14ac:dyDescent="0.45">
      <c r="I38" t="s">
        <v>177</v>
      </c>
      <c r="J38" t="s">
        <v>167</v>
      </c>
      <c r="K38">
        <v>4.4851141244605555E-2</v>
      </c>
      <c r="L38" t="s">
        <v>164</v>
      </c>
      <c r="N38" t="s">
        <v>210</v>
      </c>
      <c r="O38" t="s">
        <v>167</v>
      </c>
      <c r="P38">
        <v>0.10920483974004278</v>
      </c>
      <c r="Q38" t="s">
        <v>164</v>
      </c>
      <c r="S38" t="s">
        <v>230</v>
      </c>
      <c r="T38" t="s">
        <v>167</v>
      </c>
      <c r="U38">
        <v>0.11642129987858647</v>
      </c>
      <c r="V38" t="s">
        <v>164</v>
      </c>
      <c r="AK38">
        <v>2031</v>
      </c>
      <c r="AL38" t="s">
        <v>160</v>
      </c>
      <c r="AM38">
        <v>0.4607</v>
      </c>
      <c r="AN38" t="s">
        <v>253</v>
      </c>
    </row>
    <row r="39" spans="9:40" x14ac:dyDescent="0.45">
      <c r="I39" t="s">
        <v>177</v>
      </c>
      <c r="J39" t="s">
        <v>168</v>
      </c>
      <c r="K39">
        <v>0.18841156721456431</v>
      </c>
      <c r="L39" t="s">
        <v>164</v>
      </c>
      <c r="N39" t="s">
        <v>210</v>
      </c>
      <c r="O39" t="s">
        <v>168</v>
      </c>
      <c r="P39">
        <v>7.8965093947046996E-2</v>
      </c>
      <c r="Q39" t="s">
        <v>164</v>
      </c>
      <c r="S39" t="s">
        <v>230</v>
      </c>
      <c r="T39" t="s">
        <v>168</v>
      </c>
      <c r="U39">
        <v>8.960530957928535E-2</v>
      </c>
      <c r="V39" t="s">
        <v>164</v>
      </c>
      <c r="AK39">
        <v>2032</v>
      </c>
      <c r="AL39" t="s">
        <v>152</v>
      </c>
      <c r="AM39">
        <v>0.42869999999999997</v>
      </c>
      <c r="AN39" t="s">
        <v>253</v>
      </c>
    </row>
    <row r="40" spans="9:40" x14ac:dyDescent="0.45">
      <c r="I40" t="s">
        <v>177</v>
      </c>
      <c r="J40" t="s">
        <v>169</v>
      </c>
      <c r="K40">
        <v>8.96000253468268E-3</v>
      </c>
      <c r="L40" t="s">
        <v>164</v>
      </c>
      <c r="N40" t="s">
        <v>210</v>
      </c>
      <c r="O40" t="s">
        <v>169</v>
      </c>
      <c r="P40">
        <v>9.9646698431339609E-2</v>
      </c>
      <c r="Q40" t="s">
        <v>164</v>
      </c>
      <c r="S40" t="s">
        <v>230</v>
      </c>
      <c r="T40" t="s">
        <v>169</v>
      </c>
      <c r="U40">
        <v>7.5095233767523403E-2</v>
      </c>
      <c r="V40" t="s">
        <v>164</v>
      </c>
      <c r="AK40">
        <v>2032</v>
      </c>
      <c r="AL40" t="s">
        <v>156</v>
      </c>
      <c r="AM40">
        <v>0.34626666666666672</v>
      </c>
      <c r="AN40" t="s">
        <v>253</v>
      </c>
    </row>
    <row r="41" spans="9:40" x14ac:dyDescent="0.45">
      <c r="I41" t="s">
        <v>177</v>
      </c>
      <c r="J41" t="s">
        <v>170</v>
      </c>
      <c r="K41">
        <v>9.6647890379282522E-2</v>
      </c>
      <c r="L41" t="s">
        <v>164</v>
      </c>
      <c r="N41" t="s">
        <v>210</v>
      </c>
      <c r="O41" t="s">
        <v>170</v>
      </c>
      <c r="P41">
        <v>0.12020855143765732</v>
      </c>
      <c r="Q41" t="s">
        <v>164</v>
      </c>
      <c r="S41" t="s">
        <v>230</v>
      </c>
      <c r="T41" t="s">
        <v>170</v>
      </c>
      <c r="U41">
        <v>0.17518074358784255</v>
      </c>
      <c r="V41" t="s">
        <v>164</v>
      </c>
      <c r="AK41">
        <v>2032</v>
      </c>
      <c r="AL41" t="s">
        <v>158</v>
      </c>
      <c r="AM41">
        <v>0.37836666666666668</v>
      </c>
      <c r="AN41" t="s">
        <v>253</v>
      </c>
    </row>
    <row r="42" spans="9:40" x14ac:dyDescent="0.45">
      <c r="I42" t="s">
        <v>177</v>
      </c>
      <c r="J42" t="s">
        <v>171</v>
      </c>
      <c r="K42">
        <v>0.38786524837007463</v>
      </c>
      <c r="L42" t="s">
        <v>164</v>
      </c>
      <c r="N42" t="s">
        <v>210</v>
      </c>
      <c r="O42" t="s">
        <v>171</v>
      </c>
      <c r="P42">
        <v>8.1543147584540815E-2</v>
      </c>
      <c r="Q42" t="s">
        <v>164</v>
      </c>
      <c r="S42" t="s">
        <v>230</v>
      </c>
      <c r="T42" t="s">
        <v>171</v>
      </c>
      <c r="U42">
        <v>0.12287750229660985</v>
      </c>
      <c r="V42" t="s">
        <v>164</v>
      </c>
      <c r="AK42">
        <v>2032</v>
      </c>
      <c r="AL42" t="s">
        <v>160</v>
      </c>
      <c r="AM42">
        <v>0.41610000000000003</v>
      </c>
      <c r="AN42" t="s">
        <v>253</v>
      </c>
    </row>
    <row r="43" spans="9:40" x14ac:dyDescent="0.45">
      <c r="I43" t="s">
        <v>177</v>
      </c>
      <c r="J43" t="s">
        <v>172</v>
      </c>
      <c r="K43">
        <v>1.8600487731013381E-2</v>
      </c>
      <c r="L43" t="s">
        <v>164</v>
      </c>
      <c r="N43" t="s">
        <v>210</v>
      </c>
      <c r="O43" t="s">
        <v>172</v>
      </c>
      <c r="P43">
        <v>0.12535034388371885</v>
      </c>
      <c r="Q43" t="s">
        <v>164</v>
      </c>
      <c r="S43" t="s">
        <v>230</v>
      </c>
      <c r="T43" t="s">
        <v>172</v>
      </c>
      <c r="U43">
        <v>0.11332943928339771</v>
      </c>
      <c r="V43" t="s">
        <v>164</v>
      </c>
      <c r="AK43">
        <v>2033</v>
      </c>
      <c r="AL43" t="s">
        <v>152</v>
      </c>
      <c r="AM43">
        <v>0.45810000000000001</v>
      </c>
      <c r="AN43" t="s">
        <v>253</v>
      </c>
    </row>
    <row r="44" spans="9:40" x14ac:dyDescent="0.45">
      <c r="I44" t="s">
        <v>177</v>
      </c>
      <c r="J44" t="s">
        <v>173</v>
      </c>
      <c r="K44">
        <v>1.7794997948298679E-2</v>
      </c>
      <c r="L44" t="s">
        <v>164</v>
      </c>
      <c r="N44" t="s">
        <v>210</v>
      </c>
      <c r="O44" t="s">
        <v>173</v>
      </c>
      <c r="P44">
        <v>3.4461168069359449E-2</v>
      </c>
      <c r="Q44" t="s">
        <v>164</v>
      </c>
      <c r="S44" t="s">
        <v>230</v>
      </c>
      <c r="T44" t="s">
        <v>173</v>
      </c>
      <c r="U44">
        <v>3.4875574506251374E-2</v>
      </c>
      <c r="V44" t="s">
        <v>164</v>
      </c>
      <c r="AK44">
        <v>2033</v>
      </c>
      <c r="AL44" t="s">
        <v>156</v>
      </c>
      <c r="AM44">
        <v>0.3362</v>
      </c>
      <c r="AN44" t="s">
        <v>253</v>
      </c>
    </row>
    <row r="45" spans="9:40" x14ac:dyDescent="0.45">
      <c r="I45" t="s">
        <v>177</v>
      </c>
      <c r="J45" t="s">
        <v>174</v>
      </c>
      <c r="K45">
        <v>6.5595625537087754E-2</v>
      </c>
      <c r="L45" t="s">
        <v>164</v>
      </c>
      <c r="N45" t="s">
        <v>210</v>
      </c>
      <c r="O45" t="s">
        <v>174</v>
      </c>
      <c r="P45">
        <v>3.3861402094654353E-2</v>
      </c>
      <c r="Q45" t="s">
        <v>164</v>
      </c>
      <c r="S45" t="s">
        <v>230</v>
      </c>
      <c r="T45" t="s">
        <v>174</v>
      </c>
      <c r="U45">
        <v>3.1378569821957622E-2</v>
      </c>
      <c r="V45" t="s">
        <v>164</v>
      </c>
      <c r="AK45">
        <v>2033</v>
      </c>
      <c r="AL45" t="s">
        <v>158</v>
      </c>
      <c r="AM45">
        <v>0.38125000000000003</v>
      </c>
      <c r="AN45" t="s">
        <v>253</v>
      </c>
    </row>
    <row r="46" spans="9:40" x14ac:dyDescent="0.45">
      <c r="I46" t="s">
        <v>177</v>
      </c>
      <c r="J46" t="s">
        <v>175</v>
      </c>
      <c r="K46">
        <v>3.4905800030810841E-3</v>
      </c>
      <c r="L46" t="s">
        <v>164</v>
      </c>
      <c r="N46" t="s">
        <v>210</v>
      </c>
      <c r="O46" t="s">
        <v>175</v>
      </c>
      <c r="P46">
        <v>3.819751621339422E-2</v>
      </c>
      <c r="Q46" t="s">
        <v>164</v>
      </c>
      <c r="S46" t="s">
        <v>230</v>
      </c>
      <c r="T46" t="s">
        <v>175</v>
      </c>
      <c r="U46">
        <v>2.6175809306374968E-2</v>
      </c>
      <c r="V46" t="s">
        <v>164</v>
      </c>
      <c r="AK46">
        <v>2033</v>
      </c>
      <c r="AL46" t="s">
        <v>160</v>
      </c>
      <c r="AM46">
        <v>0.46679999999999999</v>
      </c>
      <c r="AN46" t="s">
        <v>253</v>
      </c>
    </row>
    <row r="47" spans="9:40" x14ac:dyDescent="0.45">
      <c r="I47" t="s">
        <v>178</v>
      </c>
      <c r="J47" t="s">
        <v>163</v>
      </c>
      <c r="K47">
        <v>2.2924578913373468E-2</v>
      </c>
      <c r="L47" t="s">
        <v>164</v>
      </c>
      <c r="N47" t="s">
        <v>211</v>
      </c>
      <c r="O47" t="s">
        <v>163</v>
      </c>
      <c r="P47">
        <v>0.15549603015738647</v>
      </c>
      <c r="Q47" t="s">
        <v>164</v>
      </c>
      <c r="S47" t="s">
        <v>231</v>
      </c>
      <c r="T47" t="s">
        <v>163</v>
      </c>
      <c r="U47">
        <v>7.9452219028442739E-2</v>
      </c>
      <c r="V47" t="s">
        <v>164</v>
      </c>
      <c r="AK47">
        <v>2034</v>
      </c>
      <c r="AL47" t="s">
        <v>152</v>
      </c>
      <c r="AM47">
        <v>0.44179999999999997</v>
      </c>
      <c r="AN47" t="s">
        <v>253</v>
      </c>
    </row>
    <row r="48" spans="9:40" x14ac:dyDescent="0.45">
      <c r="I48" t="s">
        <v>178</v>
      </c>
      <c r="J48" t="s">
        <v>165</v>
      </c>
      <c r="K48">
        <v>0.1301726733175127</v>
      </c>
      <c r="L48" t="s">
        <v>164</v>
      </c>
      <c r="N48" t="s">
        <v>211</v>
      </c>
      <c r="O48" t="s">
        <v>165</v>
      </c>
      <c r="P48">
        <v>6.0284968645095277E-2</v>
      </c>
      <c r="Q48" t="s">
        <v>164</v>
      </c>
      <c r="S48" t="s">
        <v>231</v>
      </c>
      <c r="T48" t="s">
        <v>165</v>
      </c>
      <c r="U48">
        <v>6.1891145209326294E-2</v>
      </c>
      <c r="V48" t="s">
        <v>164</v>
      </c>
      <c r="AK48">
        <v>2034</v>
      </c>
      <c r="AL48" t="s">
        <v>156</v>
      </c>
      <c r="AM48">
        <v>0.3795</v>
      </c>
      <c r="AN48" t="s">
        <v>253</v>
      </c>
    </row>
    <row r="49" spans="9:40" x14ac:dyDescent="0.45">
      <c r="I49" t="s">
        <v>178</v>
      </c>
      <c r="J49" t="s">
        <v>166</v>
      </c>
      <c r="K49">
        <v>8.5021768326868832E-3</v>
      </c>
      <c r="L49" t="s">
        <v>164</v>
      </c>
      <c r="N49" t="s">
        <v>211</v>
      </c>
      <c r="O49" t="s">
        <v>166</v>
      </c>
      <c r="P49">
        <v>0.13236387601539029</v>
      </c>
      <c r="Q49" t="s">
        <v>164</v>
      </c>
      <c r="S49" t="s">
        <v>231</v>
      </c>
      <c r="T49" t="s">
        <v>166</v>
      </c>
      <c r="U49">
        <v>5.2698876003698485E-2</v>
      </c>
      <c r="V49" t="s">
        <v>164</v>
      </c>
      <c r="AK49">
        <v>2034</v>
      </c>
      <c r="AL49" t="s">
        <v>158</v>
      </c>
      <c r="AM49">
        <v>0.37196666666666661</v>
      </c>
      <c r="AN49" t="s">
        <v>253</v>
      </c>
    </row>
    <row r="50" spans="9:40" x14ac:dyDescent="0.45">
      <c r="I50" t="s">
        <v>178</v>
      </c>
      <c r="J50" t="s">
        <v>167</v>
      </c>
      <c r="K50">
        <v>4.2923447769621363E-2</v>
      </c>
      <c r="L50" t="s">
        <v>164</v>
      </c>
      <c r="N50" t="s">
        <v>211</v>
      </c>
      <c r="O50" t="s">
        <v>167</v>
      </c>
      <c r="P50">
        <v>0.13535210441507153</v>
      </c>
      <c r="Q50" t="s">
        <v>164</v>
      </c>
      <c r="S50" t="s">
        <v>231</v>
      </c>
      <c r="T50" t="s">
        <v>167</v>
      </c>
      <c r="U50">
        <v>0.11285380350161517</v>
      </c>
      <c r="V50" t="s">
        <v>164</v>
      </c>
      <c r="AK50">
        <v>2034</v>
      </c>
      <c r="AL50" t="s">
        <v>160</v>
      </c>
      <c r="AM50">
        <v>0.45419999999999999</v>
      </c>
      <c r="AN50" t="s">
        <v>253</v>
      </c>
    </row>
    <row r="51" spans="9:40" x14ac:dyDescent="0.45">
      <c r="I51" t="s">
        <v>178</v>
      </c>
      <c r="J51" t="s">
        <v>168</v>
      </c>
      <c r="K51">
        <v>0.20340631554834332</v>
      </c>
      <c r="L51" t="s">
        <v>164</v>
      </c>
      <c r="N51" t="s">
        <v>211</v>
      </c>
      <c r="O51" t="s">
        <v>168</v>
      </c>
      <c r="P51">
        <v>4.4578218298935143E-2</v>
      </c>
      <c r="Q51" t="s">
        <v>164</v>
      </c>
      <c r="S51" t="s">
        <v>231</v>
      </c>
      <c r="T51" t="s">
        <v>168</v>
      </c>
      <c r="U51">
        <v>9.2174193214477437E-2</v>
      </c>
      <c r="V51" t="s">
        <v>164</v>
      </c>
      <c r="AK51">
        <v>2035</v>
      </c>
      <c r="AL51" t="s">
        <v>152</v>
      </c>
      <c r="AM51">
        <v>0.42070000000000002</v>
      </c>
      <c r="AN51" t="s">
        <v>253</v>
      </c>
    </row>
    <row r="52" spans="9:40" x14ac:dyDescent="0.45">
      <c r="I52" t="s">
        <v>178</v>
      </c>
      <c r="J52" t="s">
        <v>169</v>
      </c>
      <c r="K52">
        <v>1.1951625200760711E-2</v>
      </c>
      <c r="L52" t="s">
        <v>164</v>
      </c>
      <c r="N52" t="s">
        <v>211</v>
      </c>
      <c r="O52" t="s">
        <v>169</v>
      </c>
      <c r="P52">
        <v>0.11716080590179866</v>
      </c>
      <c r="Q52" t="s">
        <v>164</v>
      </c>
      <c r="S52" t="s">
        <v>231</v>
      </c>
      <c r="T52" t="s">
        <v>169</v>
      </c>
      <c r="U52">
        <v>7.9545618629724812E-2</v>
      </c>
      <c r="V52" t="s">
        <v>164</v>
      </c>
      <c r="AK52">
        <v>2035</v>
      </c>
      <c r="AL52" t="s">
        <v>156</v>
      </c>
      <c r="AM52">
        <v>0.36133333333333334</v>
      </c>
      <c r="AN52" t="s">
        <v>253</v>
      </c>
    </row>
    <row r="53" spans="9:40" x14ac:dyDescent="0.45">
      <c r="I53" t="s">
        <v>178</v>
      </c>
      <c r="J53" t="s">
        <v>170</v>
      </c>
      <c r="K53">
        <v>8.2423165971818715E-2</v>
      </c>
      <c r="L53" t="s">
        <v>164</v>
      </c>
      <c r="N53" t="s">
        <v>211</v>
      </c>
      <c r="O53" t="s">
        <v>170</v>
      </c>
      <c r="P53">
        <v>9.3685588724386648E-2</v>
      </c>
      <c r="Q53" t="s">
        <v>164</v>
      </c>
      <c r="S53" t="s">
        <v>231</v>
      </c>
      <c r="T53" t="s">
        <v>170</v>
      </c>
      <c r="U53">
        <v>0.1751443614243621</v>
      </c>
      <c r="V53" t="s">
        <v>164</v>
      </c>
      <c r="AK53">
        <v>2035</v>
      </c>
      <c r="AL53" t="s">
        <v>158</v>
      </c>
      <c r="AM53">
        <v>0.36594999999999994</v>
      </c>
      <c r="AN53" t="s">
        <v>253</v>
      </c>
    </row>
    <row r="54" spans="9:40" x14ac:dyDescent="0.45">
      <c r="I54" t="s">
        <v>178</v>
      </c>
      <c r="J54" t="s">
        <v>171</v>
      </c>
      <c r="K54">
        <v>0.39763893735931038</v>
      </c>
      <c r="L54" t="s">
        <v>164</v>
      </c>
      <c r="N54" t="s">
        <v>211</v>
      </c>
      <c r="O54" t="s">
        <v>171</v>
      </c>
      <c r="P54">
        <v>3.0718808231731946E-2</v>
      </c>
      <c r="Q54" t="s">
        <v>164</v>
      </c>
      <c r="S54" t="s">
        <v>231</v>
      </c>
      <c r="T54" t="s">
        <v>171</v>
      </c>
      <c r="U54">
        <v>0.13334811348395917</v>
      </c>
      <c r="V54" t="s">
        <v>164</v>
      </c>
      <c r="AK54">
        <v>2035</v>
      </c>
      <c r="AL54" t="s">
        <v>160</v>
      </c>
      <c r="AM54">
        <v>0.45929999999999999</v>
      </c>
      <c r="AN54" t="s">
        <v>253</v>
      </c>
    </row>
    <row r="55" spans="9:40" x14ac:dyDescent="0.45">
      <c r="I55" t="s">
        <v>178</v>
      </c>
      <c r="J55" t="s">
        <v>172</v>
      </c>
      <c r="K55">
        <v>2.1180468914684874E-2</v>
      </c>
      <c r="L55" t="s">
        <v>164</v>
      </c>
      <c r="N55" t="s">
        <v>211</v>
      </c>
      <c r="O55" t="s">
        <v>172</v>
      </c>
      <c r="P55">
        <v>0.12370702055821814</v>
      </c>
      <c r="Q55" t="s">
        <v>164</v>
      </c>
      <c r="S55" t="s">
        <v>231</v>
      </c>
      <c r="T55" t="s">
        <v>172</v>
      </c>
      <c r="U55">
        <v>0.12682649080913319</v>
      </c>
      <c r="V55" t="s">
        <v>164</v>
      </c>
      <c r="AK55">
        <v>2036</v>
      </c>
      <c r="AL55" t="s">
        <v>152</v>
      </c>
      <c r="AM55">
        <v>0.42674999999999996</v>
      </c>
      <c r="AN55" t="s">
        <v>253</v>
      </c>
    </row>
    <row r="56" spans="9:40" x14ac:dyDescent="0.45">
      <c r="I56" t="s">
        <v>178</v>
      </c>
      <c r="J56" t="s">
        <v>173</v>
      </c>
      <c r="K56">
        <v>1.2647964257210606E-2</v>
      </c>
      <c r="L56" t="s">
        <v>164</v>
      </c>
      <c r="N56" t="s">
        <v>211</v>
      </c>
      <c r="O56" t="s">
        <v>173</v>
      </c>
      <c r="P56">
        <v>4.3332349740819176E-2</v>
      </c>
      <c r="Q56" t="s">
        <v>164</v>
      </c>
      <c r="S56" t="s">
        <v>231</v>
      </c>
      <c r="T56" t="s">
        <v>173</v>
      </c>
      <c r="U56">
        <v>3.4298462069653465E-2</v>
      </c>
      <c r="V56" t="s">
        <v>164</v>
      </c>
      <c r="AK56">
        <v>2036</v>
      </c>
      <c r="AL56" t="s">
        <v>156</v>
      </c>
      <c r="AM56">
        <v>0.35533333333333333</v>
      </c>
      <c r="AN56" t="s">
        <v>253</v>
      </c>
    </row>
    <row r="57" spans="9:40" x14ac:dyDescent="0.45">
      <c r="I57" t="s">
        <v>178</v>
      </c>
      <c r="J57" t="s">
        <v>174</v>
      </c>
      <c r="K57">
        <v>6.2634830413649589E-2</v>
      </c>
      <c r="L57" t="s">
        <v>164</v>
      </c>
      <c r="N57" t="s">
        <v>211</v>
      </c>
      <c r="O57" t="s">
        <v>174</v>
      </c>
      <c r="P57">
        <v>1.8231890145162279E-2</v>
      </c>
      <c r="Q57" t="s">
        <v>164</v>
      </c>
      <c r="S57" t="s">
        <v>231</v>
      </c>
      <c r="T57" t="s">
        <v>174</v>
      </c>
      <c r="U57">
        <v>2.6857482002791491E-2</v>
      </c>
      <c r="V57" t="s">
        <v>164</v>
      </c>
      <c r="AK57">
        <v>2036</v>
      </c>
      <c r="AL57" t="s">
        <v>158</v>
      </c>
      <c r="AM57">
        <v>0.37869999999999998</v>
      </c>
      <c r="AN57" t="s">
        <v>253</v>
      </c>
    </row>
    <row r="58" spans="9:40" x14ac:dyDescent="0.45">
      <c r="I58" t="s">
        <v>178</v>
      </c>
      <c r="J58" t="s">
        <v>175</v>
      </c>
      <c r="K58">
        <v>3.5938155010264167E-3</v>
      </c>
      <c r="L58" t="s">
        <v>164</v>
      </c>
      <c r="N58" t="s">
        <v>211</v>
      </c>
      <c r="O58" t="s">
        <v>175</v>
      </c>
      <c r="P58">
        <v>4.5088339166008837E-2</v>
      </c>
      <c r="Q58" t="s">
        <v>164</v>
      </c>
      <c r="S58" t="s">
        <v>231</v>
      </c>
      <c r="T58" t="s">
        <v>175</v>
      </c>
      <c r="U58">
        <v>2.4909234622814261E-2</v>
      </c>
      <c r="V58" t="s">
        <v>164</v>
      </c>
      <c r="AK58">
        <v>2036</v>
      </c>
      <c r="AL58" t="s">
        <v>160</v>
      </c>
      <c r="AM58">
        <v>0.43340000000000001</v>
      </c>
      <c r="AN58" t="s">
        <v>253</v>
      </c>
    </row>
    <row r="59" spans="9:40" x14ac:dyDescent="0.45">
      <c r="I59" t="s">
        <v>179</v>
      </c>
      <c r="J59" t="s">
        <v>163</v>
      </c>
      <c r="K59">
        <v>2.1716752158394952E-2</v>
      </c>
      <c r="L59" t="s">
        <v>164</v>
      </c>
      <c r="N59" t="s">
        <v>212</v>
      </c>
      <c r="O59" t="s">
        <v>163</v>
      </c>
      <c r="P59">
        <v>5.975464422362025E-2</v>
      </c>
      <c r="Q59" t="s">
        <v>164</v>
      </c>
      <c r="S59" t="s">
        <v>232</v>
      </c>
      <c r="T59" t="s">
        <v>163</v>
      </c>
      <c r="U59">
        <v>8.4036362740323486E-2</v>
      </c>
      <c r="V59" t="s">
        <v>164</v>
      </c>
      <c r="AK59">
        <v>2037</v>
      </c>
      <c r="AL59" t="s">
        <v>152</v>
      </c>
      <c r="AM59">
        <v>0.4138</v>
      </c>
      <c r="AN59" t="s">
        <v>253</v>
      </c>
    </row>
    <row r="60" spans="9:40" x14ac:dyDescent="0.45">
      <c r="I60" t="s">
        <v>179</v>
      </c>
      <c r="J60" t="s">
        <v>165</v>
      </c>
      <c r="K60">
        <v>0.12842555541677822</v>
      </c>
      <c r="L60" t="s">
        <v>164</v>
      </c>
      <c r="N60" t="s">
        <v>212</v>
      </c>
      <c r="O60" t="s">
        <v>165</v>
      </c>
      <c r="P60">
        <v>0.13429840091959855</v>
      </c>
      <c r="Q60" t="s">
        <v>164</v>
      </c>
      <c r="S60" t="s">
        <v>232</v>
      </c>
      <c r="T60" t="s">
        <v>165</v>
      </c>
      <c r="U60">
        <v>5.8705049896835913E-2</v>
      </c>
      <c r="V60" t="s">
        <v>164</v>
      </c>
      <c r="AK60">
        <v>2037</v>
      </c>
      <c r="AL60" t="s">
        <v>156</v>
      </c>
      <c r="AM60">
        <v>0.35423333333333334</v>
      </c>
      <c r="AN60" t="s">
        <v>253</v>
      </c>
    </row>
    <row r="61" spans="9:40" x14ac:dyDescent="0.45">
      <c r="I61" t="s">
        <v>179</v>
      </c>
      <c r="J61" t="s">
        <v>166</v>
      </c>
      <c r="K61">
        <v>7.4546106094982969E-3</v>
      </c>
      <c r="L61" t="s">
        <v>164</v>
      </c>
      <c r="N61" t="s">
        <v>212</v>
      </c>
      <c r="O61" t="s">
        <v>166</v>
      </c>
      <c r="P61">
        <v>0.11609665345846996</v>
      </c>
      <c r="Q61" t="s">
        <v>164</v>
      </c>
      <c r="S61" t="s">
        <v>232</v>
      </c>
      <c r="T61" t="s">
        <v>166</v>
      </c>
      <c r="U61">
        <v>4.9167755284415977E-2</v>
      </c>
      <c r="V61" t="s">
        <v>164</v>
      </c>
      <c r="AK61">
        <v>2037</v>
      </c>
      <c r="AL61" t="s">
        <v>158</v>
      </c>
      <c r="AM61">
        <v>0.36663333333333331</v>
      </c>
      <c r="AN61" t="s">
        <v>253</v>
      </c>
    </row>
    <row r="62" spans="9:40" x14ac:dyDescent="0.45">
      <c r="I62" t="s">
        <v>179</v>
      </c>
      <c r="J62" t="s">
        <v>167</v>
      </c>
      <c r="K62">
        <v>4.1457497569456124E-2</v>
      </c>
      <c r="L62" t="s">
        <v>164</v>
      </c>
      <c r="N62" t="s">
        <v>212</v>
      </c>
      <c r="O62" t="s">
        <v>167</v>
      </c>
      <c r="P62">
        <v>3.0438833703693359E-2</v>
      </c>
      <c r="Q62" t="s">
        <v>164</v>
      </c>
      <c r="S62" t="s">
        <v>232</v>
      </c>
      <c r="T62" t="s">
        <v>167</v>
      </c>
      <c r="U62">
        <v>0.12539422032939596</v>
      </c>
      <c r="V62" t="s">
        <v>164</v>
      </c>
      <c r="AK62">
        <v>2037</v>
      </c>
      <c r="AL62" t="s">
        <v>160</v>
      </c>
      <c r="AM62">
        <v>0.41539999999999999</v>
      </c>
      <c r="AN62" t="s">
        <v>253</v>
      </c>
    </row>
    <row r="63" spans="9:40" x14ac:dyDescent="0.45">
      <c r="I63" t="s">
        <v>179</v>
      </c>
      <c r="J63" t="s">
        <v>168</v>
      </c>
      <c r="K63">
        <v>0.1991965556811178</v>
      </c>
      <c r="L63" t="s">
        <v>164</v>
      </c>
      <c r="N63" t="s">
        <v>212</v>
      </c>
      <c r="O63" t="s">
        <v>168</v>
      </c>
      <c r="P63">
        <v>0.14134750656879697</v>
      </c>
      <c r="Q63" t="s">
        <v>164</v>
      </c>
      <c r="S63" t="s">
        <v>232</v>
      </c>
      <c r="T63" t="s">
        <v>168</v>
      </c>
      <c r="U63">
        <v>9.0094074887077741E-2</v>
      </c>
      <c r="V63" t="s">
        <v>164</v>
      </c>
      <c r="AK63">
        <v>2038</v>
      </c>
      <c r="AL63" t="s">
        <v>152</v>
      </c>
      <c r="AM63">
        <v>0.42305000000000004</v>
      </c>
      <c r="AN63" t="s">
        <v>253</v>
      </c>
    </row>
    <row r="64" spans="9:40" x14ac:dyDescent="0.45">
      <c r="I64" t="s">
        <v>179</v>
      </c>
      <c r="J64" t="s">
        <v>169</v>
      </c>
      <c r="K64">
        <v>1.0461163702899429E-2</v>
      </c>
      <c r="L64" t="s">
        <v>164</v>
      </c>
      <c r="N64" t="s">
        <v>212</v>
      </c>
      <c r="O64" t="s">
        <v>169</v>
      </c>
      <c r="P64">
        <v>9.9913058560629722E-2</v>
      </c>
      <c r="Q64" t="s">
        <v>164</v>
      </c>
      <c r="S64" t="s">
        <v>232</v>
      </c>
      <c r="T64" t="s">
        <v>169</v>
      </c>
      <c r="U64">
        <v>8.0958217235925223E-2</v>
      </c>
      <c r="V64" t="s">
        <v>164</v>
      </c>
      <c r="AK64">
        <v>2038</v>
      </c>
      <c r="AL64" t="s">
        <v>156</v>
      </c>
      <c r="AM64">
        <v>0.36016666666666669</v>
      </c>
      <c r="AN64" t="s">
        <v>253</v>
      </c>
    </row>
    <row r="65" spans="9:40" x14ac:dyDescent="0.45">
      <c r="I65" t="s">
        <v>179</v>
      </c>
      <c r="J65" t="s">
        <v>170</v>
      </c>
      <c r="K65">
        <v>8.439229891766413E-2</v>
      </c>
      <c r="L65" t="s">
        <v>164</v>
      </c>
      <c r="N65" t="s">
        <v>212</v>
      </c>
      <c r="O65" t="s">
        <v>170</v>
      </c>
      <c r="P65">
        <v>6.8752899555810432E-2</v>
      </c>
      <c r="Q65" t="s">
        <v>164</v>
      </c>
      <c r="S65" t="s">
        <v>232</v>
      </c>
      <c r="T65" t="s">
        <v>170</v>
      </c>
      <c r="U65">
        <v>0.18262523380039217</v>
      </c>
      <c r="V65" t="s">
        <v>164</v>
      </c>
      <c r="AK65">
        <v>2038</v>
      </c>
      <c r="AL65" t="s">
        <v>158</v>
      </c>
      <c r="AM65">
        <v>0.37641666666666668</v>
      </c>
      <c r="AN65" t="s">
        <v>253</v>
      </c>
    </row>
    <row r="66" spans="9:40" x14ac:dyDescent="0.45">
      <c r="I66" t="s">
        <v>179</v>
      </c>
      <c r="J66" t="s">
        <v>171</v>
      </c>
      <c r="K66">
        <v>0.41066534819098649</v>
      </c>
      <c r="L66" t="s">
        <v>164</v>
      </c>
      <c r="N66" t="s">
        <v>212</v>
      </c>
      <c r="O66" t="s">
        <v>171</v>
      </c>
      <c r="P66">
        <v>0.13294283063111267</v>
      </c>
      <c r="Q66" t="s">
        <v>164</v>
      </c>
      <c r="S66" t="s">
        <v>232</v>
      </c>
      <c r="T66" t="s">
        <v>171</v>
      </c>
      <c r="U66">
        <v>0.12060869656539926</v>
      </c>
      <c r="V66" t="s">
        <v>164</v>
      </c>
      <c r="AK66">
        <v>2038</v>
      </c>
      <c r="AL66" t="s">
        <v>160</v>
      </c>
      <c r="AM66">
        <v>0.41870000000000002</v>
      </c>
      <c r="AN66" t="s">
        <v>253</v>
      </c>
    </row>
    <row r="67" spans="9:40" x14ac:dyDescent="0.45">
      <c r="I67" t="s">
        <v>179</v>
      </c>
      <c r="J67" t="s">
        <v>172</v>
      </c>
      <c r="K67">
        <v>1.957059017712871E-2</v>
      </c>
      <c r="L67" t="s">
        <v>164</v>
      </c>
      <c r="N67" t="s">
        <v>212</v>
      </c>
      <c r="O67" t="s">
        <v>172</v>
      </c>
      <c r="P67">
        <v>0.10813061064460881</v>
      </c>
      <c r="Q67" t="s">
        <v>164</v>
      </c>
      <c r="S67" t="s">
        <v>232</v>
      </c>
      <c r="T67" t="s">
        <v>172</v>
      </c>
      <c r="U67">
        <v>0.11895305137034363</v>
      </c>
      <c r="V67" t="s">
        <v>164</v>
      </c>
      <c r="AK67">
        <v>2039</v>
      </c>
      <c r="AL67" t="s">
        <v>152</v>
      </c>
      <c r="AM67">
        <v>0.43179999999999996</v>
      </c>
      <c r="AN67" t="s">
        <v>253</v>
      </c>
    </row>
    <row r="68" spans="9:40" x14ac:dyDescent="0.45">
      <c r="I68" t="s">
        <v>179</v>
      </c>
      <c r="J68" t="s">
        <v>173</v>
      </c>
      <c r="K68">
        <v>1.1136531064351954E-2</v>
      </c>
      <c r="L68" t="s">
        <v>164</v>
      </c>
      <c r="N68" t="s">
        <v>212</v>
      </c>
      <c r="O68" t="s">
        <v>173</v>
      </c>
      <c r="P68">
        <v>1.9228946647302372E-2</v>
      </c>
      <c r="Q68" t="s">
        <v>164</v>
      </c>
      <c r="S68" t="s">
        <v>232</v>
      </c>
      <c r="T68" t="s">
        <v>173</v>
      </c>
      <c r="U68">
        <v>3.7850460603727064E-2</v>
      </c>
      <c r="V68" t="s">
        <v>164</v>
      </c>
      <c r="AK68">
        <v>2039</v>
      </c>
      <c r="AL68" t="s">
        <v>156</v>
      </c>
      <c r="AM68">
        <v>0.35659999999999997</v>
      </c>
      <c r="AN68" t="s">
        <v>253</v>
      </c>
    </row>
    <row r="69" spans="9:40" x14ac:dyDescent="0.45">
      <c r="I69" t="s">
        <v>179</v>
      </c>
      <c r="J69" t="s">
        <v>174</v>
      </c>
      <c r="K69">
        <v>6.2229661642211033E-2</v>
      </c>
      <c r="L69" t="s">
        <v>164</v>
      </c>
      <c r="N69" t="s">
        <v>212</v>
      </c>
      <c r="O69" t="s">
        <v>174</v>
      </c>
      <c r="P69">
        <v>4.471928362991974E-2</v>
      </c>
      <c r="Q69" t="s">
        <v>164</v>
      </c>
      <c r="S69" t="s">
        <v>232</v>
      </c>
      <c r="T69" t="s">
        <v>174</v>
      </c>
      <c r="U69">
        <v>2.6496223875718008E-2</v>
      </c>
      <c r="V69" t="s">
        <v>164</v>
      </c>
      <c r="AK69">
        <v>2039</v>
      </c>
      <c r="AL69" t="s">
        <v>158</v>
      </c>
      <c r="AM69">
        <v>0.38896666666666668</v>
      </c>
      <c r="AN69" t="s">
        <v>253</v>
      </c>
    </row>
    <row r="70" spans="9:40" x14ac:dyDescent="0.45">
      <c r="I70" t="s">
        <v>179</v>
      </c>
      <c r="J70" t="s">
        <v>175</v>
      </c>
      <c r="K70">
        <v>3.2934348695132622E-3</v>
      </c>
      <c r="L70" t="s">
        <v>164</v>
      </c>
      <c r="N70" t="s">
        <v>212</v>
      </c>
      <c r="O70" t="s">
        <v>175</v>
      </c>
      <c r="P70">
        <v>4.4376331456441938E-2</v>
      </c>
      <c r="Q70" t="s">
        <v>164</v>
      </c>
      <c r="S70" t="s">
        <v>232</v>
      </c>
      <c r="T70" t="s">
        <v>175</v>
      </c>
      <c r="U70">
        <v>2.5110653410446184E-2</v>
      </c>
      <c r="V70" t="s">
        <v>164</v>
      </c>
      <c r="AK70">
        <v>2039</v>
      </c>
      <c r="AL70" t="s">
        <v>160</v>
      </c>
      <c r="AM70">
        <v>0.3947</v>
      </c>
      <c r="AN70" t="s">
        <v>253</v>
      </c>
    </row>
    <row r="71" spans="9:40" x14ac:dyDescent="0.45">
      <c r="I71" t="s">
        <v>180</v>
      </c>
      <c r="J71" t="s">
        <v>163</v>
      </c>
      <c r="K71">
        <v>2.7558789695813008E-2</v>
      </c>
      <c r="L71" t="s">
        <v>164</v>
      </c>
      <c r="N71" t="s">
        <v>213</v>
      </c>
      <c r="O71" t="s">
        <v>163</v>
      </c>
      <c r="P71">
        <v>8.6998111836554246E-2</v>
      </c>
      <c r="Q71" t="s">
        <v>164</v>
      </c>
      <c r="S71" t="s">
        <v>233</v>
      </c>
      <c r="T71" t="s">
        <v>163</v>
      </c>
      <c r="U71">
        <v>7.4430615243028977E-2</v>
      </c>
      <c r="V71" t="s">
        <v>164</v>
      </c>
      <c r="AK71">
        <v>2040</v>
      </c>
      <c r="AL71" t="s">
        <v>152</v>
      </c>
      <c r="AM71">
        <v>0.45865</v>
      </c>
      <c r="AN71" t="s">
        <v>253</v>
      </c>
    </row>
    <row r="72" spans="9:40" x14ac:dyDescent="0.45">
      <c r="I72" t="s">
        <v>180</v>
      </c>
      <c r="J72" t="s">
        <v>165</v>
      </c>
      <c r="K72">
        <v>0.13653363673100172</v>
      </c>
      <c r="L72" t="s">
        <v>164</v>
      </c>
      <c r="N72" t="s">
        <v>213</v>
      </c>
      <c r="O72" t="s">
        <v>165</v>
      </c>
      <c r="P72">
        <v>8.6277066411208636E-2</v>
      </c>
      <c r="Q72" t="s">
        <v>164</v>
      </c>
      <c r="S72" t="s">
        <v>233</v>
      </c>
      <c r="T72" t="s">
        <v>165</v>
      </c>
      <c r="U72">
        <v>6.2632412797624867E-2</v>
      </c>
      <c r="V72" t="s">
        <v>164</v>
      </c>
      <c r="AK72">
        <v>2040</v>
      </c>
      <c r="AL72" t="s">
        <v>156</v>
      </c>
      <c r="AM72">
        <v>0.3329333333333333</v>
      </c>
      <c r="AN72" t="s">
        <v>253</v>
      </c>
    </row>
    <row r="73" spans="9:40" x14ac:dyDescent="0.45">
      <c r="I73" t="s">
        <v>180</v>
      </c>
      <c r="J73" t="s">
        <v>166</v>
      </c>
      <c r="K73">
        <v>8.5924188842601296E-3</v>
      </c>
      <c r="L73" t="s">
        <v>164</v>
      </c>
      <c r="N73" t="s">
        <v>213</v>
      </c>
      <c r="O73" t="s">
        <v>166</v>
      </c>
      <c r="P73">
        <v>0.14294676675253537</v>
      </c>
      <c r="Q73" t="s">
        <v>164</v>
      </c>
      <c r="S73" t="s">
        <v>233</v>
      </c>
      <c r="T73" t="s">
        <v>166</v>
      </c>
      <c r="U73">
        <v>5.6451406236088353E-2</v>
      </c>
      <c r="V73" t="s">
        <v>164</v>
      </c>
      <c r="AK73">
        <v>2040</v>
      </c>
      <c r="AL73" t="s">
        <v>158</v>
      </c>
      <c r="AM73">
        <v>0.37113333333333332</v>
      </c>
      <c r="AN73" t="s">
        <v>253</v>
      </c>
    </row>
    <row r="74" spans="9:40" x14ac:dyDescent="0.45">
      <c r="I74" t="s">
        <v>180</v>
      </c>
      <c r="J74" t="s">
        <v>167</v>
      </c>
      <c r="K74">
        <v>4.8488008790405351E-2</v>
      </c>
      <c r="L74" t="s">
        <v>164</v>
      </c>
      <c r="N74" t="s">
        <v>213</v>
      </c>
      <c r="O74" t="s">
        <v>167</v>
      </c>
      <c r="P74">
        <v>8.9105311033403092E-2</v>
      </c>
      <c r="Q74" t="s">
        <v>164</v>
      </c>
      <c r="S74" t="s">
        <v>233</v>
      </c>
      <c r="T74" t="s">
        <v>167</v>
      </c>
      <c r="U74">
        <v>0.1301088336018629</v>
      </c>
      <c r="V74" t="s">
        <v>164</v>
      </c>
      <c r="AK74">
        <v>2040</v>
      </c>
      <c r="AL74" t="s">
        <v>160</v>
      </c>
      <c r="AM74">
        <v>0.44130000000000003</v>
      </c>
      <c r="AN74" t="s">
        <v>253</v>
      </c>
    </row>
    <row r="75" spans="9:40" x14ac:dyDescent="0.45">
      <c r="I75" t="s">
        <v>180</v>
      </c>
      <c r="J75" t="s">
        <v>168</v>
      </c>
      <c r="K75">
        <v>0.20431855286866527</v>
      </c>
      <c r="L75" t="s">
        <v>164</v>
      </c>
      <c r="N75" t="s">
        <v>213</v>
      </c>
      <c r="O75" t="s">
        <v>168</v>
      </c>
      <c r="P75">
        <v>8.2037587214752808E-2</v>
      </c>
      <c r="Q75" t="s">
        <v>164</v>
      </c>
      <c r="S75" t="s">
        <v>233</v>
      </c>
      <c r="T75" t="s">
        <v>168</v>
      </c>
      <c r="U75">
        <v>0.10916048856235798</v>
      </c>
      <c r="V75" t="s">
        <v>164</v>
      </c>
      <c r="AK75">
        <v>2041</v>
      </c>
      <c r="AL75" t="s">
        <v>152</v>
      </c>
      <c r="AM75">
        <v>0.44989999999999997</v>
      </c>
      <c r="AN75" t="s">
        <v>253</v>
      </c>
    </row>
    <row r="76" spans="9:40" x14ac:dyDescent="0.45">
      <c r="I76" t="s">
        <v>180</v>
      </c>
      <c r="J76" t="s">
        <v>169</v>
      </c>
      <c r="K76">
        <v>1.1805520300340905E-2</v>
      </c>
      <c r="L76" t="s">
        <v>164</v>
      </c>
      <c r="N76" t="s">
        <v>213</v>
      </c>
      <c r="O76" t="s">
        <v>169</v>
      </c>
      <c r="P76">
        <v>0.13601887286404213</v>
      </c>
      <c r="Q76" t="s">
        <v>164</v>
      </c>
      <c r="S76" t="s">
        <v>233</v>
      </c>
      <c r="T76" t="s">
        <v>169</v>
      </c>
      <c r="U76">
        <v>0.10289075371958874</v>
      </c>
      <c r="V76" t="s">
        <v>164</v>
      </c>
      <c r="AK76">
        <v>2041</v>
      </c>
      <c r="AL76" t="s">
        <v>156</v>
      </c>
      <c r="AM76">
        <v>0.36076666666666668</v>
      </c>
      <c r="AN76" t="s">
        <v>253</v>
      </c>
    </row>
    <row r="77" spans="9:40" x14ac:dyDescent="0.45">
      <c r="I77" t="s">
        <v>180</v>
      </c>
      <c r="J77" t="s">
        <v>170</v>
      </c>
      <c r="K77">
        <v>8.6614755003470212E-2</v>
      </c>
      <c r="L77" t="s">
        <v>164</v>
      </c>
      <c r="N77" t="s">
        <v>213</v>
      </c>
      <c r="O77" t="s">
        <v>170</v>
      </c>
      <c r="P77">
        <v>7.2968574891585467E-2</v>
      </c>
      <c r="Q77" t="s">
        <v>164</v>
      </c>
      <c r="S77" t="s">
        <v>233</v>
      </c>
      <c r="T77" t="s">
        <v>170</v>
      </c>
      <c r="U77">
        <v>0.14543058705844902</v>
      </c>
      <c r="V77" t="s">
        <v>164</v>
      </c>
      <c r="AK77">
        <v>2041</v>
      </c>
      <c r="AL77" t="s">
        <v>158</v>
      </c>
      <c r="AM77">
        <v>0.38490000000000002</v>
      </c>
      <c r="AN77" t="s">
        <v>253</v>
      </c>
    </row>
    <row r="78" spans="9:40" x14ac:dyDescent="0.45">
      <c r="I78" t="s">
        <v>180</v>
      </c>
      <c r="J78" t="s">
        <v>171</v>
      </c>
      <c r="K78">
        <v>0.38047415824928887</v>
      </c>
      <c r="L78" t="s">
        <v>164</v>
      </c>
      <c r="N78" t="s">
        <v>213</v>
      </c>
      <c r="O78" t="s">
        <v>171</v>
      </c>
      <c r="P78">
        <v>8.7088551121237812E-2</v>
      </c>
      <c r="Q78" t="s">
        <v>164</v>
      </c>
      <c r="S78" t="s">
        <v>233</v>
      </c>
      <c r="T78" t="s">
        <v>171</v>
      </c>
      <c r="U78">
        <v>0.10928642993077523</v>
      </c>
      <c r="V78" t="s">
        <v>164</v>
      </c>
      <c r="AK78">
        <v>2041</v>
      </c>
      <c r="AL78" t="s">
        <v>160</v>
      </c>
      <c r="AM78">
        <v>0.40310000000000001</v>
      </c>
      <c r="AN78" t="s">
        <v>253</v>
      </c>
    </row>
    <row r="79" spans="9:40" x14ac:dyDescent="0.45">
      <c r="I79" t="s">
        <v>180</v>
      </c>
      <c r="J79" t="s">
        <v>172</v>
      </c>
      <c r="K79">
        <v>1.9249563653396817E-2</v>
      </c>
      <c r="L79" t="s">
        <v>164</v>
      </c>
      <c r="N79" t="s">
        <v>213</v>
      </c>
      <c r="O79" t="s">
        <v>172</v>
      </c>
      <c r="P79">
        <v>0.10860504541373464</v>
      </c>
      <c r="Q79" t="s">
        <v>164</v>
      </c>
      <c r="S79" t="s">
        <v>233</v>
      </c>
      <c r="T79" t="s">
        <v>172</v>
      </c>
      <c r="U79">
        <v>0.12280629345263643</v>
      </c>
      <c r="V79" t="s">
        <v>164</v>
      </c>
      <c r="AK79">
        <v>2042</v>
      </c>
      <c r="AL79" t="s">
        <v>152</v>
      </c>
      <c r="AM79">
        <v>0.44379999999999997</v>
      </c>
      <c r="AN79" t="s">
        <v>253</v>
      </c>
    </row>
    <row r="80" spans="9:40" x14ac:dyDescent="0.45">
      <c r="I80" t="s">
        <v>180</v>
      </c>
      <c r="J80" t="s">
        <v>173</v>
      </c>
      <c r="K80">
        <v>1.4231417055818492E-2</v>
      </c>
      <c r="L80" t="s">
        <v>164</v>
      </c>
      <c r="N80" t="s">
        <v>213</v>
      </c>
      <c r="O80" t="s">
        <v>173</v>
      </c>
      <c r="P80">
        <v>2.6456404187932249E-2</v>
      </c>
      <c r="Q80" t="s">
        <v>164</v>
      </c>
      <c r="S80" t="s">
        <v>233</v>
      </c>
      <c r="T80" t="s">
        <v>173</v>
      </c>
      <c r="U80">
        <v>3.4117787684322297E-2</v>
      </c>
      <c r="V80" t="s">
        <v>164</v>
      </c>
      <c r="AK80">
        <v>2042</v>
      </c>
      <c r="AL80" t="s">
        <v>156</v>
      </c>
      <c r="AM80">
        <v>0.35136666666666666</v>
      </c>
      <c r="AN80" t="s">
        <v>253</v>
      </c>
    </row>
    <row r="81" spans="9:40" x14ac:dyDescent="0.45">
      <c r="I81" t="s">
        <v>180</v>
      </c>
      <c r="J81" t="s">
        <v>174</v>
      </c>
      <c r="K81">
        <v>5.9172992949780116E-2</v>
      </c>
      <c r="L81" t="s">
        <v>164</v>
      </c>
      <c r="N81" t="s">
        <v>213</v>
      </c>
      <c r="O81" t="s">
        <v>174</v>
      </c>
      <c r="P81">
        <v>4.0349784974318841E-2</v>
      </c>
      <c r="Q81" t="s">
        <v>164</v>
      </c>
      <c r="S81" t="s">
        <v>233</v>
      </c>
      <c r="T81" t="s">
        <v>174</v>
      </c>
      <c r="U81">
        <v>2.7365309167888194E-2</v>
      </c>
      <c r="V81" t="s">
        <v>164</v>
      </c>
      <c r="AK81">
        <v>2042</v>
      </c>
      <c r="AL81" t="s">
        <v>158</v>
      </c>
      <c r="AM81">
        <v>0.36880000000000002</v>
      </c>
      <c r="AN81" t="s">
        <v>253</v>
      </c>
    </row>
    <row r="82" spans="9:40" x14ac:dyDescent="0.45">
      <c r="I82" t="s">
        <v>180</v>
      </c>
      <c r="J82" t="s">
        <v>175</v>
      </c>
      <c r="K82">
        <v>2.9601858177633424E-3</v>
      </c>
      <c r="L82" t="s">
        <v>164</v>
      </c>
      <c r="N82" t="s">
        <v>213</v>
      </c>
      <c r="O82" t="s">
        <v>175</v>
      </c>
      <c r="P82">
        <v>4.1147923298691956E-2</v>
      </c>
      <c r="Q82" t="s">
        <v>164</v>
      </c>
      <c r="S82" t="s">
        <v>233</v>
      </c>
      <c r="T82" t="s">
        <v>175</v>
      </c>
      <c r="U82">
        <v>2.531908254537794E-2</v>
      </c>
      <c r="V82" t="s">
        <v>164</v>
      </c>
      <c r="AK82">
        <v>2042</v>
      </c>
      <c r="AL82" t="s">
        <v>160</v>
      </c>
      <c r="AM82">
        <v>0.45279999999999998</v>
      </c>
      <c r="AN82" t="s">
        <v>253</v>
      </c>
    </row>
    <row r="83" spans="9:40" x14ac:dyDescent="0.45">
      <c r="I83" t="s">
        <v>181</v>
      </c>
      <c r="J83" t="s">
        <v>163</v>
      </c>
      <c r="K83">
        <v>2.3128639058904284E-2</v>
      </c>
      <c r="L83" t="s">
        <v>164</v>
      </c>
      <c r="N83" t="s">
        <v>214</v>
      </c>
      <c r="O83" t="s">
        <v>163</v>
      </c>
      <c r="P83">
        <v>0.13383058308505882</v>
      </c>
      <c r="Q83" t="s">
        <v>164</v>
      </c>
      <c r="S83" t="s">
        <v>234</v>
      </c>
      <c r="T83" t="s">
        <v>163</v>
      </c>
      <c r="U83">
        <v>8.9136414474197206E-2</v>
      </c>
      <c r="V83" t="s">
        <v>164</v>
      </c>
      <c r="AK83">
        <v>2043</v>
      </c>
      <c r="AL83" t="s">
        <v>152</v>
      </c>
      <c r="AM83">
        <v>0.41715000000000002</v>
      </c>
      <c r="AN83" t="s">
        <v>253</v>
      </c>
    </row>
    <row r="84" spans="9:40" x14ac:dyDescent="0.45">
      <c r="I84" t="s">
        <v>181</v>
      </c>
      <c r="J84" t="s">
        <v>165</v>
      </c>
      <c r="K84">
        <v>0.13695669015905862</v>
      </c>
      <c r="L84" t="s">
        <v>164</v>
      </c>
      <c r="N84" t="s">
        <v>214</v>
      </c>
      <c r="O84" t="s">
        <v>165</v>
      </c>
      <c r="P84">
        <v>8.4344669356608462E-2</v>
      </c>
      <c r="Q84" t="s">
        <v>164</v>
      </c>
      <c r="S84" t="s">
        <v>234</v>
      </c>
      <c r="T84" t="s">
        <v>165</v>
      </c>
      <c r="U84">
        <v>5.4935665862153413E-2</v>
      </c>
      <c r="V84" t="s">
        <v>164</v>
      </c>
      <c r="AK84">
        <v>2043</v>
      </c>
      <c r="AL84" t="s">
        <v>156</v>
      </c>
      <c r="AM84">
        <v>0.34410000000000002</v>
      </c>
      <c r="AN84" t="s">
        <v>253</v>
      </c>
    </row>
    <row r="85" spans="9:40" x14ac:dyDescent="0.45">
      <c r="I85" t="s">
        <v>181</v>
      </c>
      <c r="J85" t="s">
        <v>166</v>
      </c>
      <c r="K85">
        <v>8.8942393060309575E-3</v>
      </c>
      <c r="L85" t="s">
        <v>164</v>
      </c>
      <c r="N85" t="s">
        <v>214</v>
      </c>
      <c r="O85" t="s">
        <v>166</v>
      </c>
      <c r="P85">
        <v>0.12693336999102492</v>
      </c>
      <c r="Q85" t="s">
        <v>164</v>
      </c>
      <c r="S85" t="s">
        <v>234</v>
      </c>
      <c r="T85" t="s">
        <v>166</v>
      </c>
      <c r="U85">
        <v>5.6604589702121948E-2</v>
      </c>
      <c r="V85" t="s">
        <v>164</v>
      </c>
      <c r="AK85">
        <v>2043</v>
      </c>
      <c r="AL85" t="s">
        <v>158</v>
      </c>
      <c r="AM85">
        <v>0.36536666666666667</v>
      </c>
      <c r="AN85" t="s">
        <v>253</v>
      </c>
    </row>
    <row r="86" spans="9:40" x14ac:dyDescent="0.45">
      <c r="I86" t="s">
        <v>181</v>
      </c>
      <c r="J86" t="s">
        <v>167</v>
      </c>
      <c r="K86">
        <v>4.2831088032941868E-2</v>
      </c>
      <c r="L86" t="s">
        <v>164</v>
      </c>
      <c r="N86" t="s">
        <v>214</v>
      </c>
      <c r="O86" t="s">
        <v>167</v>
      </c>
      <c r="P86">
        <v>0.12093148051233804</v>
      </c>
      <c r="Q86" t="s">
        <v>164</v>
      </c>
      <c r="S86" t="s">
        <v>234</v>
      </c>
      <c r="T86" t="s">
        <v>167</v>
      </c>
      <c r="U86">
        <v>0.13966107860537233</v>
      </c>
      <c r="V86" t="s">
        <v>164</v>
      </c>
      <c r="AK86">
        <v>2043</v>
      </c>
      <c r="AL86" t="s">
        <v>160</v>
      </c>
      <c r="AM86">
        <v>0.41710000000000003</v>
      </c>
      <c r="AN86" t="s">
        <v>253</v>
      </c>
    </row>
    <row r="87" spans="9:40" x14ac:dyDescent="0.45">
      <c r="I87" t="s">
        <v>181</v>
      </c>
      <c r="J87" t="s">
        <v>168</v>
      </c>
      <c r="K87">
        <v>0.2063492208699706</v>
      </c>
      <c r="L87" t="s">
        <v>164</v>
      </c>
      <c r="N87" t="s">
        <v>214</v>
      </c>
      <c r="O87" t="s">
        <v>168</v>
      </c>
      <c r="P87">
        <v>6.5272823036371261E-2</v>
      </c>
      <c r="Q87" t="s">
        <v>164</v>
      </c>
      <c r="S87" t="s">
        <v>234</v>
      </c>
      <c r="T87" t="s">
        <v>168</v>
      </c>
      <c r="U87">
        <v>8.441723007209373E-2</v>
      </c>
      <c r="V87" t="s">
        <v>164</v>
      </c>
      <c r="AK87">
        <v>2044</v>
      </c>
      <c r="AL87" t="s">
        <v>152</v>
      </c>
      <c r="AM87">
        <v>0.44084999999999996</v>
      </c>
      <c r="AN87" t="s">
        <v>253</v>
      </c>
    </row>
    <row r="88" spans="9:40" x14ac:dyDescent="0.45">
      <c r="I88" t="s">
        <v>181</v>
      </c>
      <c r="J88" t="s">
        <v>169</v>
      </c>
      <c r="K88">
        <v>1.1934103413824195E-2</v>
      </c>
      <c r="L88" t="s">
        <v>164</v>
      </c>
      <c r="N88" t="s">
        <v>214</v>
      </c>
      <c r="O88" t="s">
        <v>169</v>
      </c>
      <c r="P88">
        <v>9.9296555370396153E-2</v>
      </c>
      <c r="Q88" t="s">
        <v>164</v>
      </c>
      <c r="S88" t="s">
        <v>234</v>
      </c>
      <c r="T88" t="s">
        <v>169</v>
      </c>
      <c r="U88">
        <v>9.7094007243989075E-2</v>
      </c>
      <c r="V88" t="s">
        <v>164</v>
      </c>
      <c r="AK88">
        <v>2044</v>
      </c>
      <c r="AL88" t="s">
        <v>156</v>
      </c>
      <c r="AM88">
        <v>0.36549999999999994</v>
      </c>
      <c r="AN88" t="s">
        <v>253</v>
      </c>
    </row>
    <row r="89" spans="9:40" x14ac:dyDescent="0.45">
      <c r="I89" t="s">
        <v>181</v>
      </c>
      <c r="J89" t="s">
        <v>170</v>
      </c>
      <c r="K89">
        <v>8.157903739397572E-2</v>
      </c>
      <c r="L89" t="s">
        <v>164</v>
      </c>
      <c r="N89" t="s">
        <v>214</v>
      </c>
      <c r="O89" t="s">
        <v>170</v>
      </c>
      <c r="P89">
        <v>9.253281194346398E-2</v>
      </c>
      <c r="Q89" t="s">
        <v>164</v>
      </c>
      <c r="S89" t="s">
        <v>234</v>
      </c>
      <c r="T89" t="s">
        <v>170</v>
      </c>
      <c r="U89">
        <v>0.17230298405940947</v>
      </c>
      <c r="V89" t="s">
        <v>164</v>
      </c>
      <c r="AK89">
        <v>2044</v>
      </c>
      <c r="AL89" t="s">
        <v>158</v>
      </c>
      <c r="AM89">
        <v>0.37748333333333334</v>
      </c>
      <c r="AN89" t="s">
        <v>253</v>
      </c>
    </row>
    <row r="90" spans="9:40" x14ac:dyDescent="0.45">
      <c r="I90" t="s">
        <v>181</v>
      </c>
      <c r="J90" t="s">
        <v>171</v>
      </c>
      <c r="K90">
        <v>0.3890405192423797</v>
      </c>
      <c r="L90" t="s">
        <v>164</v>
      </c>
      <c r="N90" t="s">
        <v>214</v>
      </c>
      <c r="O90" t="s">
        <v>171</v>
      </c>
      <c r="P90">
        <v>6.6333631347346711E-2</v>
      </c>
      <c r="Q90" t="s">
        <v>164</v>
      </c>
      <c r="S90" t="s">
        <v>234</v>
      </c>
      <c r="T90" t="s">
        <v>171</v>
      </c>
      <c r="U90">
        <v>8.9178808928977255E-2</v>
      </c>
      <c r="V90" t="s">
        <v>164</v>
      </c>
      <c r="AK90">
        <v>2044</v>
      </c>
      <c r="AL90" t="s">
        <v>160</v>
      </c>
      <c r="AM90">
        <v>0.40629999999999999</v>
      </c>
      <c r="AN90" t="s">
        <v>253</v>
      </c>
    </row>
    <row r="91" spans="9:40" x14ac:dyDescent="0.45">
      <c r="I91" t="s">
        <v>181</v>
      </c>
      <c r="J91" t="s">
        <v>172</v>
      </c>
      <c r="K91">
        <v>2.2173007011900839E-2</v>
      </c>
      <c r="L91" t="s">
        <v>164</v>
      </c>
      <c r="N91" t="s">
        <v>214</v>
      </c>
      <c r="O91" t="s">
        <v>172</v>
      </c>
      <c r="P91">
        <v>7.9525381693587208E-2</v>
      </c>
      <c r="Q91" t="s">
        <v>164</v>
      </c>
      <c r="S91" t="s">
        <v>234</v>
      </c>
      <c r="T91" t="s">
        <v>172</v>
      </c>
      <c r="U91">
        <v>0.12441107062835399</v>
      </c>
      <c r="V91" t="s">
        <v>164</v>
      </c>
      <c r="AK91">
        <v>2045</v>
      </c>
      <c r="AL91" t="s">
        <v>152</v>
      </c>
      <c r="AM91">
        <v>0.45820000000000005</v>
      </c>
      <c r="AN91" t="s">
        <v>253</v>
      </c>
    </row>
    <row r="92" spans="9:40" x14ac:dyDescent="0.45">
      <c r="I92" t="s">
        <v>181</v>
      </c>
      <c r="J92" t="s">
        <v>173</v>
      </c>
      <c r="K92">
        <v>1.1641737843637548E-2</v>
      </c>
      <c r="L92" t="s">
        <v>164</v>
      </c>
      <c r="N92" t="s">
        <v>214</v>
      </c>
      <c r="O92" t="s">
        <v>173</v>
      </c>
      <c r="P92">
        <v>4.3425291322832016E-2</v>
      </c>
      <c r="Q92" t="s">
        <v>164</v>
      </c>
      <c r="S92" t="s">
        <v>234</v>
      </c>
      <c r="T92" t="s">
        <v>173</v>
      </c>
      <c r="U92">
        <v>3.9717352145340945E-2</v>
      </c>
      <c r="V92" t="s">
        <v>164</v>
      </c>
      <c r="AK92">
        <v>2045</v>
      </c>
      <c r="AL92" t="s">
        <v>156</v>
      </c>
      <c r="AM92">
        <v>0.36713333333333331</v>
      </c>
      <c r="AN92" t="s">
        <v>253</v>
      </c>
    </row>
    <row r="93" spans="9:40" x14ac:dyDescent="0.45">
      <c r="I93" t="s">
        <v>181</v>
      </c>
      <c r="J93" t="s">
        <v>174</v>
      </c>
      <c r="K93">
        <v>6.2210997884060953E-2</v>
      </c>
      <c r="L93" t="s">
        <v>164</v>
      </c>
      <c r="N93" t="s">
        <v>214</v>
      </c>
      <c r="O93" t="s">
        <v>174</v>
      </c>
      <c r="P93">
        <v>4.4226393349419434E-2</v>
      </c>
      <c r="Q93" t="s">
        <v>164</v>
      </c>
      <c r="S93" t="s">
        <v>234</v>
      </c>
      <c r="T93" t="s">
        <v>174</v>
      </c>
      <c r="U93">
        <v>2.5060555652321896E-2</v>
      </c>
      <c r="V93" t="s">
        <v>164</v>
      </c>
      <c r="AK93">
        <v>2045</v>
      </c>
      <c r="AL93" t="s">
        <v>158</v>
      </c>
      <c r="AM93">
        <v>0.37001666666666666</v>
      </c>
      <c r="AN93" t="s">
        <v>253</v>
      </c>
    </row>
    <row r="94" spans="9:40" x14ac:dyDescent="0.45">
      <c r="I94" t="s">
        <v>181</v>
      </c>
      <c r="J94" t="s">
        <v>175</v>
      </c>
      <c r="K94">
        <v>3.2607197833132849E-3</v>
      </c>
      <c r="L94" t="s">
        <v>164</v>
      </c>
      <c r="N94" t="s">
        <v>214</v>
      </c>
      <c r="O94" t="s">
        <v>175</v>
      </c>
      <c r="P94">
        <v>4.3347008991552964E-2</v>
      </c>
      <c r="Q94" t="s">
        <v>164</v>
      </c>
      <c r="S94" t="s">
        <v>234</v>
      </c>
      <c r="T94" t="s">
        <v>175</v>
      </c>
      <c r="U94">
        <v>2.74802426256637E-2</v>
      </c>
      <c r="V94" t="s">
        <v>164</v>
      </c>
      <c r="AK94">
        <v>2045</v>
      </c>
      <c r="AL94" t="s">
        <v>160</v>
      </c>
      <c r="AM94">
        <v>0.45960000000000001</v>
      </c>
      <c r="AN94" t="s">
        <v>253</v>
      </c>
    </row>
    <row r="95" spans="9:40" x14ac:dyDescent="0.45">
      <c r="I95" t="s">
        <v>182</v>
      </c>
      <c r="J95" t="s">
        <v>163</v>
      </c>
      <c r="K95">
        <v>2.3080020904354889E-2</v>
      </c>
      <c r="L95" t="s">
        <v>164</v>
      </c>
      <c r="N95" t="s">
        <v>215</v>
      </c>
      <c r="O95" t="s">
        <v>163</v>
      </c>
      <c r="P95">
        <v>7.4277182195798902E-2</v>
      </c>
      <c r="Q95" t="s">
        <v>164</v>
      </c>
      <c r="S95" t="s">
        <v>235</v>
      </c>
      <c r="T95" t="s">
        <v>163</v>
      </c>
      <c r="U95">
        <v>9.0410728199420143E-2</v>
      </c>
      <c r="V95" t="s">
        <v>164</v>
      </c>
      <c r="AK95">
        <v>2046</v>
      </c>
      <c r="AL95" t="s">
        <v>152</v>
      </c>
      <c r="AM95">
        <v>0.44215000000000004</v>
      </c>
      <c r="AN95" t="s">
        <v>253</v>
      </c>
    </row>
    <row r="96" spans="9:40" x14ac:dyDescent="0.45">
      <c r="I96" t="s">
        <v>182</v>
      </c>
      <c r="J96" t="s">
        <v>165</v>
      </c>
      <c r="K96">
        <v>0.13279403352714725</v>
      </c>
      <c r="L96" t="s">
        <v>164</v>
      </c>
      <c r="N96" t="s">
        <v>215</v>
      </c>
      <c r="O96" t="s">
        <v>165</v>
      </c>
      <c r="P96">
        <v>8.517368026497435E-2</v>
      </c>
      <c r="Q96" t="s">
        <v>164</v>
      </c>
      <c r="S96" t="s">
        <v>235</v>
      </c>
      <c r="T96" t="s">
        <v>165</v>
      </c>
      <c r="U96">
        <v>7.8384964730116288E-2</v>
      </c>
      <c r="V96" t="s">
        <v>164</v>
      </c>
      <c r="AK96">
        <v>2046</v>
      </c>
      <c r="AL96" t="s">
        <v>156</v>
      </c>
      <c r="AM96">
        <v>0.35043333333333337</v>
      </c>
      <c r="AN96" t="s">
        <v>253</v>
      </c>
    </row>
    <row r="97" spans="9:40" x14ac:dyDescent="0.45">
      <c r="I97" t="s">
        <v>182</v>
      </c>
      <c r="J97" t="s">
        <v>166</v>
      </c>
      <c r="K97">
        <v>7.6958967383367206E-3</v>
      </c>
      <c r="L97" t="s">
        <v>164</v>
      </c>
      <c r="N97" t="s">
        <v>215</v>
      </c>
      <c r="O97" t="s">
        <v>166</v>
      </c>
      <c r="P97">
        <v>7.4074137557466391E-2</v>
      </c>
      <c r="Q97" t="s">
        <v>164</v>
      </c>
      <c r="S97" t="s">
        <v>235</v>
      </c>
      <c r="T97" t="s">
        <v>166</v>
      </c>
      <c r="U97">
        <v>6.6356634724553124E-2</v>
      </c>
      <c r="V97" t="s">
        <v>164</v>
      </c>
      <c r="AK97">
        <v>2046</v>
      </c>
      <c r="AL97" t="s">
        <v>158</v>
      </c>
      <c r="AM97">
        <v>0.36470000000000002</v>
      </c>
      <c r="AN97" t="s">
        <v>253</v>
      </c>
    </row>
    <row r="98" spans="9:40" x14ac:dyDescent="0.45">
      <c r="I98" t="s">
        <v>182</v>
      </c>
      <c r="J98" t="s">
        <v>167</v>
      </c>
      <c r="K98">
        <v>4.3325794025060198E-2</v>
      </c>
      <c r="L98" t="s">
        <v>164</v>
      </c>
      <c r="N98" t="s">
        <v>215</v>
      </c>
      <c r="O98" t="s">
        <v>167</v>
      </c>
      <c r="P98">
        <v>0.12307465399733465</v>
      </c>
      <c r="Q98" t="s">
        <v>164</v>
      </c>
      <c r="S98" t="s">
        <v>235</v>
      </c>
      <c r="T98" t="s">
        <v>167</v>
      </c>
      <c r="U98">
        <v>0.11691215237986342</v>
      </c>
      <c r="V98" t="s">
        <v>164</v>
      </c>
      <c r="AK98">
        <v>2046</v>
      </c>
      <c r="AL98" t="s">
        <v>160</v>
      </c>
      <c r="AM98">
        <v>0.40689999999999998</v>
      </c>
      <c r="AN98" t="s">
        <v>253</v>
      </c>
    </row>
    <row r="99" spans="9:40" x14ac:dyDescent="0.45">
      <c r="I99" t="s">
        <v>182</v>
      </c>
      <c r="J99" t="s">
        <v>168</v>
      </c>
      <c r="K99">
        <v>0.20501023647315869</v>
      </c>
      <c r="L99" t="s">
        <v>164</v>
      </c>
      <c r="N99" t="s">
        <v>215</v>
      </c>
      <c r="O99" t="s">
        <v>168</v>
      </c>
      <c r="P99">
        <v>0.10940143933668275</v>
      </c>
      <c r="Q99" t="s">
        <v>164</v>
      </c>
      <c r="S99" t="s">
        <v>235</v>
      </c>
      <c r="T99" t="s">
        <v>168</v>
      </c>
      <c r="U99">
        <v>9.5382530830257536E-2</v>
      </c>
      <c r="V99" t="s">
        <v>164</v>
      </c>
      <c r="AK99">
        <v>2047</v>
      </c>
      <c r="AL99" t="s">
        <v>152</v>
      </c>
      <c r="AM99">
        <v>0.4128</v>
      </c>
      <c r="AN99" t="s">
        <v>253</v>
      </c>
    </row>
    <row r="100" spans="9:40" x14ac:dyDescent="0.45">
      <c r="I100" t="s">
        <v>182</v>
      </c>
      <c r="J100" t="s">
        <v>169</v>
      </c>
      <c r="K100">
        <v>1.1912627704314773E-2</v>
      </c>
      <c r="L100" t="s">
        <v>164</v>
      </c>
      <c r="N100" t="s">
        <v>215</v>
      </c>
      <c r="O100" t="s">
        <v>169</v>
      </c>
      <c r="P100">
        <v>0.12786440722823844</v>
      </c>
      <c r="Q100" t="s">
        <v>164</v>
      </c>
      <c r="S100" t="s">
        <v>235</v>
      </c>
      <c r="T100" t="s">
        <v>169</v>
      </c>
      <c r="U100">
        <v>9.2481579352370641E-2</v>
      </c>
      <c r="V100" t="s">
        <v>164</v>
      </c>
      <c r="AK100">
        <v>2047</v>
      </c>
      <c r="AL100" t="s">
        <v>156</v>
      </c>
      <c r="AM100">
        <v>0.35013333333333335</v>
      </c>
      <c r="AN100" t="s">
        <v>253</v>
      </c>
    </row>
    <row r="101" spans="9:40" x14ac:dyDescent="0.45">
      <c r="I101" t="s">
        <v>182</v>
      </c>
      <c r="J101" t="s">
        <v>170</v>
      </c>
      <c r="K101">
        <v>8.1601601879635818E-2</v>
      </c>
      <c r="L101" t="s">
        <v>164</v>
      </c>
      <c r="N101" t="s">
        <v>215</v>
      </c>
      <c r="O101" t="s">
        <v>170</v>
      </c>
      <c r="P101">
        <v>0.10409386650350066</v>
      </c>
      <c r="Q101" t="s">
        <v>164</v>
      </c>
      <c r="S101" t="s">
        <v>235</v>
      </c>
      <c r="T101" t="s">
        <v>170</v>
      </c>
      <c r="U101">
        <v>0.13307852483014848</v>
      </c>
      <c r="V101" t="s">
        <v>164</v>
      </c>
      <c r="AK101">
        <v>2047</v>
      </c>
      <c r="AL101" t="s">
        <v>158</v>
      </c>
      <c r="AM101">
        <v>0.36128333333333335</v>
      </c>
      <c r="AN101" t="s">
        <v>253</v>
      </c>
    </row>
    <row r="102" spans="9:40" x14ac:dyDescent="0.45">
      <c r="I102" t="s">
        <v>182</v>
      </c>
      <c r="J102" t="s">
        <v>171</v>
      </c>
      <c r="K102">
        <v>0.39907373445802063</v>
      </c>
      <c r="L102" t="s">
        <v>164</v>
      </c>
      <c r="N102" t="s">
        <v>215</v>
      </c>
      <c r="O102" t="s">
        <v>171</v>
      </c>
      <c r="P102">
        <v>9.0305463372700234E-2</v>
      </c>
      <c r="Q102" t="s">
        <v>164</v>
      </c>
      <c r="S102" t="s">
        <v>235</v>
      </c>
      <c r="T102" t="s">
        <v>171</v>
      </c>
      <c r="U102">
        <v>0.10504766104495325</v>
      </c>
      <c r="V102" t="s">
        <v>164</v>
      </c>
      <c r="AK102">
        <v>2047</v>
      </c>
      <c r="AL102" t="s">
        <v>160</v>
      </c>
      <c r="AM102">
        <v>0.4264</v>
      </c>
      <c r="AN102" t="s">
        <v>253</v>
      </c>
    </row>
    <row r="103" spans="9:40" x14ac:dyDescent="0.45">
      <c r="I103" t="s">
        <v>182</v>
      </c>
      <c r="J103" t="s">
        <v>172</v>
      </c>
      <c r="K103">
        <v>1.9312751181336175E-2</v>
      </c>
      <c r="L103" t="s">
        <v>164</v>
      </c>
      <c r="N103" t="s">
        <v>215</v>
      </c>
      <c r="O103" t="s">
        <v>172</v>
      </c>
      <c r="P103">
        <v>0.12378397483558098</v>
      </c>
      <c r="Q103" t="s">
        <v>164</v>
      </c>
      <c r="S103" t="s">
        <v>235</v>
      </c>
      <c r="T103" t="s">
        <v>172</v>
      </c>
      <c r="U103">
        <v>0.12502751812366489</v>
      </c>
      <c r="V103" t="s">
        <v>164</v>
      </c>
      <c r="AK103">
        <v>2048</v>
      </c>
      <c r="AL103" t="s">
        <v>152</v>
      </c>
      <c r="AM103">
        <v>0.44015000000000004</v>
      </c>
      <c r="AN103" t="s">
        <v>253</v>
      </c>
    </row>
    <row r="104" spans="9:40" x14ac:dyDescent="0.45">
      <c r="I104" t="s">
        <v>182</v>
      </c>
      <c r="J104" t="s">
        <v>173</v>
      </c>
      <c r="K104">
        <v>1.105794505623689E-2</v>
      </c>
      <c r="L104" t="s">
        <v>164</v>
      </c>
      <c r="N104" t="s">
        <v>215</v>
      </c>
      <c r="O104" t="s">
        <v>173</v>
      </c>
      <c r="P104">
        <v>2.9006476196177338E-2</v>
      </c>
      <c r="Q104" t="s">
        <v>164</v>
      </c>
      <c r="S104" t="s">
        <v>235</v>
      </c>
      <c r="T104" t="s">
        <v>173</v>
      </c>
      <c r="U104">
        <v>3.6591091509574722E-2</v>
      </c>
      <c r="V104" t="s">
        <v>164</v>
      </c>
      <c r="AK104">
        <v>2048</v>
      </c>
      <c r="AL104" t="s">
        <v>156</v>
      </c>
      <c r="AM104">
        <v>0.3681666666666667</v>
      </c>
      <c r="AN104" t="s">
        <v>253</v>
      </c>
    </row>
    <row r="105" spans="9:40" x14ac:dyDescent="0.45">
      <c r="I105" t="s">
        <v>182</v>
      </c>
      <c r="J105" t="s">
        <v>174</v>
      </c>
      <c r="K105">
        <v>6.1908257307605088E-2</v>
      </c>
      <c r="L105" t="s">
        <v>164</v>
      </c>
      <c r="N105" t="s">
        <v>215</v>
      </c>
      <c r="O105" t="s">
        <v>174</v>
      </c>
      <c r="P105">
        <v>3.2688620678309757E-2</v>
      </c>
      <c r="Q105" t="s">
        <v>164</v>
      </c>
      <c r="S105" t="s">
        <v>235</v>
      </c>
      <c r="T105" t="s">
        <v>174</v>
      </c>
      <c r="U105">
        <v>3.0727156376033311E-2</v>
      </c>
      <c r="V105" t="s">
        <v>164</v>
      </c>
      <c r="AK105">
        <v>2048</v>
      </c>
      <c r="AL105" t="s">
        <v>158</v>
      </c>
      <c r="AM105">
        <v>0.38148333333333334</v>
      </c>
      <c r="AN105" t="s">
        <v>253</v>
      </c>
    </row>
    <row r="106" spans="9:40" x14ac:dyDescent="0.45">
      <c r="I106" t="s">
        <v>182</v>
      </c>
      <c r="J106" t="s">
        <v>175</v>
      </c>
      <c r="K106">
        <v>3.2271007447900622E-3</v>
      </c>
      <c r="L106" t="s">
        <v>164</v>
      </c>
      <c r="N106" t="s">
        <v>215</v>
      </c>
      <c r="O106" t="s">
        <v>175</v>
      </c>
      <c r="P106">
        <v>2.6256097833236385E-2</v>
      </c>
      <c r="Q106" t="s">
        <v>164</v>
      </c>
      <c r="S106" t="s">
        <v>235</v>
      </c>
      <c r="T106" t="s">
        <v>175</v>
      </c>
      <c r="U106">
        <v>2.9599457899041025E-2</v>
      </c>
      <c r="V106" t="s">
        <v>164</v>
      </c>
      <c r="AK106">
        <v>2048</v>
      </c>
      <c r="AL106" t="s">
        <v>160</v>
      </c>
      <c r="AM106">
        <v>0.42809999999999998</v>
      </c>
      <c r="AN106" t="s">
        <v>253</v>
      </c>
    </row>
    <row r="107" spans="9:40" x14ac:dyDescent="0.45">
      <c r="I107" t="s">
        <v>183</v>
      </c>
      <c r="J107" t="s">
        <v>163</v>
      </c>
      <c r="K107">
        <v>3.5218080726788135E-2</v>
      </c>
      <c r="L107" t="s">
        <v>164</v>
      </c>
      <c r="N107" t="s">
        <v>216</v>
      </c>
      <c r="O107" t="s">
        <v>163</v>
      </c>
      <c r="P107">
        <v>8.0651986343721296E-2</v>
      </c>
      <c r="Q107" t="s">
        <v>164</v>
      </c>
      <c r="S107" t="s">
        <v>236</v>
      </c>
      <c r="T107" t="s">
        <v>163</v>
      </c>
      <c r="U107">
        <v>9.7044772806617774E-2</v>
      </c>
      <c r="V107" t="s">
        <v>164</v>
      </c>
      <c r="AK107">
        <v>2049</v>
      </c>
      <c r="AL107" t="s">
        <v>152</v>
      </c>
      <c r="AM107">
        <v>0.40024999999999999</v>
      </c>
      <c r="AN107" t="s">
        <v>253</v>
      </c>
    </row>
    <row r="108" spans="9:40" x14ac:dyDescent="0.45">
      <c r="I108" t="s">
        <v>183</v>
      </c>
      <c r="J108" t="s">
        <v>165</v>
      </c>
      <c r="K108">
        <v>0.13438418475673963</v>
      </c>
      <c r="L108" t="s">
        <v>164</v>
      </c>
      <c r="N108" t="s">
        <v>216</v>
      </c>
      <c r="O108" t="s">
        <v>165</v>
      </c>
      <c r="P108">
        <v>6.5720952240685596E-2</v>
      </c>
      <c r="Q108" t="s">
        <v>164</v>
      </c>
      <c r="S108" t="s">
        <v>236</v>
      </c>
      <c r="T108" t="s">
        <v>165</v>
      </c>
      <c r="U108">
        <v>8.0843153865660419E-2</v>
      </c>
      <c r="V108" t="s">
        <v>164</v>
      </c>
      <c r="AK108">
        <v>2049</v>
      </c>
      <c r="AL108" t="s">
        <v>156</v>
      </c>
      <c r="AM108">
        <v>0.33446666666666669</v>
      </c>
      <c r="AN108" t="s">
        <v>253</v>
      </c>
    </row>
    <row r="109" spans="9:40" x14ac:dyDescent="0.45">
      <c r="I109" t="s">
        <v>183</v>
      </c>
      <c r="J109" t="s">
        <v>166</v>
      </c>
      <c r="K109">
        <v>5.3971432057893873E-3</v>
      </c>
      <c r="L109" t="s">
        <v>164</v>
      </c>
      <c r="N109" t="s">
        <v>216</v>
      </c>
      <c r="O109" t="s">
        <v>166</v>
      </c>
      <c r="P109">
        <v>5.4596337927597015E-2</v>
      </c>
      <c r="Q109" t="s">
        <v>164</v>
      </c>
      <c r="S109" t="s">
        <v>236</v>
      </c>
      <c r="T109" t="s">
        <v>166</v>
      </c>
      <c r="U109">
        <v>8.3012577206616978E-2</v>
      </c>
      <c r="V109" t="s">
        <v>164</v>
      </c>
      <c r="AK109">
        <v>2049</v>
      </c>
      <c r="AL109" t="s">
        <v>158</v>
      </c>
      <c r="AM109">
        <v>0.37961666666666666</v>
      </c>
      <c r="AN109" t="s">
        <v>253</v>
      </c>
    </row>
    <row r="110" spans="9:40" x14ac:dyDescent="0.45">
      <c r="I110" t="s">
        <v>183</v>
      </c>
      <c r="J110" t="s">
        <v>167</v>
      </c>
      <c r="K110">
        <v>4.9580116891701442E-2</v>
      </c>
      <c r="L110" t="s">
        <v>164</v>
      </c>
      <c r="N110" t="s">
        <v>216</v>
      </c>
      <c r="O110" t="s">
        <v>167</v>
      </c>
      <c r="P110">
        <v>0.13020917816238786</v>
      </c>
      <c r="Q110" t="s">
        <v>164</v>
      </c>
      <c r="S110" t="s">
        <v>236</v>
      </c>
      <c r="T110" t="s">
        <v>167</v>
      </c>
      <c r="U110">
        <v>0.10725790687815699</v>
      </c>
      <c r="V110" t="s">
        <v>164</v>
      </c>
      <c r="AK110">
        <v>2049</v>
      </c>
      <c r="AL110" t="s">
        <v>160</v>
      </c>
      <c r="AM110">
        <v>0.41810000000000003</v>
      </c>
      <c r="AN110" t="s">
        <v>253</v>
      </c>
    </row>
    <row r="111" spans="9:40" x14ac:dyDescent="0.45">
      <c r="I111" t="s">
        <v>183</v>
      </c>
      <c r="J111" t="s">
        <v>168</v>
      </c>
      <c r="K111">
        <v>0.18771988573464318</v>
      </c>
      <c r="L111" t="s">
        <v>164</v>
      </c>
      <c r="N111" t="s">
        <v>216</v>
      </c>
      <c r="O111" t="s">
        <v>168</v>
      </c>
      <c r="P111">
        <v>0.12267165674674768</v>
      </c>
      <c r="Q111" t="s">
        <v>164</v>
      </c>
      <c r="S111" t="s">
        <v>236</v>
      </c>
      <c r="T111" t="s">
        <v>168</v>
      </c>
      <c r="U111">
        <v>9.2185788972271782E-2</v>
      </c>
      <c r="V111" t="s">
        <v>164</v>
      </c>
      <c r="AK111">
        <v>2050</v>
      </c>
      <c r="AL111" t="s">
        <v>152</v>
      </c>
      <c r="AM111">
        <v>0.45125000000000004</v>
      </c>
      <c r="AN111" t="s">
        <v>253</v>
      </c>
    </row>
    <row r="112" spans="9:40" x14ac:dyDescent="0.45">
      <c r="I112" t="s">
        <v>183</v>
      </c>
      <c r="J112" t="s">
        <v>169</v>
      </c>
      <c r="K112">
        <v>7.085126140713301E-3</v>
      </c>
      <c r="L112" t="s">
        <v>164</v>
      </c>
      <c r="N112" t="s">
        <v>216</v>
      </c>
      <c r="O112" t="s">
        <v>169</v>
      </c>
      <c r="P112">
        <v>0.10397983005507565</v>
      </c>
      <c r="Q112" t="s">
        <v>164</v>
      </c>
      <c r="S112" t="s">
        <v>236</v>
      </c>
      <c r="T112" t="s">
        <v>169</v>
      </c>
      <c r="U112">
        <v>0.11905995119105538</v>
      </c>
      <c r="V112" t="s">
        <v>164</v>
      </c>
      <c r="AK112">
        <v>2050</v>
      </c>
      <c r="AL112" t="s">
        <v>156</v>
      </c>
      <c r="AM112">
        <v>0.3560666666666667</v>
      </c>
      <c r="AN112" t="s">
        <v>253</v>
      </c>
    </row>
    <row r="113" spans="9:40" x14ac:dyDescent="0.45">
      <c r="I113" t="s">
        <v>183</v>
      </c>
      <c r="J113" t="s">
        <v>170</v>
      </c>
      <c r="K113">
        <v>0.10880903030272376</v>
      </c>
      <c r="L113" t="s">
        <v>164</v>
      </c>
      <c r="N113" t="s">
        <v>216</v>
      </c>
      <c r="O113" t="s">
        <v>170</v>
      </c>
      <c r="P113">
        <v>0.13332200744628867</v>
      </c>
      <c r="Q113" t="s">
        <v>164</v>
      </c>
      <c r="S113" t="s">
        <v>236</v>
      </c>
      <c r="T113" t="s">
        <v>170</v>
      </c>
      <c r="U113">
        <v>0.10827516144957117</v>
      </c>
      <c r="V113" t="s">
        <v>164</v>
      </c>
      <c r="AK113">
        <v>2050</v>
      </c>
      <c r="AL113" t="s">
        <v>158</v>
      </c>
      <c r="AM113">
        <v>0.38195000000000001</v>
      </c>
      <c r="AN113" t="s">
        <v>253</v>
      </c>
    </row>
    <row r="114" spans="9:40" x14ac:dyDescent="0.45">
      <c r="I114" t="s">
        <v>183</v>
      </c>
      <c r="J114" t="s">
        <v>171</v>
      </c>
      <c r="K114">
        <v>0.37893689930030056</v>
      </c>
      <c r="L114" t="s">
        <v>164</v>
      </c>
      <c r="N114" t="s">
        <v>216</v>
      </c>
      <c r="O114" t="s">
        <v>171</v>
      </c>
      <c r="P114">
        <v>0.10005250528978445</v>
      </c>
      <c r="Q114" t="s">
        <v>164</v>
      </c>
      <c r="S114" t="s">
        <v>236</v>
      </c>
      <c r="T114" t="s">
        <v>171</v>
      </c>
      <c r="U114">
        <v>7.8670143265745784E-2</v>
      </c>
      <c r="V114" t="s">
        <v>164</v>
      </c>
      <c r="AK114">
        <v>2050</v>
      </c>
      <c r="AL114" t="s">
        <v>160</v>
      </c>
      <c r="AM114">
        <v>0.46750000000000003</v>
      </c>
      <c r="AN114" t="s">
        <v>253</v>
      </c>
    </row>
    <row r="115" spans="9:40" x14ac:dyDescent="0.45">
      <c r="I115" t="s">
        <v>183</v>
      </c>
      <c r="J115" t="s">
        <v>172</v>
      </c>
      <c r="K115">
        <v>1.0139985572031237E-2</v>
      </c>
      <c r="L115" t="s">
        <v>164</v>
      </c>
      <c r="N115" t="s">
        <v>216</v>
      </c>
      <c r="O115" t="s">
        <v>172</v>
      </c>
      <c r="P115">
        <v>0.11502981309737133</v>
      </c>
      <c r="Q115" t="s">
        <v>164</v>
      </c>
      <c r="S115" t="s">
        <v>236</v>
      </c>
      <c r="T115" t="s">
        <v>172</v>
      </c>
      <c r="U115">
        <v>0.13255254271522857</v>
      </c>
      <c r="V115" t="s">
        <v>164</v>
      </c>
    </row>
    <row r="116" spans="9:40" x14ac:dyDescent="0.45">
      <c r="I116" t="s">
        <v>183</v>
      </c>
      <c r="J116" t="s">
        <v>173</v>
      </c>
      <c r="K116">
        <v>1.8017442232353895E-2</v>
      </c>
      <c r="L116" t="s">
        <v>164</v>
      </c>
      <c r="N116" t="s">
        <v>216</v>
      </c>
      <c r="O116" t="s">
        <v>173</v>
      </c>
      <c r="P116">
        <v>3.7009966819483875E-2</v>
      </c>
      <c r="Q116" t="s">
        <v>164</v>
      </c>
      <c r="S116" t="s">
        <v>236</v>
      </c>
      <c r="T116" t="s">
        <v>173</v>
      </c>
      <c r="U116">
        <v>3.6214406801239246E-2</v>
      </c>
      <c r="V116" t="s">
        <v>164</v>
      </c>
    </row>
    <row r="117" spans="9:40" x14ac:dyDescent="0.45">
      <c r="I117" t="s">
        <v>183</v>
      </c>
      <c r="J117" t="s">
        <v>174</v>
      </c>
      <c r="K117">
        <v>6.4712105136215753E-2</v>
      </c>
      <c r="L117" t="s">
        <v>164</v>
      </c>
      <c r="N117" t="s">
        <v>216</v>
      </c>
      <c r="O117" t="s">
        <v>174</v>
      </c>
      <c r="P117">
        <v>2.9960560509785586E-2</v>
      </c>
      <c r="Q117" t="s">
        <v>164</v>
      </c>
      <c r="S117" t="s">
        <v>236</v>
      </c>
      <c r="T117" t="s">
        <v>174</v>
      </c>
      <c r="U117">
        <v>2.9512303920476216E-2</v>
      </c>
      <c r="V117" t="s">
        <v>164</v>
      </c>
    </row>
    <row r="118" spans="9:40" x14ac:dyDescent="0.45">
      <c r="I118" t="s">
        <v>183</v>
      </c>
      <c r="J118" t="s">
        <v>175</v>
      </c>
      <c r="K118">
        <v>0</v>
      </c>
      <c r="L118" t="s">
        <v>164</v>
      </c>
      <c r="N118" t="s">
        <v>216</v>
      </c>
      <c r="O118" t="s">
        <v>175</v>
      </c>
      <c r="P118">
        <v>2.6795205361070724E-2</v>
      </c>
      <c r="Q118" t="s">
        <v>164</v>
      </c>
      <c r="S118" t="s">
        <v>236</v>
      </c>
      <c r="T118" t="s">
        <v>175</v>
      </c>
      <c r="U118">
        <v>3.5371290927357427E-2</v>
      </c>
      <c r="V118" t="s">
        <v>164</v>
      </c>
    </row>
    <row r="119" spans="9:40" x14ac:dyDescent="0.45">
      <c r="I119" t="s">
        <v>184</v>
      </c>
      <c r="J119" t="s">
        <v>163</v>
      </c>
      <c r="K119">
        <v>3.4277441510309689E-2</v>
      </c>
      <c r="L119" t="s">
        <v>164</v>
      </c>
      <c r="N119" t="s">
        <v>217</v>
      </c>
      <c r="O119" t="s">
        <v>163</v>
      </c>
      <c r="P119">
        <v>8.0873081995103249E-2</v>
      </c>
      <c r="Q119" t="s">
        <v>164</v>
      </c>
      <c r="S119" t="s">
        <v>237</v>
      </c>
      <c r="T119" t="s">
        <v>163</v>
      </c>
      <c r="U119">
        <v>9.8308472009338177E-2</v>
      </c>
      <c r="V119" t="s">
        <v>164</v>
      </c>
    </row>
    <row r="120" spans="9:40" x14ac:dyDescent="0.45">
      <c r="I120" t="s">
        <v>184</v>
      </c>
      <c r="J120" t="s">
        <v>165</v>
      </c>
      <c r="K120">
        <v>0.13436400845820265</v>
      </c>
      <c r="L120" t="s">
        <v>164</v>
      </c>
      <c r="N120" t="s">
        <v>217</v>
      </c>
      <c r="O120" t="s">
        <v>165</v>
      </c>
      <c r="P120">
        <v>7.0488295986321101E-2</v>
      </c>
      <c r="Q120" t="s">
        <v>164</v>
      </c>
      <c r="S120" t="s">
        <v>237</v>
      </c>
      <c r="T120" t="s">
        <v>165</v>
      </c>
      <c r="U120">
        <v>6.0869481923448383E-2</v>
      </c>
      <c r="V120" t="s">
        <v>164</v>
      </c>
    </row>
    <row r="121" spans="9:40" x14ac:dyDescent="0.45">
      <c r="I121" t="s">
        <v>184</v>
      </c>
      <c r="J121" t="s">
        <v>166</v>
      </c>
      <c r="K121">
        <v>4.7503562886632589E-3</v>
      </c>
      <c r="L121" t="s">
        <v>164</v>
      </c>
      <c r="N121" t="s">
        <v>217</v>
      </c>
      <c r="O121" t="s">
        <v>166</v>
      </c>
      <c r="P121">
        <v>5.8595575672458711E-2</v>
      </c>
      <c r="Q121" t="s">
        <v>164</v>
      </c>
      <c r="S121" t="s">
        <v>237</v>
      </c>
      <c r="T121" t="s">
        <v>166</v>
      </c>
      <c r="U121">
        <v>5.4216172739519508E-2</v>
      </c>
      <c r="V121" t="s">
        <v>164</v>
      </c>
    </row>
    <row r="122" spans="9:40" x14ac:dyDescent="0.45">
      <c r="I122" t="s">
        <v>184</v>
      </c>
      <c r="J122" t="s">
        <v>167</v>
      </c>
      <c r="K122">
        <v>4.556854433893872E-2</v>
      </c>
      <c r="L122" t="s">
        <v>164</v>
      </c>
      <c r="N122" t="s">
        <v>217</v>
      </c>
      <c r="O122" t="s">
        <v>167</v>
      </c>
      <c r="P122">
        <v>0.1236906971119348</v>
      </c>
      <c r="Q122" t="s">
        <v>164</v>
      </c>
      <c r="S122" t="s">
        <v>237</v>
      </c>
      <c r="T122" t="s">
        <v>167</v>
      </c>
      <c r="U122">
        <v>9.8177253921564483E-2</v>
      </c>
      <c r="V122" t="s">
        <v>164</v>
      </c>
    </row>
    <row r="123" spans="9:40" x14ac:dyDescent="0.45">
      <c r="I123" t="s">
        <v>184</v>
      </c>
      <c r="J123" t="s">
        <v>168</v>
      </c>
      <c r="K123">
        <v>0.18046832451587649</v>
      </c>
      <c r="L123" t="s">
        <v>164</v>
      </c>
      <c r="N123" t="s">
        <v>217</v>
      </c>
      <c r="O123" t="s">
        <v>168</v>
      </c>
      <c r="P123">
        <v>0.10326801399243721</v>
      </c>
      <c r="Q123" t="s">
        <v>164</v>
      </c>
      <c r="S123" t="s">
        <v>237</v>
      </c>
      <c r="T123" t="s">
        <v>168</v>
      </c>
      <c r="U123">
        <v>6.0576141919479298E-2</v>
      </c>
      <c r="V123" t="s">
        <v>164</v>
      </c>
    </row>
    <row r="124" spans="9:40" x14ac:dyDescent="0.45">
      <c r="I124" t="s">
        <v>184</v>
      </c>
      <c r="J124" t="s">
        <v>169</v>
      </c>
      <c r="K124">
        <v>5.2582359122890594E-3</v>
      </c>
      <c r="L124" t="s">
        <v>164</v>
      </c>
      <c r="N124" t="s">
        <v>217</v>
      </c>
      <c r="O124" t="s">
        <v>169</v>
      </c>
      <c r="P124">
        <v>9.6999049089848535E-2</v>
      </c>
      <c r="Q124" t="s">
        <v>164</v>
      </c>
      <c r="S124" t="s">
        <v>237</v>
      </c>
      <c r="T124" t="s">
        <v>169</v>
      </c>
      <c r="U124">
        <v>6.1918635483074302E-2</v>
      </c>
      <c r="V124" t="s">
        <v>164</v>
      </c>
    </row>
    <row r="125" spans="9:40" x14ac:dyDescent="0.45">
      <c r="I125" t="s">
        <v>184</v>
      </c>
      <c r="J125" t="s">
        <v>170</v>
      </c>
      <c r="K125">
        <v>0.11301070977406819</v>
      </c>
      <c r="L125" t="s">
        <v>164</v>
      </c>
      <c r="N125" t="s">
        <v>217</v>
      </c>
      <c r="O125" t="s">
        <v>170</v>
      </c>
      <c r="P125">
        <v>0.14430108126845562</v>
      </c>
      <c r="Q125" t="s">
        <v>164</v>
      </c>
      <c r="S125" t="s">
        <v>237</v>
      </c>
      <c r="T125" t="s">
        <v>170</v>
      </c>
      <c r="U125">
        <v>0.19940746840099205</v>
      </c>
      <c r="V125" t="s">
        <v>164</v>
      </c>
    </row>
    <row r="126" spans="9:40" x14ac:dyDescent="0.45">
      <c r="I126" t="s">
        <v>184</v>
      </c>
      <c r="J126" t="s">
        <v>171</v>
      </c>
      <c r="K126">
        <v>0.38569688547673686</v>
      </c>
      <c r="L126" t="s">
        <v>164</v>
      </c>
      <c r="N126" t="s">
        <v>217</v>
      </c>
      <c r="O126" t="s">
        <v>171</v>
      </c>
      <c r="P126">
        <v>0.10850724466741905</v>
      </c>
      <c r="Q126" t="s">
        <v>164</v>
      </c>
      <c r="S126" t="s">
        <v>237</v>
      </c>
      <c r="T126" t="s">
        <v>171</v>
      </c>
      <c r="U126">
        <v>0.1192704035329256</v>
      </c>
      <c r="V126" t="s">
        <v>164</v>
      </c>
    </row>
    <row r="127" spans="9:40" x14ac:dyDescent="0.45">
      <c r="I127" t="s">
        <v>184</v>
      </c>
      <c r="J127" t="s">
        <v>172</v>
      </c>
      <c r="K127">
        <v>9.0592797062909684E-3</v>
      </c>
      <c r="L127" t="s">
        <v>164</v>
      </c>
      <c r="N127" t="s">
        <v>217</v>
      </c>
      <c r="O127" t="s">
        <v>172</v>
      </c>
      <c r="P127">
        <v>0.12087608177185766</v>
      </c>
      <c r="Q127" t="s">
        <v>164</v>
      </c>
      <c r="S127" t="s">
        <v>237</v>
      </c>
      <c r="T127" t="s">
        <v>172</v>
      </c>
      <c r="U127">
        <v>0.11928774370009024</v>
      </c>
      <c r="V127" t="s">
        <v>164</v>
      </c>
    </row>
    <row r="128" spans="9:40" x14ac:dyDescent="0.45">
      <c r="I128" t="s">
        <v>184</v>
      </c>
      <c r="J128" t="s">
        <v>173</v>
      </c>
      <c r="K128">
        <v>1.8813368713558699E-2</v>
      </c>
      <c r="L128" t="s">
        <v>164</v>
      </c>
      <c r="N128" t="s">
        <v>217</v>
      </c>
      <c r="O128" t="s">
        <v>173</v>
      </c>
      <c r="P128">
        <v>3.5640241092974818E-2</v>
      </c>
      <c r="Q128" t="s">
        <v>164</v>
      </c>
      <c r="S128" t="s">
        <v>237</v>
      </c>
      <c r="T128" t="s">
        <v>173</v>
      </c>
      <c r="U128">
        <v>5.3367557305786004E-2</v>
      </c>
      <c r="V128" t="s">
        <v>164</v>
      </c>
    </row>
    <row r="129" spans="9:22" x14ac:dyDescent="0.45">
      <c r="I129" t="s">
        <v>184</v>
      </c>
      <c r="J129" t="s">
        <v>174</v>
      </c>
      <c r="K129">
        <v>6.8732845305065002E-2</v>
      </c>
      <c r="L129" t="s">
        <v>164</v>
      </c>
      <c r="N129" t="s">
        <v>217</v>
      </c>
      <c r="O129" t="s">
        <v>174</v>
      </c>
      <c r="P129">
        <v>3.0040519163023659E-2</v>
      </c>
      <c r="Q129" t="s">
        <v>164</v>
      </c>
      <c r="S129" t="s">
        <v>237</v>
      </c>
      <c r="T129" t="s">
        <v>174</v>
      </c>
      <c r="U129">
        <v>4.0525210445200952E-2</v>
      </c>
      <c r="V129" t="s">
        <v>164</v>
      </c>
    </row>
    <row r="130" spans="9:22" x14ac:dyDescent="0.45">
      <c r="I130" t="s">
        <v>184</v>
      </c>
      <c r="J130" t="s">
        <v>175</v>
      </c>
      <c r="K130">
        <v>0</v>
      </c>
      <c r="L130" t="s">
        <v>164</v>
      </c>
      <c r="N130" t="s">
        <v>217</v>
      </c>
      <c r="O130" t="s">
        <v>175</v>
      </c>
      <c r="P130">
        <v>2.6720118188169887E-2</v>
      </c>
      <c r="Q130" t="s">
        <v>164</v>
      </c>
      <c r="S130" t="s">
        <v>237</v>
      </c>
      <c r="T130" t="s">
        <v>175</v>
      </c>
      <c r="U130">
        <v>3.4075458618578372E-2</v>
      </c>
      <c r="V130" t="s">
        <v>164</v>
      </c>
    </row>
    <row r="131" spans="9:22" x14ac:dyDescent="0.45">
      <c r="I131" t="s">
        <v>185</v>
      </c>
      <c r="J131" t="s">
        <v>163</v>
      </c>
      <c r="K131">
        <v>4.0898729122159069E-2</v>
      </c>
      <c r="L131" t="s">
        <v>164</v>
      </c>
      <c r="N131" t="s">
        <v>218</v>
      </c>
      <c r="O131" t="s">
        <v>163</v>
      </c>
      <c r="P131">
        <v>7.6463580865368433E-2</v>
      </c>
      <c r="Q131" t="s">
        <v>164</v>
      </c>
      <c r="S131" t="s">
        <v>238</v>
      </c>
      <c r="T131" t="s">
        <v>163</v>
      </c>
      <c r="U131">
        <v>9.5394174922079911E-2</v>
      </c>
      <c r="V131" t="s">
        <v>164</v>
      </c>
    </row>
    <row r="132" spans="9:22" x14ac:dyDescent="0.45">
      <c r="I132" t="s">
        <v>185</v>
      </c>
      <c r="J132" t="s">
        <v>165</v>
      </c>
      <c r="K132">
        <v>0.14009278067463823</v>
      </c>
      <c r="L132" t="s">
        <v>164</v>
      </c>
      <c r="N132" t="s">
        <v>218</v>
      </c>
      <c r="O132" t="s">
        <v>165</v>
      </c>
      <c r="P132">
        <v>7.1772758655726257E-2</v>
      </c>
      <c r="Q132" t="s">
        <v>164</v>
      </c>
      <c r="S132" t="s">
        <v>238</v>
      </c>
      <c r="T132" t="s">
        <v>165</v>
      </c>
      <c r="U132">
        <v>6.4364075977431365E-2</v>
      </c>
      <c r="V132" t="s">
        <v>164</v>
      </c>
    </row>
    <row r="133" spans="9:22" x14ac:dyDescent="0.45">
      <c r="I133" t="s">
        <v>185</v>
      </c>
      <c r="J133" t="s">
        <v>166</v>
      </c>
      <c r="K133">
        <v>5.3922520425593581E-3</v>
      </c>
      <c r="L133" t="s">
        <v>164</v>
      </c>
      <c r="N133" t="s">
        <v>218</v>
      </c>
      <c r="O133" t="s">
        <v>166</v>
      </c>
      <c r="P133">
        <v>5.4443400656322138E-2</v>
      </c>
      <c r="Q133" t="s">
        <v>164</v>
      </c>
      <c r="S133" t="s">
        <v>238</v>
      </c>
      <c r="T133" t="s">
        <v>166</v>
      </c>
      <c r="U133">
        <v>5.1187153547640106E-2</v>
      </c>
      <c r="V133" t="s">
        <v>164</v>
      </c>
    </row>
    <row r="134" spans="9:22" x14ac:dyDescent="0.45">
      <c r="I134" t="s">
        <v>185</v>
      </c>
      <c r="J134" t="s">
        <v>167</v>
      </c>
      <c r="K134">
        <v>4.7391525853217868E-2</v>
      </c>
      <c r="L134" t="s">
        <v>164</v>
      </c>
      <c r="N134" t="s">
        <v>218</v>
      </c>
      <c r="O134" t="s">
        <v>167</v>
      </c>
      <c r="P134">
        <v>0.10761063026230847</v>
      </c>
      <c r="Q134" t="s">
        <v>164</v>
      </c>
      <c r="S134" t="s">
        <v>238</v>
      </c>
      <c r="T134" t="s">
        <v>167</v>
      </c>
      <c r="U134">
        <v>0.10440559785102015</v>
      </c>
      <c r="V134" t="s">
        <v>164</v>
      </c>
    </row>
    <row r="135" spans="9:22" x14ac:dyDescent="0.45">
      <c r="I135" t="s">
        <v>185</v>
      </c>
      <c r="J135" t="s">
        <v>168</v>
      </c>
      <c r="K135">
        <v>0.17804894383986472</v>
      </c>
      <c r="L135" t="s">
        <v>164</v>
      </c>
      <c r="N135" t="s">
        <v>218</v>
      </c>
      <c r="O135" t="s">
        <v>168</v>
      </c>
      <c r="P135">
        <v>9.3787333328401737E-2</v>
      </c>
      <c r="Q135" t="s">
        <v>164</v>
      </c>
      <c r="S135" t="s">
        <v>238</v>
      </c>
      <c r="T135" t="s">
        <v>168</v>
      </c>
      <c r="U135">
        <v>6.5912507405137863E-2</v>
      </c>
      <c r="V135" t="s">
        <v>164</v>
      </c>
    </row>
    <row r="136" spans="9:22" x14ac:dyDescent="0.45">
      <c r="I136" t="s">
        <v>185</v>
      </c>
      <c r="J136" t="s">
        <v>169</v>
      </c>
      <c r="K136">
        <v>4.7020221479299228E-3</v>
      </c>
      <c r="L136" t="s">
        <v>164</v>
      </c>
      <c r="N136" t="s">
        <v>218</v>
      </c>
      <c r="O136" t="s">
        <v>169</v>
      </c>
      <c r="P136">
        <v>7.5558681153474638E-2</v>
      </c>
      <c r="Q136" t="s">
        <v>164</v>
      </c>
      <c r="S136" t="s">
        <v>238</v>
      </c>
      <c r="T136" t="s">
        <v>169</v>
      </c>
      <c r="U136">
        <v>6.1929657765170877E-2</v>
      </c>
      <c r="V136" t="s">
        <v>164</v>
      </c>
    </row>
    <row r="137" spans="9:22" x14ac:dyDescent="0.45">
      <c r="I137" t="s">
        <v>185</v>
      </c>
      <c r="J137" t="s">
        <v>170</v>
      </c>
      <c r="K137">
        <v>0.11271595482976587</v>
      </c>
      <c r="L137" t="s">
        <v>164</v>
      </c>
      <c r="N137" t="s">
        <v>218</v>
      </c>
      <c r="O137" t="s">
        <v>170</v>
      </c>
      <c r="P137">
        <v>0.16702540866406951</v>
      </c>
      <c r="Q137" t="s">
        <v>164</v>
      </c>
      <c r="S137" t="s">
        <v>238</v>
      </c>
      <c r="T137" t="s">
        <v>170</v>
      </c>
      <c r="U137">
        <v>0.19914671651480267</v>
      </c>
      <c r="V137" t="s">
        <v>164</v>
      </c>
    </row>
    <row r="138" spans="9:22" x14ac:dyDescent="0.45">
      <c r="I138" t="s">
        <v>185</v>
      </c>
      <c r="J138" t="s">
        <v>171</v>
      </c>
      <c r="K138">
        <v>0.37343365403552048</v>
      </c>
      <c r="L138" t="s">
        <v>164</v>
      </c>
      <c r="N138" t="s">
        <v>218</v>
      </c>
      <c r="O138" t="s">
        <v>171</v>
      </c>
      <c r="P138">
        <v>0.14229735888239259</v>
      </c>
      <c r="Q138" t="s">
        <v>164</v>
      </c>
      <c r="S138" t="s">
        <v>238</v>
      </c>
      <c r="T138" t="s">
        <v>171</v>
      </c>
      <c r="U138">
        <v>0.12487178208247129</v>
      </c>
      <c r="V138" t="s">
        <v>164</v>
      </c>
    </row>
    <row r="139" spans="9:22" x14ac:dyDescent="0.45">
      <c r="I139" t="s">
        <v>185</v>
      </c>
      <c r="J139" t="s">
        <v>172</v>
      </c>
      <c r="K139">
        <v>7.4938191597953919E-3</v>
      </c>
      <c r="L139" t="s">
        <v>164</v>
      </c>
      <c r="N139" t="s">
        <v>218</v>
      </c>
      <c r="O139" t="s">
        <v>172</v>
      </c>
      <c r="P139">
        <v>0.12308051630290304</v>
      </c>
      <c r="Q139" t="s">
        <v>164</v>
      </c>
      <c r="S139" t="s">
        <v>238</v>
      </c>
      <c r="T139" t="s">
        <v>172</v>
      </c>
      <c r="U139">
        <v>0.11323184548211253</v>
      </c>
      <c r="V139" t="s">
        <v>164</v>
      </c>
    </row>
    <row r="140" spans="9:22" x14ac:dyDescent="0.45">
      <c r="I140" t="s">
        <v>185</v>
      </c>
      <c r="J140" t="s">
        <v>173</v>
      </c>
      <c r="K140">
        <v>2.1182490471153545E-2</v>
      </c>
      <c r="L140" t="s">
        <v>164</v>
      </c>
      <c r="N140" t="s">
        <v>218</v>
      </c>
      <c r="O140" t="s">
        <v>173</v>
      </c>
      <c r="P140">
        <v>3.2240530188059849E-2</v>
      </c>
      <c r="Q140" t="s">
        <v>164</v>
      </c>
      <c r="S140" t="s">
        <v>238</v>
      </c>
      <c r="T140" t="s">
        <v>173</v>
      </c>
      <c r="U140">
        <v>4.9473581680909498E-2</v>
      </c>
      <c r="V140" t="s">
        <v>164</v>
      </c>
    </row>
    <row r="141" spans="9:22" x14ac:dyDescent="0.45">
      <c r="I141" t="s">
        <v>185</v>
      </c>
      <c r="J141" t="s">
        <v>174</v>
      </c>
      <c r="K141">
        <v>6.8647827823398094E-2</v>
      </c>
      <c r="L141" t="s">
        <v>164</v>
      </c>
      <c r="N141" t="s">
        <v>218</v>
      </c>
      <c r="O141" t="s">
        <v>174</v>
      </c>
      <c r="P141">
        <v>3.0886915309281414E-2</v>
      </c>
      <c r="Q141" t="s">
        <v>164</v>
      </c>
      <c r="S141" t="s">
        <v>238</v>
      </c>
      <c r="T141" t="s">
        <v>174</v>
      </c>
      <c r="U141">
        <v>3.8661059619766826E-2</v>
      </c>
      <c r="V141" t="s">
        <v>164</v>
      </c>
    </row>
    <row r="142" spans="9:22" x14ac:dyDescent="0.45">
      <c r="I142" t="s">
        <v>185</v>
      </c>
      <c r="J142" t="s">
        <v>175</v>
      </c>
      <c r="K142">
        <v>0</v>
      </c>
      <c r="L142" t="s">
        <v>164</v>
      </c>
      <c r="N142" t="s">
        <v>218</v>
      </c>
      <c r="O142" t="s">
        <v>175</v>
      </c>
      <c r="P142">
        <v>2.4832885731690846E-2</v>
      </c>
      <c r="Q142" t="s">
        <v>164</v>
      </c>
      <c r="S142" t="s">
        <v>238</v>
      </c>
      <c r="T142" t="s">
        <v>175</v>
      </c>
      <c r="U142">
        <v>3.1421847151458605E-2</v>
      </c>
      <c r="V142" t="s">
        <v>164</v>
      </c>
    </row>
    <row r="143" spans="9:22" x14ac:dyDescent="0.45">
      <c r="I143" t="s">
        <v>186</v>
      </c>
      <c r="J143" t="s">
        <v>163</v>
      </c>
      <c r="K143">
        <v>3.4151215174031122E-2</v>
      </c>
      <c r="L143" t="s">
        <v>164</v>
      </c>
      <c r="N143" t="s">
        <v>219</v>
      </c>
      <c r="O143" t="s">
        <v>163</v>
      </c>
      <c r="P143">
        <v>6.8632887607745593E-2</v>
      </c>
      <c r="Q143" t="s">
        <v>164</v>
      </c>
      <c r="S143" t="s">
        <v>239</v>
      </c>
      <c r="T143" t="s">
        <v>163</v>
      </c>
      <c r="U143">
        <v>0.10014511940245374</v>
      </c>
      <c r="V143" t="s">
        <v>164</v>
      </c>
    </row>
    <row r="144" spans="9:22" x14ac:dyDescent="0.45">
      <c r="I144" t="s">
        <v>186</v>
      </c>
      <c r="J144" t="s">
        <v>165</v>
      </c>
      <c r="K144">
        <v>0.13890371767952092</v>
      </c>
      <c r="L144" t="s">
        <v>164</v>
      </c>
      <c r="N144" t="s">
        <v>219</v>
      </c>
      <c r="O144" t="s">
        <v>165</v>
      </c>
      <c r="P144">
        <v>9.6916365970018514E-2</v>
      </c>
      <c r="Q144" t="s">
        <v>164</v>
      </c>
      <c r="S144" t="s">
        <v>239</v>
      </c>
      <c r="T144" t="s">
        <v>165</v>
      </c>
      <c r="U144">
        <v>6.2992380087666097E-2</v>
      </c>
      <c r="V144" t="s">
        <v>164</v>
      </c>
    </row>
    <row r="145" spans="9:22" x14ac:dyDescent="0.45">
      <c r="I145" t="s">
        <v>186</v>
      </c>
      <c r="J145" t="s">
        <v>166</v>
      </c>
      <c r="K145">
        <v>7.1526023759585508E-3</v>
      </c>
      <c r="L145" t="s">
        <v>164</v>
      </c>
      <c r="N145" t="s">
        <v>219</v>
      </c>
      <c r="O145" t="s">
        <v>166</v>
      </c>
      <c r="P145">
        <v>7.2520788324935054E-2</v>
      </c>
      <c r="Q145" t="s">
        <v>164</v>
      </c>
      <c r="S145" t="s">
        <v>239</v>
      </c>
      <c r="T145" t="s">
        <v>166</v>
      </c>
      <c r="U145">
        <v>5.7868981898771592E-2</v>
      </c>
      <c r="V145" t="s">
        <v>164</v>
      </c>
    </row>
    <row r="146" spans="9:22" x14ac:dyDescent="0.45">
      <c r="I146" t="s">
        <v>186</v>
      </c>
      <c r="J146" t="s">
        <v>167</v>
      </c>
      <c r="K146">
        <v>4.1593569849465314E-2</v>
      </c>
      <c r="L146" t="s">
        <v>164</v>
      </c>
      <c r="N146" t="s">
        <v>219</v>
      </c>
      <c r="O146" t="s">
        <v>167</v>
      </c>
      <c r="P146">
        <v>7.0673973703016049E-2</v>
      </c>
      <c r="Q146" t="s">
        <v>164</v>
      </c>
      <c r="S146" t="s">
        <v>239</v>
      </c>
      <c r="T146" t="s">
        <v>167</v>
      </c>
      <c r="U146">
        <v>0.13751156758657365</v>
      </c>
      <c r="V146" t="s">
        <v>164</v>
      </c>
    </row>
    <row r="147" spans="9:22" x14ac:dyDescent="0.45">
      <c r="I147" t="s">
        <v>186</v>
      </c>
      <c r="J147" t="s">
        <v>168</v>
      </c>
      <c r="K147">
        <v>0.18264246273010487</v>
      </c>
      <c r="L147" t="s">
        <v>164</v>
      </c>
      <c r="N147" t="s">
        <v>219</v>
      </c>
      <c r="O147" t="s">
        <v>168</v>
      </c>
      <c r="P147">
        <v>8.2302910589894723E-2</v>
      </c>
      <c r="Q147" t="s">
        <v>164</v>
      </c>
      <c r="S147" t="s">
        <v>239</v>
      </c>
      <c r="T147" t="s">
        <v>168</v>
      </c>
      <c r="U147">
        <v>8.4870088260292922E-2</v>
      </c>
      <c r="V147" t="s">
        <v>164</v>
      </c>
    </row>
    <row r="148" spans="9:22" x14ac:dyDescent="0.45">
      <c r="I148" t="s">
        <v>186</v>
      </c>
      <c r="J148" t="s">
        <v>169</v>
      </c>
      <c r="K148">
        <v>4.9982282782708963E-3</v>
      </c>
      <c r="L148" t="s">
        <v>164</v>
      </c>
      <c r="N148" t="s">
        <v>219</v>
      </c>
      <c r="O148" t="s">
        <v>169</v>
      </c>
      <c r="P148">
        <v>6.4367081533301784E-2</v>
      </c>
      <c r="Q148" t="s">
        <v>164</v>
      </c>
      <c r="S148" t="s">
        <v>239</v>
      </c>
      <c r="T148" t="s">
        <v>169</v>
      </c>
      <c r="U148">
        <v>8.1276196447137905E-2</v>
      </c>
      <c r="V148" t="s">
        <v>164</v>
      </c>
    </row>
    <row r="149" spans="9:22" x14ac:dyDescent="0.45">
      <c r="I149" t="s">
        <v>186</v>
      </c>
      <c r="J149" t="s">
        <v>170</v>
      </c>
      <c r="K149">
        <v>9.7088119061575676E-2</v>
      </c>
      <c r="L149" t="s">
        <v>164</v>
      </c>
      <c r="N149" t="s">
        <v>219</v>
      </c>
      <c r="O149" t="s">
        <v>170</v>
      </c>
      <c r="P149">
        <v>0.11664316192603225</v>
      </c>
      <c r="Q149" t="s">
        <v>164</v>
      </c>
      <c r="S149" t="s">
        <v>239</v>
      </c>
      <c r="T149" t="s">
        <v>170</v>
      </c>
      <c r="U149">
        <v>0.15949657432213923</v>
      </c>
      <c r="V149" t="s">
        <v>164</v>
      </c>
    </row>
    <row r="150" spans="9:22" x14ac:dyDescent="0.45">
      <c r="I150" t="s">
        <v>186</v>
      </c>
      <c r="J150" t="s">
        <v>171</v>
      </c>
      <c r="K150">
        <v>0.3949497901824095</v>
      </c>
      <c r="L150" t="s">
        <v>164</v>
      </c>
      <c r="N150" t="s">
        <v>219</v>
      </c>
      <c r="O150" t="s">
        <v>171</v>
      </c>
      <c r="P150">
        <v>0.21525578471091472</v>
      </c>
      <c r="Q150" t="s">
        <v>164</v>
      </c>
      <c r="S150" t="s">
        <v>239</v>
      </c>
      <c r="T150" t="s">
        <v>171</v>
      </c>
      <c r="U150">
        <v>9.5858329872524642E-2</v>
      </c>
      <c r="V150" t="s">
        <v>164</v>
      </c>
    </row>
    <row r="151" spans="9:22" x14ac:dyDescent="0.45">
      <c r="I151" t="s">
        <v>186</v>
      </c>
      <c r="J151" t="s">
        <v>172</v>
      </c>
      <c r="K151">
        <v>8.3097178806654983E-3</v>
      </c>
      <c r="L151" t="s">
        <v>164</v>
      </c>
      <c r="N151" t="s">
        <v>219</v>
      </c>
      <c r="O151" t="s">
        <v>172</v>
      </c>
      <c r="P151">
        <v>0.11673883907613863</v>
      </c>
      <c r="Q151" t="s">
        <v>164</v>
      </c>
      <c r="S151" t="s">
        <v>239</v>
      </c>
      <c r="T151" t="s">
        <v>172</v>
      </c>
      <c r="U151">
        <v>9.9724106898668452E-2</v>
      </c>
      <c r="V151" t="s">
        <v>164</v>
      </c>
    </row>
    <row r="152" spans="9:22" x14ac:dyDescent="0.45">
      <c r="I152" t="s">
        <v>186</v>
      </c>
      <c r="J152" t="s">
        <v>173</v>
      </c>
      <c r="K152">
        <v>1.9137617213540212E-2</v>
      </c>
      <c r="L152" t="s">
        <v>164</v>
      </c>
      <c r="N152" t="s">
        <v>219</v>
      </c>
      <c r="O152" t="s">
        <v>173</v>
      </c>
      <c r="P152">
        <v>2.5162640319677389E-2</v>
      </c>
      <c r="Q152" t="s">
        <v>164</v>
      </c>
      <c r="S152" t="s">
        <v>239</v>
      </c>
      <c r="T152" t="s">
        <v>173</v>
      </c>
      <c r="U152">
        <v>5.2667313449389255E-2</v>
      </c>
      <c r="V152" t="s">
        <v>164</v>
      </c>
    </row>
    <row r="153" spans="9:22" x14ac:dyDescent="0.45">
      <c r="I153" t="s">
        <v>186</v>
      </c>
      <c r="J153" t="s">
        <v>174</v>
      </c>
      <c r="K153">
        <v>7.0042800287331217E-2</v>
      </c>
      <c r="L153" t="s">
        <v>164</v>
      </c>
      <c r="N153" t="s">
        <v>219</v>
      </c>
      <c r="O153" t="s">
        <v>174</v>
      </c>
      <c r="P153">
        <v>4.3514444763466331E-2</v>
      </c>
      <c r="Q153" t="s">
        <v>164</v>
      </c>
      <c r="S153" t="s">
        <v>239</v>
      </c>
      <c r="T153" t="s">
        <v>174</v>
      </c>
      <c r="U153">
        <v>3.6168251349001583E-2</v>
      </c>
      <c r="V153" t="s">
        <v>164</v>
      </c>
    </row>
    <row r="154" spans="9:22" x14ac:dyDescent="0.45">
      <c r="I154" t="s">
        <v>186</v>
      </c>
      <c r="J154" t="s">
        <v>175</v>
      </c>
      <c r="K154">
        <v>1.0301592871282735E-3</v>
      </c>
      <c r="L154" t="s">
        <v>164</v>
      </c>
      <c r="N154" t="s">
        <v>219</v>
      </c>
      <c r="O154" t="s">
        <v>175</v>
      </c>
      <c r="P154">
        <v>2.7271121474859189E-2</v>
      </c>
      <c r="Q154" t="s">
        <v>164</v>
      </c>
      <c r="S154" t="s">
        <v>239</v>
      </c>
      <c r="T154" t="s">
        <v>175</v>
      </c>
      <c r="U154">
        <v>3.1421090425379924E-2</v>
      </c>
      <c r="V154" t="s">
        <v>164</v>
      </c>
    </row>
    <row r="155" spans="9:22" x14ac:dyDescent="0.45">
      <c r="I155" t="s">
        <v>187</v>
      </c>
      <c r="J155" t="s">
        <v>163</v>
      </c>
      <c r="K155">
        <v>3.5120882720292873E-2</v>
      </c>
      <c r="L155" t="s">
        <v>164</v>
      </c>
      <c r="N155" t="s">
        <v>220</v>
      </c>
      <c r="O155" t="s">
        <v>163</v>
      </c>
      <c r="P155">
        <v>1.7359886420085738E-2</v>
      </c>
      <c r="Q155" t="s">
        <v>164</v>
      </c>
      <c r="S155" t="s">
        <v>240</v>
      </c>
      <c r="T155" t="s">
        <v>163</v>
      </c>
      <c r="U155">
        <v>9.3890551214278084E-2</v>
      </c>
      <c r="V155" t="s">
        <v>164</v>
      </c>
    </row>
    <row r="156" spans="9:22" x14ac:dyDescent="0.45">
      <c r="I156" t="s">
        <v>187</v>
      </c>
      <c r="J156" t="s">
        <v>165</v>
      </c>
      <c r="K156">
        <v>0.15245027076233333</v>
      </c>
      <c r="L156" t="s">
        <v>164</v>
      </c>
      <c r="N156" t="s">
        <v>220</v>
      </c>
      <c r="O156" t="s">
        <v>165</v>
      </c>
      <c r="P156">
        <v>7.3257261104147653E-2</v>
      </c>
      <c r="Q156" t="s">
        <v>164</v>
      </c>
      <c r="S156" t="s">
        <v>240</v>
      </c>
      <c r="T156" t="s">
        <v>165</v>
      </c>
      <c r="U156">
        <v>6.1355725316139913E-2</v>
      </c>
      <c r="V156" t="s">
        <v>164</v>
      </c>
    </row>
    <row r="157" spans="9:22" x14ac:dyDescent="0.45">
      <c r="I157" t="s">
        <v>187</v>
      </c>
      <c r="J157" t="s">
        <v>166</v>
      </c>
      <c r="K157">
        <v>8.0060810956117077E-3</v>
      </c>
      <c r="L157" t="s">
        <v>164</v>
      </c>
      <c r="N157" t="s">
        <v>220</v>
      </c>
      <c r="O157" t="s">
        <v>166</v>
      </c>
      <c r="P157">
        <v>3.7919469009703437E-2</v>
      </c>
      <c r="Q157" t="s">
        <v>164</v>
      </c>
      <c r="S157" t="s">
        <v>240</v>
      </c>
      <c r="T157" t="s">
        <v>166</v>
      </c>
      <c r="U157">
        <v>5.7138794495415979E-2</v>
      </c>
      <c r="V157" t="s">
        <v>164</v>
      </c>
    </row>
    <row r="158" spans="9:22" x14ac:dyDescent="0.45">
      <c r="I158" t="s">
        <v>187</v>
      </c>
      <c r="J158" t="s">
        <v>167</v>
      </c>
      <c r="K158">
        <v>3.5705269374369741E-2</v>
      </c>
      <c r="L158" t="s">
        <v>164</v>
      </c>
      <c r="N158" t="s">
        <v>220</v>
      </c>
      <c r="O158" t="s">
        <v>167</v>
      </c>
      <c r="P158">
        <v>4.2681386206815657E-2</v>
      </c>
      <c r="Q158" t="s">
        <v>164</v>
      </c>
      <c r="S158" t="s">
        <v>240</v>
      </c>
      <c r="T158" t="s">
        <v>167</v>
      </c>
      <c r="U158">
        <v>0.14074847094692916</v>
      </c>
      <c r="V158" t="s">
        <v>164</v>
      </c>
    </row>
    <row r="159" spans="9:22" x14ac:dyDescent="0.45">
      <c r="I159" t="s">
        <v>187</v>
      </c>
      <c r="J159" t="s">
        <v>168</v>
      </c>
      <c r="K159">
        <v>0.19617559239868637</v>
      </c>
      <c r="L159" t="s">
        <v>164</v>
      </c>
      <c r="N159" t="s">
        <v>220</v>
      </c>
      <c r="O159" t="s">
        <v>168</v>
      </c>
      <c r="P159">
        <v>0.14220127522860135</v>
      </c>
      <c r="Q159" t="s">
        <v>164</v>
      </c>
      <c r="S159" t="s">
        <v>240</v>
      </c>
      <c r="T159" t="s">
        <v>168</v>
      </c>
      <c r="U159">
        <v>9.1524113397166137E-2</v>
      </c>
      <c r="V159" t="s">
        <v>164</v>
      </c>
    </row>
    <row r="160" spans="9:22" x14ac:dyDescent="0.45">
      <c r="I160" t="s">
        <v>187</v>
      </c>
      <c r="J160" t="s">
        <v>169</v>
      </c>
      <c r="K160">
        <v>5.6891652639761946E-3</v>
      </c>
      <c r="L160" t="s">
        <v>164</v>
      </c>
      <c r="N160" t="s">
        <v>220</v>
      </c>
      <c r="O160" t="s">
        <v>169</v>
      </c>
      <c r="P160">
        <v>2.9591349679439466E-2</v>
      </c>
      <c r="Q160" t="s">
        <v>164</v>
      </c>
      <c r="S160" t="s">
        <v>240</v>
      </c>
      <c r="T160" t="s">
        <v>169</v>
      </c>
      <c r="U160">
        <v>8.7864321892308542E-2</v>
      </c>
      <c r="V160" t="s">
        <v>164</v>
      </c>
    </row>
    <row r="161" spans="9:22" x14ac:dyDescent="0.45">
      <c r="I161" t="s">
        <v>187</v>
      </c>
      <c r="J161" t="s">
        <v>170</v>
      </c>
      <c r="K161">
        <v>6.9549198815248361E-2</v>
      </c>
      <c r="L161" t="s">
        <v>164</v>
      </c>
      <c r="N161" t="s">
        <v>220</v>
      </c>
      <c r="O161" t="s">
        <v>170</v>
      </c>
      <c r="P161">
        <v>0.12591704510224763</v>
      </c>
      <c r="Q161" t="s">
        <v>164</v>
      </c>
      <c r="S161" t="s">
        <v>240</v>
      </c>
      <c r="T161" t="s">
        <v>170</v>
      </c>
      <c r="U161">
        <v>0.15261397821349498</v>
      </c>
      <c r="V161" t="s">
        <v>164</v>
      </c>
    </row>
    <row r="162" spans="9:22" x14ac:dyDescent="0.45">
      <c r="I162" t="s">
        <v>187</v>
      </c>
      <c r="J162" t="s">
        <v>171</v>
      </c>
      <c r="K162">
        <v>0.39510338512434778</v>
      </c>
      <c r="L162" t="s">
        <v>164</v>
      </c>
      <c r="N162" t="s">
        <v>220</v>
      </c>
      <c r="O162" t="s">
        <v>171</v>
      </c>
      <c r="P162">
        <v>0.40877026442118358</v>
      </c>
      <c r="Q162" t="s">
        <v>164</v>
      </c>
      <c r="S162" t="s">
        <v>240</v>
      </c>
      <c r="T162" t="s">
        <v>171</v>
      </c>
      <c r="U162">
        <v>9.6804231851971248E-2</v>
      </c>
      <c r="V162" t="s">
        <v>164</v>
      </c>
    </row>
    <row r="163" spans="9:22" x14ac:dyDescent="0.45">
      <c r="I163" t="s">
        <v>187</v>
      </c>
      <c r="J163" t="s">
        <v>172</v>
      </c>
      <c r="K163">
        <v>8.3370117057318636E-3</v>
      </c>
      <c r="L163" t="s">
        <v>164</v>
      </c>
      <c r="N163" t="s">
        <v>220</v>
      </c>
      <c r="O163" t="s">
        <v>172</v>
      </c>
      <c r="P163">
        <v>6.3096575803254284E-2</v>
      </c>
      <c r="Q163" t="s">
        <v>164</v>
      </c>
      <c r="S163" t="s">
        <v>240</v>
      </c>
      <c r="T163" t="s">
        <v>172</v>
      </c>
      <c r="U163">
        <v>0.10662811812123696</v>
      </c>
      <c r="V163" t="s">
        <v>164</v>
      </c>
    </row>
    <row r="164" spans="9:22" x14ac:dyDescent="0.45">
      <c r="I164" t="s">
        <v>187</v>
      </c>
      <c r="J164" t="s">
        <v>173</v>
      </c>
      <c r="K164">
        <v>1.7783762002963621E-2</v>
      </c>
      <c r="L164" t="s">
        <v>164</v>
      </c>
      <c r="N164" t="s">
        <v>220</v>
      </c>
      <c r="O164" t="s">
        <v>173</v>
      </c>
      <c r="P164">
        <v>6.8380323178820826E-3</v>
      </c>
      <c r="Q164" t="s">
        <v>164</v>
      </c>
      <c r="S164" t="s">
        <v>240</v>
      </c>
      <c r="T164" t="s">
        <v>173</v>
      </c>
      <c r="U164">
        <v>4.7442488297954652E-2</v>
      </c>
      <c r="V164" t="s">
        <v>164</v>
      </c>
    </row>
    <row r="165" spans="9:22" x14ac:dyDescent="0.45">
      <c r="I165" t="s">
        <v>187</v>
      </c>
      <c r="J165" t="s">
        <v>174</v>
      </c>
      <c r="K165">
        <v>7.582505626886582E-2</v>
      </c>
      <c r="L165" t="s">
        <v>164</v>
      </c>
      <c r="N165" t="s">
        <v>220</v>
      </c>
      <c r="O165" t="s">
        <v>174</v>
      </c>
      <c r="P165">
        <v>3.9724968232211499E-2</v>
      </c>
      <c r="Q165" t="s">
        <v>164</v>
      </c>
      <c r="S165" t="s">
        <v>240</v>
      </c>
      <c r="T165" t="s">
        <v>174</v>
      </c>
      <c r="U165">
        <v>3.3208983126912624E-2</v>
      </c>
      <c r="V165" t="s">
        <v>164</v>
      </c>
    </row>
    <row r="166" spans="9:22" x14ac:dyDescent="0.45">
      <c r="I166" t="s">
        <v>187</v>
      </c>
      <c r="J166" t="s">
        <v>175</v>
      </c>
      <c r="K166">
        <v>2.5432446757295897E-4</v>
      </c>
      <c r="L166" t="s">
        <v>164</v>
      </c>
      <c r="N166" t="s">
        <v>220</v>
      </c>
      <c r="O166" t="s">
        <v>175</v>
      </c>
      <c r="P166">
        <v>1.2642486474427367E-2</v>
      </c>
      <c r="Q166" t="s">
        <v>164</v>
      </c>
      <c r="S166" t="s">
        <v>240</v>
      </c>
      <c r="T166" t="s">
        <v>175</v>
      </c>
      <c r="U166">
        <v>3.078022312619037E-2</v>
      </c>
      <c r="V166" t="s">
        <v>164</v>
      </c>
    </row>
    <row r="167" spans="9:22" x14ac:dyDescent="0.45">
      <c r="I167" t="s">
        <v>188</v>
      </c>
      <c r="J167" t="s">
        <v>163</v>
      </c>
      <c r="K167">
        <v>3.8696072901622802E-2</v>
      </c>
      <c r="L167" t="s">
        <v>164</v>
      </c>
      <c r="N167" t="s">
        <v>221</v>
      </c>
      <c r="O167" t="s">
        <v>163</v>
      </c>
      <c r="P167">
        <v>0.1768583761732084</v>
      </c>
      <c r="Q167" t="s">
        <v>164</v>
      </c>
      <c r="S167" t="s">
        <v>241</v>
      </c>
      <c r="T167" t="s">
        <v>163</v>
      </c>
      <c r="U167">
        <v>9.314897824987961E-2</v>
      </c>
      <c r="V167" t="s">
        <v>164</v>
      </c>
    </row>
    <row r="168" spans="9:22" x14ac:dyDescent="0.45">
      <c r="I168" t="s">
        <v>188</v>
      </c>
      <c r="J168" t="s">
        <v>165</v>
      </c>
      <c r="K168">
        <v>0.14836167764712413</v>
      </c>
      <c r="L168" t="s">
        <v>164</v>
      </c>
      <c r="N168" t="s">
        <v>221</v>
      </c>
      <c r="O168" t="s">
        <v>165</v>
      </c>
      <c r="P168">
        <v>9.4118321332637145E-2</v>
      </c>
      <c r="Q168" t="s">
        <v>164</v>
      </c>
      <c r="S168" t="s">
        <v>241</v>
      </c>
      <c r="T168" t="s">
        <v>165</v>
      </c>
      <c r="U168">
        <v>6.3769259365301895E-2</v>
      </c>
      <c r="V168" t="s">
        <v>164</v>
      </c>
    </row>
    <row r="169" spans="9:22" x14ac:dyDescent="0.45">
      <c r="I169" t="s">
        <v>188</v>
      </c>
      <c r="J169" t="s">
        <v>166</v>
      </c>
      <c r="K169">
        <v>8.4067018621606232E-3</v>
      </c>
      <c r="L169" t="s">
        <v>164</v>
      </c>
      <c r="N169" t="s">
        <v>221</v>
      </c>
      <c r="O169" t="s">
        <v>166</v>
      </c>
      <c r="P169">
        <v>0.10702789952207456</v>
      </c>
      <c r="Q169" t="s">
        <v>164</v>
      </c>
      <c r="S169" t="s">
        <v>241</v>
      </c>
      <c r="T169" t="s">
        <v>166</v>
      </c>
      <c r="U169">
        <v>4.8666634933882756E-2</v>
      </c>
      <c r="V169" t="s">
        <v>164</v>
      </c>
    </row>
    <row r="170" spans="9:22" x14ac:dyDescent="0.45">
      <c r="I170" t="s">
        <v>188</v>
      </c>
      <c r="J170" t="s">
        <v>167</v>
      </c>
      <c r="K170">
        <v>4.2738362680437299E-2</v>
      </c>
      <c r="L170" t="s">
        <v>164</v>
      </c>
      <c r="N170" t="s">
        <v>221</v>
      </c>
      <c r="O170" t="s">
        <v>167</v>
      </c>
      <c r="P170">
        <v>0.14049365605333958</v>
      </c>
      <c r="Q170" t="s">
        <v>164</v>
      </c>
      <c r="S170" t="s">
        <v>241</v>
      </c>
      <c r="T170" t="s">
        <v>167</v>
      </c>
      <c r="U170">
        <v>0.12169055028806681</v>
      </c>
      <c r="V170" t="s">
        <v>164</v>
      </c>
    </row>
    <row r="171" spans="9:22" x14ac:dyDescent="0.45">
      <c r="I171" t="s">
        <v>188</v>
      </c>
      <c r="J171" t="s">
        <v>168</v>
      </c>
      <c r="K171">
        <v>0.18014362568313022</v>
      </c>
      <c r="L171" t="s">
        <v>164</v>
      </c>
      <c r="N171" t="s">
        <v>221</v>
      </c>
      <c r="O171" t="s">
        <v>168</v>
      </c>
      <c r="P171">
        <v>5.946052271922915E-2</v>
      </c>
      <c r="Q171" t="s">
        <v>164</v>
      </c>
      <c r="S171" t="s">
        <v>241</v>
      </c>
      <c r="T171" t="s">
        <v>168</v>
      </c>
      <c r="U171">
        <v>7.8323245109989614E-2</v>
      </c>
      <c r="V171" t="s">
        <v>164</v>
      </c>
    </row>
    <row r="172" spans="9:22" x14ac:dyDescent="0.45">
      <c r="I172" t="s">
        <v>188</v>
      </c>
      <c r="J172" t="s">
        <v>169</v>
      </c>
      <c r="K172">
        <v>5.2958786209454413E-3</v>
      </c>
      <c r="L172" t="s">
        <v>164</v>
      </c>
      <c r="N172" t="s">
        <v>221</v>
      </c>
      <c r="O172" t="s">
        <v>169</v>
      </c>
      <c r="P172">
        <v>6.9828887103848616E-2</v>
      </c>
      <c r="Q172" t="s">
        <v>164</v>
      </c>
      <c r="S172" t="s">
        <v>241</v>
      </c>
      <c r="T172" t="s">
        <v>169</v>
      </c>
      <c r="U172">
        <v>7.0722331425923379E-2</v>
      </c>
      <c r="V172" t="s">
        <v>164</v>
      </c>
    </row>
    <row r="173" spans="9:22" x14ac:dyDescent="0.45">
      <c r="I173" t="s">
        <v>188</v>
      </c>
      <c r="J173" t="s">
        <v>170</v>
      </c>
      <c r="K173">
        <v>9.7334414487455514E-2</v>
      </c>
      <c r="L173" t="s">
        <v>164</v>
      </c>
      <c r="N173" t="s">
        <v>221</v>
      </c>
      <c r="O173" t="s">
        <v>170</v>
      </c>
      <c r="P173">
        <v>0.1002090597216726</v>
      </c>
      <c r="Q173" t="s">
        <v>164</v>
      </c>
      <c r="S173" t="s">
        <v>241</v>
      </c>
      <c r="T173" t="s">
        <v>170</v>
      </c>
      <c r="U173">
        <v>0.18596986796769452</v>
      </c>
      <c r="V173" t="s">
        <v>164</v>
      </c>
    </row>
    <row r="174" spans="9:22" x14ac:dyDescent="0.45">
      <c r="I174" t="s">
        <v>188</v>
      </c>
      <c r="J174" t="s">
        <v>171</v>
      </c>
      <c r="K174">
        <v>0.375894719301547</v>
      </c>
      <c r="L174" t="s">
        <v>164</v>
      </c>
      <c r="N174" t="s">
        <v>221</v>
      </c>
      <c r="O174" t="s">
        <v>171</v>
      </c>
      <c r="P174">
        <v>5.0254417699069388E-2</v>
      </c>
      <c r="Q174" t="s">
        <v>164</v>
      </c>
      <c r="S174" t="s">
        <v>241</v>
      </c>
      <c r="T174" t="s">
        <v>171</v>
      </c>
      <c r="U174">
        <v>0.11649210166219928</v>
      </c>
      <c r="V174" t="s">
        <v>164</v>
      </c>
    </row>
    <row r="175" spans="9:22" x14ac:dyDescent="0.45">
      <c r="I175" t="s">
        <v>188</v>
      </c>
      <c r="J175" t="s">
        <v>172</v>
      </c>
      <c r="K175">
        <v>7.7837548671374837E-3</v>
      </c>
      <c r="L175" t="s">
        <v>164</v>
      </c>
      <c r="N175" t="s">
        <v>221</v>
      </c>
      <c r="O175" t="s">
        <v>172</v>
      </c>
      <c r="P175">
        <v>5.6598909421600806E-2</v>
      </c>
      <c r="Q175" t="s">
        <v>164</v>
      </c>
      <c r="S175" t="s">
        <v>241</v>
      </c>
      <c r="T175" t="s">
        <v>172</v>
      </c>
      <c r="U175">
        <v>0.10922307144238066</v>
      </c>
      <c r="V175" t="s">
        <v>164</v>
      </c>
    </row>
    <row r="176" spans="9:22" x14ac:dyDescent="0.45">
      <c r="I176" t="s">
        <v>188</v>
      </c>
      <c r="J176" t="s">
        <v>173</v>
      </c>
      <c r="K176">
        <v>2.1168865716111714E-2</v>
      </c>
      <c r="L176" t="s">
        <v>164</v>
      </c>
      <c r="N176" t="s">
        <v>221</v>
      </c>
      <c r="O176" t="s">
        <v>173</v>
      </c>
      <c r="P176">
        <v>5.8271928532975567E-2</v>
      </c>
      <c r="Q176" t="s">
        <v>164</v>
      </c>
      <c r="S176" t="s">
        <v>241</v>
      </c>
      <c r="T176" t="s">
        <v>173</v>
      </c>
      <c r="U176">
        <v>4.7925815938088707E-2</v>
      </c>
      <c r="V176" t="s">
        <v>164</v>
      </c>
    </row>
    <row r="177" spans="9:22" x14ac:dyDescent="0.45">
      <c r="I177" t="s">
        <v>188</v>
      </c>
      <c r="J177" t="s">
        <v>174</v>
      </c>
      <c r="K177">
        <v>7.3549978430889257E-2</v>
      </c>
      <c r="L177" t="s">
        <v>164</v>
      </c>
      <c r="N177" t="s">
        <v>221</v>
      </c>
      <c r="O177" t="s">
        <v>174</v>
      </c>
      <c r="P177">
        <v>4.4048857341721717E-2</v>
      </c>
      <c r="Q177" t="s">
        <v>164</v>
      </c>
      <c r="S177" t="s">
        <v>241</v>
      </c>
      <c r="T177" t="s">
        <v>174</v>
      </c>
      <c r="U177">
        <v>3.5637875291274108E-2</v>
      </c>
      <c r="V177" t="s">
        <v>164</v>
      </c>
    </row>
    <row r="178" spans="9:22" x14ac:dyDescent="0.45">
      <c r="I178" t="s">
        <v>188</v>
      </c>
      <c r="J178" t="s">
        <v>175</v>
      </c>
      <c r="K178">
        <v>6.2594780143708376E-4</v>
      </c>
      <c r="L178" t="s">
        <v>164</v>
      </c>
      <c r="N178" t="s">
        <v>221</v>
      </c>
      <c r="O178" t="s">
        <v>175</v>
      </c>
      <c r="P178">
        <v>4.2829164378622921E-2</v>
      </c>
      <c r="Q178" t="s">
        <v>164</v>
      </c>
      <c r="S178" t="s">
        <v>241</v>
      </c>
      <c r="T178" t="s">
        <v>175</v>
      </c>
      <c r="U178">
        <v>2.8430268325315169E-2</v>
      </c>
      <c r="V178" t="s">
        <v>164</v>
      </c>
    </row>
    <row r="179" spans="9:22" x14ac:dyDescent="0.45">
      <c r="I179" t="s">
        <v>189</v>
      </c>
      <c r="J179" t="s">
        <v>163</v>
      </c>
      <c r="K179">
        <v>3.7928334103202115E-2</v>
      </c>
      <c r="L179" t="s">
        <v>164</v>
      </c>
      <c r="N179" t="s">
        <v>222</v>
      </c>
      <c r="O179" t="s">
        <v>163</v>
      </c>
      <c r="P179">
        <v>0.19648928945673549</v>
      </c>
      <c r="Q179" t="s">
        <v>164</v>
      </c>
      <c r="S179" t="s">
        <v>242</v>
      </c>
      <c r="T179" t="s">
        <v>163</v>
      </c>
      <c r="U179">
        <v>8.4740415873273245E-2</v>
      </c>
      <c r="V179" t="s">
        <v>164</v>
      </c>
    </row>
    <row r="180" spans="9:22" x14ac:dyDescent="0.45">
      <c r="I180" t="s">
        <v>189</v>
      </c>
      <c r="J180" t="s">
        <v>165</v>
      </c>
      <c r="K180">
        <v>0.14079859150182414</v>
      </c>
      <c r="L180" t="s">
        <v>164</v>
      </c>
      <c r="N180" t="s">
        <v>222</v>
      </c>
      <c r="O180" t="s">
        <v>165</v>
      </c>
      <c r="P180">
        <v>0.11704013947295</v>
      </c>
      <c r="Q180" t="s">
        <v>164</v>
      </c>
      <c r="S180" t="s">
        <v>242</v>
      </c>
      <c r="T180" t="s">
        <v>165</v>
      </c>
      <c r="U180">
        <v>5.7349896637778175E-2</v>
      </c>
      <c r="V180" t="s">
        <v>164</v>
      </c>
    </row>
    <row r="181" spans="9:22" x14ac:dyDescent="0.45">
      <c r="I181" t="s">
        <v>189</v>
      </c>
      <c r="J181" t="s">
        <v>166</v>
      </c>
      <c r="K181">
        <v>7.1532424986380932E-3</v>
      </c>
      <c r="L181" t="s">
        <v>164</v>
      </c>
      <c r="N181" t="s">
        <v>222</v>
      </c>
      <c r="O181" t="s">
        <v>166</v>
      </c>
      <c r="P181">
        <v>7.0556451961462013E-2</v>
      </c>
      <c r="Q181" t="s">
        <v>164</v>
      </c>
      <c r="S181" t="s">
        <v>242</v>
      </c>
      <c r="T181" t="s">
        <v>166</v>
      </c>
      <c r="U181">
        <v>5.1924545356648533E-2</v>
      </c>
      <c r="V181" t="s">
        <v>164</v>
      </c>
    </row>
    <row r="182" spans="9:22" x14ac:dyDescent="0.45">
      <c r="I182" t="s">
        <v>189</v>
      </c>
      <c r="J182" t="s">
        <v>167</v>
      </c>
      <c r="K182">
        <v>4.5237502808815486E-2</v>
      </c>
      <c r="L182" t="s">
        <v>164</v>
      </c>
      <c r="N182" t="s">
        <v>222</v>
      </c>
      <c r="O182" t="s">
        <v>167</v>
      </c>
      <c r="P182">
        <v>0.13727657159999335</v>
      </c>
      <c r="Q182" t="s">
        <v>164</v>
      </c>
      <c r="S182" t="s">
        <v>242</v>
      </c>
      <c r="T182" t="s">
        <v>167</v>
      </c>
      <c r="U182">
        <v>0.13218769223705093</v>
      </c>
      <c r="V182" t="s">
        <v>164</v>
      </c>
    </row>
    <row r="183" spans="9:22" x14ac:dyDescent="0.45">
      <c r="I183" t="s">
        <v>189</v>
      </c>
      <c r="J183" t="s">
        <v>168</v>
      </c>
      <c r="K183">
        <v>0.17423565109551167</v>
      </c>
      <c r="L183" t="s">
        <v>164</v>
      </c>
      <c r="N183" t="s">
        <v>222</v>
      </c>
      <c r="O183" t="s">
        <v>168</v>
      </c>
      <c r="P183">
        <v>5.6316426202432893E-2</v>
      </c>
      <c r="Q183" t="s">
        <v>164</v>
      </c>
      <c r="S183" t="s">
        <v>242</v>
      </c>
      <c r="T183" t="s">
        <v>168</v>
      </c>
      <c r="U183">
        <v>9.1526529859824735E-2</v>
      </c>
      <c r="V183" t="s">
        <v>164</v>
      </c>
    </row>
    <row r="184" spans="9:22" x14ac:dyDescent="0.45">
      <c r="I184" t="s">
        <v>189</v>
      </c>
      <c r="J184" t="s">
        <v>169</v>
      </c>
      <c r="K184">
        <v>6.9369369118662122E-3</v>
      </c>
      <c r="L184" t="s">
        <v>164</v>
      </c>
      <c r="N184" t="s">
        <v>222</v>
      </c>
      <c r="O184" t="s">
        <v>169</v>
      </c>
      <c r="P184">
        <v>5.5650303374908214E-2</v>
      </c>
      <c r="Q184" t="s">
        <v>164</v>
      </c>
      <c r="S184" t="s">
        <v>242</v>
      </c>
      <c r="T184" t="s">
        <v>169</v>
      </c>
      <c r="U184">
        <v>9.4096727132634103E-2</v>
      </c>
      <c r="V184" t="s">
        <v>164</v>
      </c>
    </row>
    <row r="185" spans="9:22" x14ac:dyDescent="0.45">
      <c r="I185" t="s">
        <v>189</v>
      </c>
      <c r="J185" t="s">
        <v>170</v>
      </c>
      <c r="K185">
        <v>0.1075031445413767</v>
      </c>
      <c r="L185" t="s">
        <v>164</v>
      </c>
      <c r="N185" t="s">
        <v>222</v>
      </c>
      <c r="O185" t="s">
        <v>170</v>
      </c>
      <c r="P185">
        <v>0.10384842298773858</v>
      </c>
      <c r="Q185" t="s">
        <v>164</v>
      </c>
      <c r="S185" t="s">
        <v>242</v>
      </c>
      <c r="T185" t="s">
        <v>170</v>
      </c>
      <c r="U185">
        <v>0.16575918811508314</v>
      </c>
      <c r="V185" t="s">
        <v>164</v>
      </c>
    </row>
    <row r="186" spans="9:22" x14ac:dyDescent="0.45">
      <c r="I186" t="s">
        <v>189</v>
      </c>
      <c r="J186" t="s">
        <v>171</v>
      </c>
      <c r="K186">
        <v>0.37493261539681949</v>
      </c>
      <c r="L186" t="s">
        <v>164</v>
      </c>
      <c r="N186" t="s">
        <v>222</v>
      </c>
      <c r="O186" t="s">
        <v>171</v>
      </c>
      <c r="P186">
        <v>5.3738958797861502E-2</v>
      </c>
      <c r="Q186" t="s">
        <v>164</v>
      </c>
      <c r="S186" t="s">
        <v>242</v>
      </c>
      <c r="T186" t="s">
        <v>171</v>
      </c>
      <c r="U186">
        <v>0.10929831459550214</v>
      </c>
      <c r="V186" t="s">
        <v>164</v>
      </c>
    </row>
    <row r="187" spans="9:22" x14ac:dyDescent="0.45">
      <c r="I187" t="s">
        <v>189</v>
      </c>
      <c r="J187" t="s">
        <v>172</v>
      </c>
      <c r="K187">
        <v>8.6051067359557455E-3</v>
      </c>
      <c r="L187" t="s">
        <v>164</v>
      </c>
      <c r="N187" t="s">
        <v>222</v>
      </c>
      <c r="O187" t="s">
        <v>172</v>
      </c>
      <c r="P187">
        <v>4.7722305724910902E-2</v>
      </c>
      <c r="Q187" t="s">
        <v>164</v>
      </c>
      <c r="S187" t="s">
        <v>242</v>
      </c>
      <c r="T187" t="s">
        <v>172</v>
      </c>
      <c r="U187">
        <v>0.11310098677955499</v>
      </c>
      <c r="V187" t="s">
        <v>164</v>
      </c>
    </row>
    <row r="188" spans="9:22" x14ac:dyDescent="0.45">
      <c r="I188" t="s">
        <v>189</v>
      </c>
      <c r="J188" t="s">
        <v>173</v>
      </c>
      <c r="K188">
        <v>2.2610853773239729E-2</v>
      </c>
      <c r="L188" t="s">
        <v>164</v>
      </c>
      <c r="N188" t="s">
        <v>222</v>
      </c>
      <c r="O188" t="s">
        <v>173</v>
      </c>
      <c r="P188">
        <v>7.2434530170947309E-2</v>
      </c>
      <c r="Q188" t="s">
        <v>164</v>
      </c>
      <c r="S188" t="s">
        <v>242</v>
      </c>
      <c r="T188" t="s">
        <v>173</v>
      </c>
      <c r="U188">
        <v>4.1921161024508768E-2</v>
      </c>
      <c r="V188" t="s">
        <v>164</v>
      </c>
    </row>
    <row r="189" spans="9:22" x14ac:dyDescent="0.45">
      <c r="I189" t="s">
        <v>189</v>
      </c>
      <c r="J189" t="s">
        <v>174</v>
      </c>
      <c r="K189">
        <v>7.4046508582190931E-2</v>
      </c>
      <c r="L189" t="s">
        <v>164</v>
      </c>
      <c r="N189" t="s">
        <v>222</v>
      </c>
      <c r="O189" t="s">
        <v>174</v>
      </c>
      <c r="P189">
        <v>5.4434662869044012E-2</v>
      </c>
      <c r="Q189" t="s">
        <v>164</v>
      </c>
      <c r="S189" t="s">
        <v>242</v>
      </c>
      <c r="T189" t="s">
        <v>174</v>
      </c>
      <c r="U189">
        <v>3.1082010591067563E-2</v>
      </c>
      <c r="V189" t="s">
        <v>164</v>
      </c>
    </row>
    <row r="190" spans="9:22" x14ac:dyDescent="0.45">
      <c r="I190" t="s">
        <v>189</v>
      </c>
      <c r="J190" t="s">
        <v>175</v>
      </c>
      <c r="K190">
        <v>1.1512050560392764E-5</v>
      </c>
      <c r="L190" t="s">
        <v>164</v>
      </c>
      <c r="N190" t="s">
        <v>222</v>
      </c>
      <c r="O190" t="s">
        <v>175</v>
      </c>
      <c r="P190">
        <v>3.4491937381016982E-2</v>
      </c>
      <c r="Q190" t="s">
        <v>164</v>
      </c>
      <c r="S190" t="s">
        <v>242</v>
      </c>
      <c r="T190" t="s">
        <v>175</v>
      </c>
      <c r="U190">
        <v>2.7012531797076154E-2</v>
      </c>
      <c r="V190" t="s">
        <v>164</v>
      </c>
    </row>
    <row r="191" spans="9:22" x14ac:dyDescent="0.45">
      <c r="I191" t="s">
        <v>190</v>
      </c>
      <c r="J191" t="s">
        <v>163</v>
      </c>
      <c r="K191">
        <v>3.3978767614612826E-2</v>
      </c>
      <c r="L191" t="s">
        <v>164</v>
      </c>
      <c r="N191" t="s">
        <v>223</v>
      </c>
      <c r="O191" t="s">
        <v>163</v>
      </c>
      <c r="P191">
        <v>0.14887864336632556</v>
      </c>
      <c r="Q191" t="s">
        <v>164</v>
      </c>
      <c r="S191" t="s">
        <v>243</v>
      </c>
      <c r="T191" t="s">
        <v>163</v>
      </c>
      <c r="U191">
        <v>9.5765162325461894E-2</v>
      </c>
      <c r="V191" t="s">
        <v>164</v>
      </c>
    </row>
    <row r="192" spans="9:22" x14ac:dyDescent="0.45">
      <c r="I192" t="s">
        <v>190</v>
      </c>
      <c r="J192" t="s">
        <v>165</v>
      </c>
      <c r="K192">
        <v>0.14063510826436931</v>
      </c>
      <c r="L192" t="s">
        <v>164</v>
      </c>
      <c r="N192" t="s">
        <v>223</v>
      </c>
      <c r="O192" t="s">
        <v>165</v>
      </c>
      <c r="P192">
        <v>9.0488506502327287E-2</v>
      </c>
      <c r="Q192" t="s">
        <v>164</v>
      </c>
      <c r="S192" t="s">
        <v>243</v>
      </c>
      <c r="T192" t="s">
        <v>165</v>
      </c>
      <c r="U192">
        <v>6.1698072438639145E-2</v>
      </c>
      <c r="V192" t="s">
        <v>164</v>
      </c>
    </row>
    <row r="193" spans="9:22" x14ac:dyDescent="0.45">
      <c r="I193" t="s">
        <v>190</v>
      </c>
      <c r="J193" t="s">
        <v>166</v>
      </c>
      <c r="K193">
        <v>8.3360630868899149E-3</v>
      </c>
      <c r="L193" t="s">
        <v>164</v>
      </c>
      <c r="N193" t="s">
        <v>223</v>
      </c>
      <c r="O193" t="s">
        <v>166</v>
      </c>
      <c r="P193">
        <v>8.4939768464036128E-2</v>
      </c>
      <c r="Q193" t="s">
        <v>164</v>
      </c>
      <c r="S193" t="s">
        <v>243</v>
      </c>
      <c r="T193" t="s">
        <v>166</v>
      </c>
      <c r="U193">
        <v>5.4767296190218674E-2</v>
      </c>
      <c r="V193" t="s">
        <v>164</v>
      </c>
    </row>
    <row r="194" spans="9:22" x14ac:dyDescent="0.45">
      <c r="I194" t="s">
        <v>190</v>
      </c>
      <c r="J194" t="s">
        <v>167</v>
      </c>
      <c r="K194">
        <v>4.5203156349481688E-2</v>
      </c>
      <c r="L194" t="s">
        <v>164</v>
      </c>
      <c r="N194" t="s">
        <v>223</v>
      </c>
      <c r="O194" t="s">
        <v>167</v>
      </c>
      <c r="P194">
        <v>0.17353113001513881</v>
      </c>
      <c r="Q194" t="s">
        <v>164</v>
      </c>
      <c r="S194" t="s">
        <v>243</v>
      </c>
      <c r="T194" t="s">
        <v>167</v>
      </c>
      <c r="U194">
        <v>0.12819922472201425</v>
      </c>
      <c r="V194" t="s">
        <v>164</v>
      </c>
    </row>
    <row r="195" spans="9:22" x14ac:dyDescent="0.45">
      <c r="I195" t="s">
        <v>190</v>
      </c>
      <c r="J195" t="s">
        <v>168</v>
      </c>
      <c r="K195">
        <v>0.18292104177301791</v>
      </c>
      <c r="L195" t="s">
        <v>164</v>
      </c>
      <c r="N195" t="s">
        <v>223</v>
      </c>
      <c r="O195" t="s">
        <v>168</v>
      </c>
      <c r="P195">
        <v>8.0866339258549122E-2</v>
      </c>
      <c r="Q195" t="s">
        <v>164</v>
      </c>
      <c r="S195" t="s">
        <v>243</v>
      </c>
      <c r="T195" t="s">
        <v>168</v>
      </c>
      <c r="U195">
        <v>8.39725531417536E-2</v>
      </c>
      <c r="V195" t="s">
        <v>164</v>
      </c>
    </row>
    <row r="196" spans="9:22" x14ac:dyDescent="0.45">
      <c r="I196" t="s">
        <v>190</v>
      </c>
      <c r="J196" t="s">
        <v>169</v>
      </c>
      <c r="K196">
        <v>6.939841999579496E-3</v>
      </c>
      <c r="L196" t="s">
        <v>164</v>
      </c>
      <c r="N196" t="s">
        <v>223</v>
      </c>
      <c r="O196" t="s">
        <v>169</v>
      </c>
      <c r="P196">
        <v>8.6340253556289312E-2</v>
      </c>
      <c r="Q196" t="s">
        <v>164</v>
      </c>
      <c r="S196" t="s">
        <v>243</v>
      </c>
      <c r="T196" t="s">
        <v>169</v>
      </c>
      <c r="U196">
        <v>8.7921536783889351E-2</v>
      </c>
      <c r="V196" t="s">
        <v>164</v>
      </c>
    </row>
    <row r="197" spans="9:22" x14ac:dyDescent="0.45">
      <c r="I197" t="s">
        <v>190</v>
      </c>
      <c r="J197" t="s">
        <v>170</v>
      </c>
      <c r="K197">
        <v>9.7764166284529178E-2</v>
      </c>
      <c r="L197" t="s">
        <v>164</v>
      </c>
      <c r="N197" t="s">
        <v>223</v>
      </c>
      <c r="O197" t="s">
        <v>170</v>
      </c>
      <c r="P197">
        <v>0.10402123069272293</v>
      </c>
      <c r="Q197" t="s">
        <v>164</v>
      </c>
      <c r="S197" t="s">
        <v>243</v>
      </c>
      <c r="T197" t="s">
        <v>170</v>
      </c>
      <c r="U197">
        <v>0.16400416010685073</v>
      </c>
      <c r="V197" t="s">
        <v>164</v>
      </c>
    </row>
    <row r="198" spans="9:22" x14ac:dyDescent="0.45">
      <c r="I198" t="s">
        <v>190</v>
      </c>
      <c r="J198" t="s">
        <v>171</v>
      </c>
      <c r="K198">
        <v>0.37917220010659247</v>
      </c>
      <c r="L198" t="s">
        <v>164</v>
      </c>
      <c r="N198" t="s">
        <v>223</v>
      </c>
      <c r="O198" t="s">
        <v>171</v>
      </c>
      <c r="P198">
        <v>4.8667244072484996E-2</v>
      </c>
      <c r="Q198" t="s">
        <v>164</v>
      </c>
      <c r="S198" t="s">
        <v>243</v>
      </c>
      <c r="T198" t="s">
        <v>171</v>
      </c>
      <c r="U198">
        <v>0.10242247299641642</v>
      </c>
      <c r="V198" t="s">
        <v>164</v>
      </c>
    </row>
    <row r="199" spans="9:22" x14ac:dyDescent="0.45">
      <c r="I199" t="s">
        <v>190</v>
      </c>
      <c r="J199" t="s">
        <v>172</v>
      </c>
      <c r="K199">
        <v>9.3375720302038539E-3</v>
      </c>
      <c r="L199" t="s">
        <v>164</v>
      </c>
      <c r="N199" t="s">
        <v>223</v>
      </c>
      <c r="O199" t="s">
        <v>172</v>
      </c>
      <c r="P199">
        <v>6.0075028629609471E-2</v>
      </c>
      <c r="Q199" t="s">
        <v>164</v>
      </c>
      <c r="S199" t="s">
        <v>243</v>
      </c>
      <c r="T199" t="s">
        <v>172</v>
      </c>
      <c r="U199">
        <v>0.10843889930032355</v>
      </c>
      <c r="V199" t="s">
        <v>164</v>
      </c>
    </row>
    <row r="200" spans="9:22" x14ac:dyDescent="0.45">
      <c r="I200" t="s">
        <v>190</v>
      </c>
      <c r="J200" t="s">
        <v>173</v>
      </c>
      <c r="K200">
        <v>2.1049713646839649E-2</v>
      </c>
      <c r="L200" t="s">
        <v>164</v>
      </c>
      <c r="N200" t="s">
        <v>223</v>
      </c>
      <c r="O200" t="s">
        <v>173</v>
      </c>
      <c r="P200">
        <v>5.2049698151215733E-2</v>
      </c>
      <c r="Q200" t="s">
        <v>164</v>
      </c>
      <c r="S200" t="s">
        <v>243</v>
      </c>
      <c r="T200" t="s">
        <v>173</v>
      </c>
      <c r="U200">
        <v>4.7339736539509278E-2</v>
      </c>
      <c r="V200" t="s">
        <v>164</v>
      </c>
    </row>
    <row r="201" spans="9:22" x14ac:dyDescent="0.45">
      <c r="I201" t="s">
        <v>190</v>
      </c>
      <c r="J201" t="s">
        <v>174</v>
      </c>
      <c r="K201">
        <v>7.352409440923173E-2</v>
      </c>
      <c r="L201" t="s">
        <v>164</v>
      </c>
      <c r="N201" t="s">
        <v>223</v>
      </c>
      <c r="O201" t="s">
        <v>174</v>
      </c>
      <c r="P201">
        <v>3.787545452923724E-2</v>
      </c>
      <c r="Q201" t="s">
        <v>164</v>
      </c>
      <c r="S201" t="s">
        <v>243</v>
      </c>
      <c r="T201" t="s">
        <v>174</v>
      </c>
      <c r="U201">
        <v>3.5166880238548553E-2</v>
      </c>
      <c r="V201" t="s">
        <v>164</v>
      </c>
    </row>
    <row r="202" spans="9:22" x14ac:dyDescent="0.45">
      <c r="I202" t="s">
        <v>190</v>
      </c>
      <c r="J202" t="s">
        <v>175</v>
      </c>
      <c r="K202">
        <v>1.1382744346553437E-3</v>
      </c>
      <c r="L202" t="s">
        <v>164</v>
      </c>
      <c r="N202" t="s">
        <v>223</v>
      </c>
      <c r="O202" t="s">
        <v>175</v>
      </c>
      <c r="P202">
        <v>3.2266702762058834E-2</v>
      </c>
      <c r="Q202" t="s">
        <v>164</v>
      </c>
      <c r="S202" t="s">
        <v>243</v>
      </c>
      <c r="T202" t="s">
        <v>175</v>
      </c>
      <c r="U202">
        <v>3.0304005216369855E-2</v>
      </c>
      <c r="V202" t="s">
        <v>164</v>
      </c>
    </row>
    <row r="203" spans="9:22" x14ac:dyDescent="0.45">
      <c r="I203" t="s">
        <v>191</v>
      </c>
      <c r="J203" t="s">
        <v>163</v>
      </c>
      <c r="K203">
        <v>4.4765704798282506E-2</v>
      </c>
      <c r="L203" t="s">
        <v>164</v>
      </c>
      <c r="N203" t="s">
        <v>224</v>
      </c>
      <c r="O203" t="s">
        <v>163</v>
      </c>
      <c r="P203">
        <v>0.1292095311453306</v>
      </c>
      <c r="Q203" t="s">
        <v>164</v>
      </c>
    </row>
    <row r="204" spans="9:22" x14ac:dyDescent="0.45">
      <c r="I204" t="s">
        <v>191</v>
      </c>
      <c r="J204" t="s">
        <v>165</v>
      </c>
      <c r="K204">
        <v>0.15345591261271824</v>
      </c>
      <c r="L204" t="s">
        <v>164</v>
      </c>
      <c r="N204" t="s">
        <v>224</v>
      </c>
      <c r="O204" t="s">
        <v>165</v>
      </c>
      <c r="P204">
        <v>8.9995155701230067E-2</v>
      </c>
      <c r="Q204" t="s">
        <v>164</v>
      </c>
    </row>
    <row r="205" spans="9:22" x14ac:dyDescent="0.45">
      <c r="I205" t="s">
        <v>191</v>
      </c>
      <c r="J205" t="s">
        <v>166</v>
      </c>
      <c r="K205">
        <v>7.5006202888320186E-3</v>
      </c>
      <c r="L205" t="s">
        <v>164</v>
      </c>
      <c r="N205" t="s">
        <v>224</v>
      </c>
      <c r="O205" t="s">
        <v>166</v>
      </c>
      <c r="P205">
        <v>7.1847575354486659E-2</v>
      </c>
      <c r="Q205" t="s">
        <v>164</v>
      </c>
    </row>
    <row r="206" spans="9:22" x14ac:dyDescent="0.45">
      <c r="I206" t="s">
        <v>191</v>
      </c>
      <c r="J206" t="s">
        <v>167</v>
      </c>
      <c r="K206">
        <v>4.8102465190228462E-2</v>
      </c>
      <c r="L206" t="s">
        <v>164</v>
      </c>
      <c r="N206" t="s">
        <v>224</v>
      </c>
      <c r="O206" t="s">
        <v>167</v>
      </c>
      <c r="P206">
        <v>0.17815573300581924</v>
      </c>
      <c r="Q206" t="s">
        <v>164</v>
      </c>
    </row>
    <row r="207" spans="9:22" x14ac:dyDescent="0.45">
      <c r="I207" t="s">
        <v>191</v>
      </c>
      <c r="J207" t="s">
        <v>168</v>
      </c>
      <c r="K207">
        <v>0.17741118499999686</v>
      </c>
      <c r="L207" t="s">
        <v>164</v>
      </c>
      <c r="N207" t="s">
        <v>224</v>
      </c>
      <c r="O207" t="s">
        <v>168</v>
      </c>
      <c r="P207">
        <v>9.5643505867222825E-2</v>
      </c>
      <c r="Q207" t="s">
        <v>164</v>
      </c>
    </row>
    <row r="208" spans="9:22" x14ac:dyDescent="0.45">
      <c r="I208" t="s">
        <v>191</v>
      </c>
      <c r="J208" t="s">
        <v>169</v>
      </c>
      <c r="K208">
        <v>7.2744399290363615E-3</v>
      </c>
      <c r="L208" t="s">
        <v>164</v>
      </c>
      <c r="N208" t="s">
        <v>224</v>
      </c>
      <c r="O208" t="s">
        <v>169</v>
      </c>
      <c r="P208">
        <v>9.3062258604426074E-2</v>
      </c>
      <c r="Q208" t="s">
        <v>164</v>
      </c>
    </row>
    <row r="209" spans="9:17" x14ac:dyDescent="0.45">
      <c r="I209" t="s">
        <v>191</v>
      </c>
      <c r="J209" t="s">
        <v>170</v>
      </c>
      <c r="K209">
        <v>0.10543071724580519</v>
      </c>
      <c r="L209" t="s">
        <v>164</v>
      </c>
      <c r="N209" t="s">
        <v>224</v>
      </c>
      <c r="O209" t="s">
        <v>170</v>
      </c>
      <c r="P209">
        <v>0.11576973838774539</v>
      </c>
      <c r="Q209" t="s">
        <v>164</v>
      </c>
    </row>
    <row r="210" spans="9:17" x14ac:dyDescent="0.45">
      <c r="I210" t="s">
        <v>191</v>
      </c>
      <c r="J210" t="s">
        <v>171</v>
      </c>
      <c r="K210">
        <v>0.35167971055184633</v>
      </c>
      <c r="L210" t="s">
        <v>164</v>
      </c>
      <c r="N210" t="s">
        <v>224</v>
      </c>
      <c r="O210" t="s">
        <v>171</v>
      </c>
      <c r="P210">
        <v>4.9460077587181815E-2</v>
      </c>
      <c r="Q210" t="s">
        <v>164</v>
      </c>
    </row>
    <row r="211" spans="9:17" x14ac:dyDescent="0.45">
      <c r="I211" t="s">
        <v>191</v>
      </c>
      <c r="J211" t="s">
        <v>172</v>
      </c>
      <c r="K211">
        <v>7.3572555117591958E-3</v>
      </c>
      <c r="L211" t="s">
        <v>164</v>
      </c>
      <c r="N211" t="s">
        <v>224</v>
      </c>
      <c r="O211" t="s">
        <v>172</v>
      </c>
      <c r="P211">
        <v>6.1269570883685204E-2</v>
      </c>
      <c r="Q211" t="s">
        <v>164</v>
      </c>
    </row>
    <row r="212" spans="9:17" x14ac:dyDescent="0.45">
      <c r="I212" t="s">
        <v>191</v>
      </c>
      <c r="J212" t="s">
        <v>173</v>
      </c>
      <c r="K212">
        <v>2.3498442805484455E-2</v>
      </c>
      <c r="L212" t="s">
        <v>164</v>
      </c>
      <c r="N212" t="s">
        <v>224</v>
      </c>
      <c r="O212" t="s">
        <v>173</v>
      </c>
      <c r="P212">
        <v>4.7773424351704716E-2</v>
      </c>
      <c r="Q212" t="s">
        <v>164</v>
      </c>
    </row>
    <row r="213" spans="9:17" x14ac:dyDescent="0.45">
      <c r="I213" t="s">
        <v>191</v>
      </c>
      <c r="J213" t="s">
        <v>174</v>
      </c>
      <c r="K213">
        <v>7.3523546066010026E-2</v>
      </c>
      <c r="L213" t="s">
        <v>164</v>
      </c>
      <c r="N213" t="s">
        <v>224</v>
      </c>
      <c r="O213" t="s">
        <v>174</v>
      </c>
      <c r="P213">
        <v>3.8807746774007251E-2</v>
      </c>
      <c r="Q213" t="s">
        <v>164</v>
      </c>
    </row>
    <row r="214" spans="9:17" x14ac:dyDescent="0.45">
      <c r="I214" t="s">
        <v>191</v>
      </c>
      <c r="J214" t="s">
        <v>175</v>
      </c>
      <c r="K214">
        <v>0</v>
      </c>
      <c r="L214" t="s">
        <v>164</v>
      </c>
      <c r="N214" t="s">
        <v>224</v>
      </c>
      <c r="O214" t="s">
        <v>175</v>
      </c>
      <c r="P214">
        <v>2.9005682337162626E-2</v>
      </c>
      <c r="Q214" t="s">
        <v>164</v>
      </c>
    </row>
    <row r="215" spans="9:17" x14ac:dyDescent="0.45">
      <c r="I215" t="s">
        <v>192</v>
      </c>
      <c r="J215" t="s">
        <v>163</v>
      </c>
      <c r="K215">
        <v>4.7363498252977407E-2</v>
      </c>
      <c r="L215" t="s">
        <v>164</v>
      </c>
      <c r="N215" t="s">
        <v>225</v>
      </c>
      <c r="O215" t="s">
        <v>163</v>
      </c>
      <c r="P215">
        <v>0.10292076151100508</v>
      </c>
      <c r="Q215" t="s">
        <v>164</v>
      </c>
    </row>
    <row r="216" spans="9:17" x14ac:dyDescent="0.45">
      <c r="I216" t="s">
        <v>192</v>
      </c>
      <c r="J216" t="s">
        <v>165</v>
      </c>
      <c r="K216">
        <v>0.1472667491000596</v>
      </c>
      <c r="L216" t="s">
        <v>164</v>
      </c>
      <c r="N216" t="s">
        <v>225</v>
      </c>
      <c r="O216" t="s">
        <v>165</v>
      </c>
      <c r="P216">
        <v>6.7774416307134669E-2</v>
      </c>
      <c r="Q216" t="s">
        <v>164</v>
      </c>
    </row>
    <row r="217" spans="9:17" x14ac:dyDescent="0.45">
      <c r="I217" t="s">
        <v>192</v>
      </c>
      <c r="J217" t="s">
        <v>166</v>
      </c>
      <c r="K217">
        <v>5.3401236104522048E-3</v>
      </c>
      <c r="L217" t="s">
        <v>164</v>
      </c>
      <c r="N217" t="s">
        <v>225</v>
      </c>
      <c r="O217" t="s">
        <v>166</v>
      </c>
      <c r="P217">
        <v>6.9148686496731795E-2</v>
      </c>
      <c r="Q217" t="s">
        <v>164</v>
      </c>
    </row>
    <row r="218" spans="9:17" x14ac:dyDescent="0.45">
      <c r="I218" t="s">
        <v>192</v>
      </c>
      <c r="J218" t="s">
        <v>167</v>
      </c>
      <c r="K218">
        <v>5.333434845625009E-2</v>
      </c>
      <c r="L218" t="s">
        <v>164</v>
      </c>
      <c r="N218" t="s">
        <v>225</v>
      </c>
      <c r="O218" t="s">
        <v>167</v>
      </c>
      <c r="P218">
        <v>0.17135503653766654</v>
      </c>
      <c r="Q218" t="s">
        <v>164</v>
      </c>
    </row>
    <row r="219" spans="9:17" x14ac:dyDescent="0.45">
      <c r="I219" t="s">
        <v>192</v>
      </c>
      <c r="J219" t="s">
        <v>168</v>
      </c>
      <c r="K219">
        <v>0.18193481435095388</v>
      </c>
      <c r="L219" t="s">
        <v>164</v>
      </c>
      <c r="N219" t="s">
        <v>225</v>
      </c>
      <c r="O219" t="s">
        <v>168</v>
      </c>
      <c r="P219">
        <v>7.7460496864390119E-2</v>
      </c>
      <c r="Q219" t="s">
        <v>164</v>
      </c>
    </row>
    <row r="220" spans="9:17" x14ac:dyDescent="0.45">
      <c r="I220" t="s">
        <v>192</v>
      </c>
      <c r="J220" t="s">
        <v>169</v>
      </c>
      <c r="K220">
        <v>7.8886450280643665E-3</v>
      </c>
      <c r="L220" t="s">
        <v>164</v>
      </c>
      <c r="N220" t="s">
        <v>225</v>
      </c>
      <c r="O220" t="s">
        <v>169</v>
      </c>
      <c r="P220">
        <v>9.9396241823954998E-2</v>
      </c>
      <c r="Q220" t="s">
        <v>164</v>
      </c>
    </row>
    <row r="221" spans="9:17" x14ac:dyDescent="0.45">
      <c r="I221" t="s">
        <v>192</v>
      </c>
      <c r="J221" t="s">
        <v>170</v>
      </c>
      <c r="K221">
        <v>0.11343548102457053</v>
      </c>
      <c r="L221" t="s">
        <v>164</v>
      </c>
      <c r="N221" t="s">
        <v>225</v>
      </c>
      <c r="O221" t="s">
        <v>170</v>
      </c>
      <c r="P221">
        <v>0.14680126942705057</v>
      </c>
      <c r="Q221" t="s">
        <v>164</v>
      </c>
    </row>
    <row r="222" spans="9:17" x14ac:dyDescent="0.45">
      <c r="I222" t="s">
        <v>192</v>
      </c>
      <c r="J222" t="s">
        <v>171</v>
      </c>
      <c r="K222">
        <v>0.34557834750914451</v>
      </c>
      <c r="L222" t="s">
        <v>164</v>
      </c>
      <c r="N222" t="s">
        <v>225</v>
      </c>
      <c r="O222" t="s">
        <v>171</v>
      </c>
      <c r="P222">
        <v>7.7091634940057441E-2</v>
      </c>
      <c r="Q222" t="s">
        <v>164</v>
      </c>
    </row>
    <row r="223" spans="9:17" x14ac:dyDescent="0.45">
      <c r="I223" t="s">
        <v>192</v>
      </c>
      <c r="J223" t="s">
        <v>172</v>
      </c>
      <c r="K223">
        <v>6.6494019773824676E-3</v>
      </c>
      <c r="L223" t="s">
        <v>164</v>
      </c>
      <c r="N223" t="s">
        <v>225</v>
      </c>
      <c r="O223" t="s">
        <v>172</v>
      </c>
      <c r="P223">
        <v>8.3887252763823847E-2</v>
      </c>
      <c r="Q223" t="s">
        <v>164</v>
      </c>
    </row>
    <row r="224" spans="9:17" x14ac:dyDescent="0.45">
      <c r="I224" t="s">
        <v>192</v>
      </c>
      <c r="J224" t="s">
        <v>173</v>
      </c>
      <c r="K224">
        <v>2.3117517326988975E-2</v>
      </c>
      <c r="L224" t="s">
        <v>164</v>
      </c>
      <c r="N224" t="s">
        <v>225</v>
      </c>
      <c r="O224" t="s">
        <v>173</v>
      </c>
      <c r="P224">
        <v>4.1196726067570015E-2</v>
      </c>
      <c r="Q224" t="s">
        <v>164</v>
      </c>
    </row>
    <row r="225" spans="9:17" x14ac:dyDescent="0.45">
      <c r="I225" t="s">
        <v>192</v>
      </c>
      <c r="J225" t="s">
        <v>174</v>
      </c>
      <c r="K225">
        <v>6.8091073363154536E-2</v>
      </c>
      <c r="L225" t="s">
        <v>164</v>
      </c>
      <c r="N225" t="s">
        <v>225</v>
      </c>
      <c r="O225" t="s">
        <v>174</v>
      </c>
      <c r="P225">
        <v>3.7959233828767973E-2</v>
      </c>
      <c r="Q225" t="s">
        <v>164</v>
      </c>
    </row>
    <row r="226" spans="9:17" x14ac:dyDescent="0.45">
      <c r="I226" t="s">
        <v>192</v>
      </c>
      <c r="J226" t="s">
        <v>175</v>
      </c>
      <c r="K226">
        <v>0</v>
      </c>
      <c r="L226" t="s">
        <v>164</v>
      </c>
      <c r="N226" t="s">
        <v>225</v>
      </c>
      <c r="O226" t="s">
        <v>175</v>
      </c>
      <c r="P226">
        <v>2.5008243431849025E-2</v>
      </c>
      <c r="Q226" t="s">
        <v>164</v>
      </c>
    </row>
    <row r="227" spans="9:17" x14ac:dyDescent="0.45">
      <c r="I227" t="s">
        <v>193</v>
      </c>
      <c r="J227" t="s">
        <v>163</v>
      </c>
      <c r="K227">
        <v>4.382333922247917E-2</v>
      </c>
      <c r="L227" t="s">
        <v>164</v>
      </c>
      <c r="N227" t="s">
        <v>226</v>
      </c>
      <c r="O227" t="s">
        <v>163</v>
      </c>
      <c r="P227">
        <v>0.10620408118674772</v>
      </c>
      <c r="Q227" t="s">
        <v>164</v>
      </c>
    </row>
    <row r="228" spans="9:17" x14ac:dyDescent="0.45">
      <c r="I228" t="s">
        <v>193</v>
      </c>
      <c r="J228" t="s">
        <v>165</v>
      </c>
      <c r="K228">
        <v>0.14251934185634391</v>
      </c>
      <c r="L228" t="s">
        <v>164</v>
      </c>
      <c r="N228" t="s">
        <v>226</v>
      </c>
      <c r="O228" t="s">
        <v>165</v>
      </c>
      <c r="P228">
        <v>7.049847654287586E-2</v>
      </c>
      <c r="Q228" t="s">
        <v>164</v>
      </c>
    </row>
    <row r="229" spans="9:17" x14ac:dyDescent="0.45">
      <c r="I229" t="s">
        <v>193</v>
      </c>
      <c r="J229" t="s">
        <v>166</v>
      </c>
      <c r="K229">
        <v>5.340696158323245E-3</v>
      </c>
      <c r="L229" t="s">
        <v>164</v>
      </c>
      <c r="N229" t="s">
        <v>226</v>
      </c>
      <c r="O229" t="s">
        <v>166</v>
      </c>
      <c r="P229">
        <v>8.6146142044356944E-2</v>
      </c>
      <c r="Q229" t="s">
        <v>164</v>
      </c>
    </row>
    <row r="230" spans="9:17" x14ac:dyDescent="0.45">
      <c r="I230" t="s">
        <v>193</v>
      </c>
      <c r="J230" t="s">
        <v>167</v>
      </c>
      <c r="K230">
        <v>4.8669431007813284E-2</v>
      </c>
      <c r="L230" t="s">
        <v>164</v>
      </c>
      <c r="N230" t="s">
        <v>226</v>
      </c>
      <c r="O230" t="s">
        <v>167</v>
      </c>
      <c r="P230">
        <v>0.15885065807876009</v>
      </c>
      <c r="Q230" t="s">
        <v>164</v>
      </c>
    </row>
    <row r="231" spans="9:17" x14ac:dyDescent="0.45">
      <c r="I231" t="s">
        <v>193</v>
      </c>
      <c r="J231" t="s">
        <v>168</v>
      </c>
      <c r="K231">
        <v>0.18136646164686995</v>
      </c>
      <c r="L231" t="s">
        <v>164</v>
      </c>
      <c r="N231" t="s">
        <v>226</v>
      </c>
      <c r="O231" t="s">
        <v>168</v>
      </c>
      <c r="P231">
        <v>8.7809816652247741E-2</v>
      </c>
      <c r="Q231" t="s">
        <v>164</v>
      </c>
    </row>
    <row r="232" spans="9:17" x14ac:dyDescent="0.45">
      <c r="I232" t="s">
        <v>193</v>
      </c>
      <c r="J232" t="s">
        <v>169</v>
      </c>
      <c r="K232">
        <v>7.1343030361747523E-3</v>
      </c>
      <c r="L232" t="s">
        <v>164</v>
      </c>
      <c r="N232" t="s">
        <v>226</v>
      </c>
      <c r="O232" t="s">
        <v>169</v>
      </c>
      <c r="P232">
        <v>0.11548030104929584</v>
      </c>
      <c r="Q232" t="s">
        <v>164</v>
      </c>
    </row>
    <row r="233" spans="9:17" x14ac:dyDescent="0.45">
      <c r="I233" t="s">
        <v>193</v>
      </c>
      <c r="J233" t="s">
        <v>170</v>
      </c>
      <c r="K233">
        <v>0.10725654103119352</v>
      </c>
      <c r="L233" t="s">
        <v>164</v>
      </c>
      <c r="N233" t="s">
        <v>226</v>
      </c>
      <c r="O233" t="s">
        <v>170</v>
      </c>
      <c r="P233">
        <v>0.12218437286664879</v>
      </c>
      <c r="Q233" t="s">
        <v>164</v>
      </c>
    </row>
    <row r="234" spans="9:17" x14ac:dyDescent="0.45">
      <c r="I234" t="s">
        <v>193</v>
      </c>
      <c r="J234" t="s">
        <v>171</v>
      </c>
      <c r="K234">
        <v>0.36093283104519286</v>
      </c>
      <c r="L234" t="s">
        <v>164</v>
      </c>
      <c r="N234" t="s">
        <v>226</v>
      </c>
      <c r="O234" t="s">
        <v>171</v>
      </c>
      <c r="P234">
        <v>5.8048575563411732E-2</v>
      </c>
      <c r="Q234" t="s">
        <v>164</v>
      </c>
    </row>
    <row r="235" spans="9:17" x14ac:dyDescent="0.45">
      <c r="I235" t="s">
        <v>193</v>
      </c>
      <c r="J235" t="s">
        <v>172</v>
      </c>
      <c r="K235">
        <v>8.1552736508947975E-3</v>
      </c>
      <c r="L235" t="s">
        <v>164</v>
      </c>
      <c r="N235" t="s">
        <v>226</v>
      </c>
      <c r="O235" t="s">
        <v>172</v>
      </c>
      <c r="P235">
        <v>9.2847306143692784E-2</v>
      </c>
      <c r="Q235" t="s">
        <v>164</v>
      </c>
    </row>
    <row r="236" spans="9:17" x14ac:dyDescent="0.45">
      <c r="I236" t="s">
        <v>193</v>
      </c>
      <c r="J236" t="s">
        <v>173</v>
      </c>
      <c r="K236">
        <v>2.3076853867293107E-2</v>
      </c>
      <c r="L236" t="s">
        <v>164</v>
      </c>
      <c r="N236" t="s">
        <v>226</v>
      </c>
      <c r="O236" t="s">
        <v>173</v>
      </c>
      <c r="P236">
        <v>4.0116693490370017E-2</v>
      </c>
      <c r="Q236" t="s">
        <v>164</v>
      </c>
    </row>
    <row r="237" spans="9:17" x14ac:dyDescent="0.45">
      <c r="I237" t="s">
        <v>193</v>
      </c>
      <c r="J237" t="s">
        <v>174</v>
      </c>
      <c r="K237">
        <v>7.172492747742229E-2</v>
      </c>
      <c r="L237" t="s">
        <v>164</v>
      </c>
      <c r="N237" t="s">
        <v>226</v>
      </c>
      <c r="O237" t="s">
        <v>174</v>
      </c>
      <c r="P237">
        <v>3.1832493410745004E-2</v>
      </c>
      <c r="Q237" t="s">
        <v>164</v>
      </c>
    </row>
    <row r="238" spans="9:17" x14ac:dyDescent="0.45">
      <c r="I238" t="s">
        <v>193</v>
      </c>
      <c r="J238" t="s">
        <v>175</v>
      </c>
      <c r="K238">
        <v>0</v>
      </c>
      <c r="L238" t="s">
        <v>164</v>
      </c>
      <c r="N238" t="s">
        <v>226</v>
      </c>
      <c r="O238" t="s">
        <v>175</v>
      </c>
      <c r="P238">
        <v>2.9981082970850198E-2</v>
      </c>
      <c r="Q238" t="s">
        <v>164</v>
      </c>
    </row>
    <row r="239" spans="9:17" x14ac:dyDescent="0.45">
      <c r="I239" t="s">
        <v>194</v>
      </c>
      <c r="J239" t="s">
        <v>163</v>
      </c>
      <c r="K239">
        <v>4.1325927250202309E-2</v>
      </c>
      <c r="L239" t="s">
        <v>164</v>
      </c>
      <c r="N239" t="s">
        <v>227</v>
      </c>
      <c r="O239" t="s">
        <v>163</v>
      </c>
      <c r="P239">
        <v>5.5972915946952501E-2</v>
      </c>
      <c r="Q239" t="s">
        <v>164</v>
      </c>
    </row>
    <row r="240" spans="9:17" x14ac:dyDescent="0.45">
      <c r="I240" t="s">
        <v>194</v>
      </c>
      <c r="J240" t="s">
        <v>165</v>
      </c>
      <c r="K240">
        <v>0.12099357175801384</v>
      </c>
      <c r="L240" t="s">
        <v>164</v>
      </c>
      <c r="N240" t="s">
        <v>227</v>
      </c>
      <c r="O240" t="s">
        <v>165</v>
      </c>
      <c r="P240">
        <v>7.9195118702451522E-2</v>
      </c>
      <c r="Q240" t="s">
        <v>164</v>
      </c>
    </row>
    <row r="241" spans="9:17" x14ac:dyDescent="0.45">
      <c r="I241" t="s">
        <v>194</v>
      </c>
      <c r="J241" t="s">
        <v>166</v>
      </c>
      <c r="K241">
        <v>0</v>
      </c>
      <c r="L241" t="s">
        <v>164</v>
      </c>
      <c r="N241" t="s">
        <v>227</v>
      </c>
      <c r="O241" t="s">
        <v>166</v>
      </c>
      <c r="P241">
        <v>8.1341495697704769E-2</v>
      </c>
      <c r="Q241" t="s">
        <v>164</v>
      </c>
    </row>
    <row r="242" spans="9:17" x14ac:dyDescent="0.45">
      <c r="I242" t="s">
        <v>194</v>
      </c>
      <c r="J242" t="s">
        <v>167</v>
      </c>
      <c r="K242">
        <v>6.5701024728961208E-2</v>
      </c>
      <c r="L242" t="s">
        <v>164</v>
      </c>
      <c r="N242" t="s">
        <v>227</v>
      </c>
      <c r="O242" t="s">
        <v>167</v>
      </c>
      <c r="P242">
        <v>0.18535111608097515</v>
      </c>
      <c r="Q242" t="s">
        <v>164</v>
      </c>
    </row>
    <row r="243" spans="9:17" x14ac:dyDescent="0.45">
      <c r="I243" t="s">
        <v>194</v>
      </c>
      <c r="J243" t="s">
        <v>168</v>
      </c>
      <c r="K243">
        <v>0.19529840444092322</v>
      </c>
      <c r="L243" t="s">
        <v>164</v>
      </c>
      <c r="N243" t="s">
        <v>227</v>
      </c>
      <c r="O243" t="s">
        <v>168</v>
      </c>
      <c r="P243">
        <v>0.10058393862740028</v>
      </c>
      <c r="Q243" t="s">
        <v>164</v>
      </c>
    </row>
    <row r="244" spans="9:17" x14ac:dyDescent="0.45">
      <c r="I244" t="s">
        <v>194</v>
      </c>
      <c r="J244" t="s">
        <v>169</v>
      </c>
      <c r="K244">
        <v>8.8445681506590084E-6</v>
      </c>
      <c r="L244" t="s">
        <v>164</v>
      </c>
      <c r="N244" t="s">
        <v>227</v>
      </c>
      <c r="O244" t="s">
        <v>169</v>
      </c>
      <c r="P244">
        <v>8.7642986744469076E-2</v>
      </c>
      <c r="Q244" t="s">
        <v>164</v>
      </c>
    </row>
    <row r="245" spans="9:17" x14ac:dyDescent="0.45">
      <c r="I245" t="s">
        <v>194</v>
      </c>
      <c r="J245" t="s">
        <v>170</v>
      </c>
      <c r="K245">
        <v>0.12296195055592202</v>
      </c>
      <c r="L245" t="s">
        <v>164</v>
      </c>
      <c r="N245" t="s">
        <v>227</v>
      </c>
      <c r="O245" t="s">
        <v>170</v>
      </c>
      <c r="P245">
        <v>0.13684473400407132</v>
      </c>
      <c r="Q245" t="s">
        <v>164</v>
      </c>
    </row>
    <row r="246" spans="9:17" x14ac:dyDescent="0.45">
      <c r="I246" t="s">
        <v>194</v>
      </c>
      <c r="J246" t="s">
        <v>171</v>
      </c>
      <c r="K246">
        <v>0.36881364746971879</v>
      </c>
      <c r="L246" t="s">
        <v>164</v>
      </c>
      <c r="N246" t="s">
        <v>227</v>
      </c>
      <c r="O246" t="s">
        <v>171</v>
      </c>
      <c r="P246">
        <v>0.11533815156241094</v>
      </c>
      <c r="Q246" t="s">
        <v>164</v>
      </c>
    </row>
    <row r="247" spans="9:17" x14ac:dyDescent="0.45">
      <c r="I247" t="s">
        <v>194</v>
      </c>
      <c r="J247" t="s">
        <v>172</v>
      </c>
      <c r="K247">
        <v>4.3923764494267934E-3</v>
      </c>
      <c r="L247" t="s">
        <v>164</v>
      </c>
      <c r="N247" t="s">
        <v>227</v>
      </c>
      <c r="O247" t="s">
        <v>172</v>
      </c>
      <c r="P247">
        <v>8.4082429914451084E-2</v>
      </c>
      <c r="Q247" t="s">
        <v>164</v>
      </c>
    </row>
    <row r="248" spans="9:17" x14ac:dyDescent="0.45">
      <c r="I248" t="s">
        <v>194</v>
      </c>
      <c r="J248" t="s">
        <v>173</v>
      </c>
      <c r="K248">
        <v>2.0142401605912151E-2</v>
      </c>
      <c r="L248" t="s">
        <v>164</v>
      </c>
      <c r="N248" t="s">
        <v>227</v>
      </c>
      <c r="O248" t="s">
        <v>173</v>
      </c>
      <c r="P248">
        <v>1.4086368442465864E-2</v>
      </c>
      <c r="Q248" t="s">
        <v>164</v>
      </c>
    </row>
    <row r="249" spans="9:17" x14ac:dyDescent="0.45">
      <c r="I249" t="s">
        <v>194</v>
      </c>
      <c r="J249" t="s">
        <v>174</v>
      </c>
      <c r="K249">
        <v>6.036185117276565E-2</v>
      </c>
      <c r="L249" t="s">
        <v>164</v>
      </c>
      <c r="N249" t="s">
        <v>227</v>
      </c>
      <c r="O249" t="s">
        <v>174</v>
      </c>
      <c r="P249">
        <v>3.8156871179192371E-2</v>
      </c>
      <c r="Q249" t="s">
        <v>164</v>
      </c>
    </row>
    <row r="250" spans="9:17" x14ac:dyDescent="0.45">
      <c r="I250" t="s">
        <v>194</v>
      </c>
      <c r="J250" t="s">
        <v>175</v>
      </c>
      <c r="K250">
        <v>0</v>
      </c>
      <c r="L250" t="s">
        <v>164</v>
      </c>
      <c r="N250" t="s">
        <v>227</v>
      </c>
      <c r="O250" t="s">
        <v>175</v>
      </c>
      <c r="P250">
        <v>2.1403873097452106E-2</v>
      </c>
      <c r="Q250" t="s">
        <v>164</v>
      </c>
    </row>
    <row r="251" spans="9:17" x14ac:dyDescent="0.45">
      <c r="I251" t="s">
        <v>195</v>
      </c>
      <c r="J251" t="s">
        <v>163</v>
      </c>
      <c r="K251">
        <v>4.5726011172675524E-2</v>
      </c>
      <c r="L251" t="s">
        <v>164</v>
      </c>
    </row>
    <row r="252" spans="9:17" x14ac:dyDescent="0.45">
      <c r="I252" t="s">
        <v>195</v>
      </c>
      <c r="J252" t="s">
        <v>165</v>
      </c>
      <c r="K252">
        <v>0.12383471231461274</v>
      </c>
      <c r="L252" t="s">
        <v>164</v>
      </c>
    </row>
    <row r="253" spans="9:17" x14ac:dyDescent="0.45">
      <c r="I253" t="s">
        <v>195</v>
      </c>
      <c r="J253" t="s">
        <v>166</v>
      </c>
      <c r="K253">
        <v>0</v>
      </c>
      <c r="L253" t="s">
        <v>164</v>
      </c>
    </row>
    <row r="254" spans="9:17" x14ac:dyDescent="0.45">
      <c r="I254" t="s">
        <v>195</v>
      </c>
      <c r="J254" t="s">
        <v>167</v>
      </c>
      <c r="K254">
        <v>6.6315416667281357E-2</v>
      </c>
      <c r="L254" t="s">
        <v>164</v>
      </c>
    </row>
    <row r="255" spans="9:17" x14ac:dyDescent="0.45">
      <c r="I255" t="s">
        <v>195</v>
      </c>
      <c r="J255" t="s">
        <v>168</v>
      </c>
      <c r="K255">
        <v>0.18866257711482562</v>
      </c>
      <c r="L255" t="s">
        <v>164</v>
      </c>
    </row>
    <row r="256" spans="9:17" x14ac:dyDescent="0.45">
      <c r="I256" t="s">
        <v>195</v>
      </c>
      <c r="J256" t="s">
        <v>169</v>
      </c>
      <c r="K256">
        <v>1.0369771946028825E-3</v>
      </c>
      <c r="L256" t="s">
        <v>164</v>
      </c>
    </row>
    <row r="257" spans="9:12" x14ac:dyDescent="0.45">
      <c r="I257" t="s">
        <v>195</v>
      </c>
      <c r="J257" t="s">
        <v>170</v>
      </c>
      <c r="K257">
        <v>0.13226502066540174</v>
      </c>
      <c r="L257" t="s">
        <v>164</v>
      </c>
    </row>
    <row r="258" spans="9:12" x14ac:dyDescent="0.45">
      <c r="I258" t="s">
        <v>195</v>
      </c>
      <c r="J258" t="s">
        <v>171</v>
      </c>
      <c r="K258">
        <v>0.3546036569979007</v>
      </c>
      <c r="L258" t="s">
        <v>164</v>
      </c>
    </row>
    <row r="259" spans="9:12" x14ac:dyDescent="0.45">
      <c r="I259" t="s">
        <v>195</v>
      </c>
      <c r="J259" t="s">
        <v>172</v>
      </c>
      <c r="K259">
        <v>5.7584334286599316E-3</v>
      </c>
      <c r="L259" t="s">
        <v>164</v>
      </c>
    </row>
    <row r="260" spans="9:12" x14ac:dyDescent="0.45">
      <c r="I260" t="s">
        <v>195</v>
      </c>
      <c r="J260" t="s">
        <v>173</v>
      </c>
      <c r="K260">
        <v>2.2097057554826473E-2</v>
      </c>
      <c r="L260" t="s">
        <v>164</v>
      </c>
    </row>
    <row r="261" spans="9:12" x14ac:dyDescent="0.45">
      <c r="I261" t="s">
        <v>195</v>
      </c>
      <c r="J261" t="s">
        <v>174</v>
      </c>
      <c r="K261">
        <v>5.970013688921276E-2</v>
      </c>
      <c r="L261" t="s">
        <v>164</v>
      </c>
    </row>
    <row r="262" spans="9:12" x14ac:dyDescent="0.45">
      <c r="I262" t="s">
        <v>195</v>
      </c>
      <c r="J262" t="s">
        <v>175</v>
      </c>
      <c r="K262">
        <v>0</v>
      </c>
      <c r="L262" t="s">
        <v>164</v>
      </c>
    </row>
    <row r="263" spans="9:12" x14ac:dyDescent="0.45">
      <c r="I263" t="s">
        <v>196</v>
      </c>
      <c r="J263" t="s">
        <v>163</v>
      </c>
      <c r="K263">
        <v>4.2165330976587569E-2</v>
      </c>
      <c r="L263" t="s">
        <v>164</v>
      </c>
    </row>
    <row r="264" spans="9:12" x14ac:dyDescent="0.45">
      <c r="I264" t="s">
        <v>196</v>
      </c>
      <c r="J264" t="s">
        <v>165</v>
      </c>
      <c r="K264">
        <v>0.12461071462025607</v>
      </c>
      <c r="L264" t="s">
        <v>164</v>
      </c>
    </row>
    <row r="265" spans="9:12" x14ac:dyDescent="0.45">
      <c r="I265" t="s">
        <v>196</v>
      </c>
      <c r="J265" t="s">
        <v>166</v>
      </c>
      <c r="K265">
        <v>0</v>
      </c>
      <c r="L265" t="s">
        <v>164</v>
      </c>
    </row>
    <row r="266" spans="9:12" x14ac:dyDescent="0.45">
      <c r="I266" t="s">
        <v>196</v>
      </c>
      <c r="J266" t="s">
        <v>167</v>
      </c>
      <c r="K266">
        <v>6.9293135590913463E-2</v>
      </c>
      <c r="L266" t="s">
        <v>164</v>
      </c>
    </row>
    <row r="267" spans="9:12" x14ac:dyDescent="0.45">
      <c r="I267" t="s">
        <v>196</v>
      </c>
      <c r="J267" t="s">
        <v>168</v>
      </c>
      <c r="K267">
        <v>0.18958874287597338</v>
      </c>
      <c r="L267" t="s">
        <v>164</v>
      </c>
    </row>
    <row r="268" spans="9:12" x14ac:dyDescent="0.45">
      <c r="I268" t="s">
        <v>196</v>
      </c>
      <c r="J268" t="s">
        <v>169</v>
      </c>
      <c r="K268">
        <v>1.1788900191185499E-4</v>
      </c>
      <c r="L268" t="s">
        <v>164</v>
      </c>
    </row>
    <row r="269" spans="9:12" x14ac:dyDescent="0.45">
      <c r="I269" t="s">
        <v>196</v>
      </c>
      <c r="J269" t="s">
        <v>170</v>
      </c>
      <c r="K269">
        <v>0.13473635859337521</v>
      </c>
      <c r="L269" t="s">
        <v>164</v>
      </c>
    </row>
    <row r="270" spans="9:12" x14ac:dyDescent="0.45">
      <c r="I270" t="s">
        <v>196</v>
      </c>
      <c r="J270" t="s">
        <v>171</v>
      </c>
      <c r="K270">
        <v>0.35492317727383971</v>
      </c>
      <c r="L270" t="s">
        <v>164</v>
      </c>
    </row>
    <row r="271" spans="9:12" x14ac:dyDescent="0.45">
      <c r="I271" t="s">
        <v>196</v>
      </c>
      <c r="J271" t="s">
        <v>172</v>
      </c>
      <c r="K271">
        <v>5.3415434993594685E-3</v>
      </c>
      <c r="L271" t="s">
        <v>164</v>
      </c>
    </row>
    <row r="272" spans="9:12" x14ac:dyDescent="0.45">
      <c r="I272" t="s">
        <v>196</v>
      </c>
      <c r="J272" t="s">
        <v>173</v>
      </c>
      <c r="K272">
        <v>2.0769607867823805E-2</v>
      </c>
      <c r="L272" t="s">
        <v>164</v>
      </c>
    </row>
    <row r="273" spans="9:12" x14ac:dyDescent="0.45">
      <c r="I273" t="s">
        <v>196</v>
      </c>
      <c r="J273" t="s">
        <v>174</v>
      </c>
      <c r="K273">
        <v>5.8453499699959319E-2</v>
      </c>
      <c r="L273" t="s">
        <v>164</v>
      </c>
    </row>
    <row r="274" spans="9:12" x14ac:dyDescent="0.45">
      <c r="I274" t="s">
        <v>196</v>
      </c>
      <c r="J274" t="s">
        <v>175</v>
      </c>
      <c r="K274">
        <v>0</v>
      </c>
      <c r="L274" t="s">
        <v>164</v>
      </c>
    </row>
    <row r="275" spans="9:12" x14ac:dyDescent="0.45">
      <c r="I275" t="s">
        <v>197</v>
      </c>
      <c r="J275" t="s">
        <v>163</v>
      </c>
      <c r="K275">
        <v>3.934568765817701E-2</v>
      </c>
      <c r="L275" t="s">
        <v>164</v>
      </c>
    </row>
    <row r="276" spans="9:12" x14ac:dyDescent="0.45">
      <c r="I276" t="s">
        <v>197</v>
      </c>
      <c r="J276" t="s">
        <v>165</v>
      </c>
      <c r="K276">
        <v>0.13174837560297525</v>
      </c>
      <c r="L276" t="s">
        <v>164</v>
      </c>
    </row>
    <row r="277" spans="9:12" x14ac:dyDescent="0.45">
      <c r="I277" t="s">
        <v>197</v>
      </c>
      <c r="J277" t="s">
        <v>166</v>
      </c>
      <c r="K277">
        <v>0</v>
      </c>
      <c r="L277" t="s">
        <v>164</v>
      </c>
    </row>
    <row r="278" spans="9:12" x14ac:dyDescent="0.45">
      <c r="I278" t="s">
        <v>197</v>
      </c>
      <c r="J278" t="s">
        <v>167</v>
      </c>
      <c r="K278">
        <v>6.3556174037730229E-2</v>
      </c>
      <c r="L278" t="s">
        <v>164</v>
      </c>
    </row>
    <row r="279" spans="9:12" x14ac:dyDescent="0.45">
      <c r="I279" t="s">
        <v>197</v>
      </c>
      <c r="J279" t="s">
        <v>168</v>
      </c>
      <c r="K279">
        <v>0.1949626352955332</v>
      </c>
      <c r="L279" t="s">
        <v>164</v>
      </c>
    </row>
    <row r="280" spans="9:12" x14ac:dyDescent="0.45">
      <c r="I280" t="s">
        <v>197</v>
      </c>
      <c r="J280" t="s">
        <v>169</v>
      </c>
      <c r="K280">
        <v>0</v>
      </c>
      <c r="L280" t="s">
        <v>164</v>
      </c>
    </row>
    <row r="281" spans="9:12" x14ac:dyDescent="0.45">
      <c r="I281" t="s">
        <v>197</v>
      </c>
      <c r="J281" t="s">
        <v>170</v>
      </c>
      <c r="K281">
        <v>0.11619066214058554</v>
      </c>
      <c r="L281" t="s">
        <v>164</v>
      </c>
    </row>
    <row r="282" spans="9:12" x14ac:dyDescent="0.45">
      <c r="I282" t="s">
        <v>197</v>
      </c>
      <c r="J282" t="s">
        <v>171</v>
      </c>
      <c r="K282">
        <v>0.36544761597597775</v>
      </c>
      <c r="L282" t="s">
        <v>164</v>
      </c>
    </row>
    <row r="283" spans="9:12" x14ac:dyDescent="0.45">
      <c r="I283" t="s">
        <v>197</v>
      </c>
      <c r="J283" t="s">
        <v>172</v>
      </c>
      <c r="K283">
        <v>5.5138557849280147E-3</v>
      </c>
      <c r="L283" t="s">
        <v>164</v>
      </c>
    </row>
    <row r="284" spans="9:12" x14ac:dyDescent="0.45">
      <c r="I284" t="s">
        <v>197</v>
      </c>
      <c r="J284" t="s">
        <v>173</v>
      </c>
      <c r="K284">
        <v>1.7867619858184962E-2</v>
      </c>
      <c r="L284" t="s">
        <v>164</v>
      </c>
    </row>
    <row r="285" spans="9:12" x14ac:dyDescent="0.45">
      <c r="I285" t="s">
        <v>197</v>
      </c>
      <c r="J285" t="s">
        <v>174</v>
      </c>
      <c r="K285">
        <v>6.5367373645906807E-2</v>
      </c>
      <c r="L285" t="s">
        <v>164</v>
      </c>
    </row>
    <row r="286" spans="9:12" x14ac:dyDescent="0.45">
      <c r="I286" t="s">
        <v>197</v>
      </c>
      <c r="J286" t="s">
        <v>175</v>
      </c>
      <c r="K286">
        <v>0</v>
      </c>
      <c r="L286" t="s">
        <v>164</v>
      </c>
    </row>
    <row r="287" spans="9:12" x14ac:dyDescent="0.45">
      <c r="I287" t="s">
        <v>198</v>
      </c>
      <c r="J287" t="s">
        <v>163</v>
      </c>
      <c r="K287">
        <v>4.6727551427818093E-2</v>
      </c>
      <c r="L287" t="s">
        <v>164</v>
      </c>
    </row>
    <row r="288" spans="9:12" x14ac:dyDescent="0.45">
      <c r="I288" t="s">
        <v>198</v>
      </c>
      <c r="J288" t="s">
        <v>165</v>
      </c>
      <c r="K288">
        <v>0.1322950196895516</v>
      </c>
      <c r="L288" t="s">
        <v>164</v>
      </c>
    </row>
    <row r="289" spans="9:12" x14ac:dyDescent="0.45">
      <c r="I289" t="s">
        <v>198</v>
      </c>
      <c r="J289" t="s">
        <v>166</v>
      </c>
      <c r="K289">
        <v>2.524711213945843E-3</v>
      </c>
      <c r="L289" t="s">
        <v>164</v>
      </c>
    </row>
    <row r="290" spans="9:12" x14ac:dyDescent="0.45">
      <c r="I290" t="s">
        <v>198</v>
      </c>
      <c r="J290" t="s">
        <v>167</v>
      </c>
      <c r="K290">
        <v>6.1023162083621837E-2</v>
      </c>
      <c r="L290" t="s">
        <v>164</v>
      </c>
    </row>
    <row r="291" spans="9:12" x14ac:dyDescent="0.45">
      <c r="I291" t="s">
        <v>198</v>
      </c>
      <c r="J291" t="s">
        <v>168</v>
      </c>
      <c r="K291">
        <v>0.18884916389307677</v>
      </c>
      <c r="L291" t="s">
        <v>164</v>
      </c>
    </row>
    <row r="292" spans="9:12" x14ac:dyDescent="0.45">
      <c r="I292" t="s">
        <v>198</v>
      </c>
      <c r="J292" t="s">
        <v>169</v>
      </c>
      <c r="K292">
        <v>4.7001777690053124E-3</v>
      </c>
      <c r="L292" t="s">
        <v>164</v>
      </c>
    </row>
    <row r="293" spans="9:12" x14ac:dyDescent="0.45">
      <c r="I293" t="s">
        <v>198</v>
      </c>
      <c r="J293" t="s">
        <v>170</v>
      </c>
      <c r="K293">
        <v>0.12338806433735705</v>
      </c>
      <c r="L293" t="s">
        <v>164</v>
      </c>
    </row>
    <row r="294" spans="9:12" x14ac:dyDescent="0.45">
      <c r="I294" t="s">
        <v>198</v>
      </c>
      <c r="J294" t="s">
        <v>171</v>
      </c>
      <c r="K294">
        <v>0.34985034251397379</v>
      </c>
      <c r="L294" t="s">
        <v>164</v>
      </c>
    </row>
    <row r="295" spans="9:12" x14ac:dyDescent="0.45">
      <c r="I295" t="s">
        <v>198</v>
      </c>
      <c r="J295" t="s">
        <v>172</v>
      </c>
      <c r="K295">
        <v>5.8085129058018103E-3</v>
      </c>
      <c r="L295" t="s">
        <v>164</v>
      </c>
    </row>
    <row r="296" spans="9:12" x14ac:dyDescent="0.45">
      <c r="I296" t="s">
        <v>198</v>
      </c>
      <c r="J296" t="s">
        <v>173</v>
      </c>
      <c r="K296">
        <v>2.155857045923457E-2</v>
      </c>
      <c r="L296" t="s">
        <v>164</v>
      </c>
    </row>
    <row r="297" spans="9:12" x14ac:dyDescent="0.45">
      <c r="I297" t="s">
        <v>198</v>
      </c>
      <c r="J297" t="s">
        <v>174</v>
      </c>
      <c r="K297">
        <v>6.327472370661201E-2</v>
      </c>
      <c r="L297" t="s">
        <v>164</v>
      </c>
    </row>
    <row r="298" spans="9:12" x14ac:dyDescent="0.45">
      <c r="I298" t="s">
        <v>198</v>
      </c>
      <c r="J298" t="s">
        <v>175</v>
      </c>
      <c r="K298">
        <v>0</v>
      </c>
      <c r="L298" t="s">
        <v>164</v>
      </c>
    </row>
    <row r="299" spans="9:12" x14ac:dyDescent="0.45">
      <c r="I299" t="s">
        <v>199</v>
      </c>
      <c r="J299" t="s">
        <v>163</v>
      </c>
      <c r="K299">
        <v>4.588912468852404E-2</v>
      </c>
      <c r="L299" t="s">
        <v>164</v>
      </c>
    </row>
    <row r="300" spans="9:12" x14ac:dyDescent="0.45">
      <c r="I300" t="s">
        <v>199</v>
      </c>
      <c r="J300" t="s">
        <v>165</v>
      </c>
      <c r="K300">
        <v>0.13369545239176514</v>
      </c>
      <c r="L300" t="s">
        <v>164</v>
      </c>
    </row>
    <row r="301" spans="9:12" x14ac:dyDescent="0.45">
      <c r="I301" t="s">
        <v>199</v>
      </c>
      <c r="J301" t="s">
        <v>166</v>
      </c>
      <c r="K301">
        <v>3.3367004122306283E-3</v>
      </c>
      <c r="L301" t="s">
        <v>164</v>
      </c>
    </row>
    <row r="302" spans="9:12" x14ac:dyDescent="0.45">
      <c r="I302" t="s">
        <v>199</v>
      </c>
      <c r="J302" t="s">
        <v>167</v>
      </c>
      <c r="K302">
        <v>5.9207078902177475E-2</v>
      </c>
      <c r="L302" t="s">
        <v>164</v>
      </c>
    </row>
    <row r="303" spans="9:12" x14ac:dyDescent="0.45">
      <c r="I303" t="s">
        <v>199</v>
      </c>
      <c r="J303" t="s">
        <v>168</v>
      </c>
      <c r="K303">
        <v>0.18616648504700112</v>
      </c>
      <c r="L303" t="s">
        <v>164</v>
      </c>
    </row>
    <row r="304" spans="9:12" x14ac:dyDescent="0.45">
      <c r="I304" t="s">
        <v>199</v>
      </c>
      <c r="J304" t="s">
        <v>169</v>
      </c>
      <c r="K304">
        <v>8.3127727005345552E-3</v>
      </c>
      <c r="L304" t="s">
        <v>164</v>
      </c>
    </row>
    <row r="305" spans="9:12" x14ac:dyDescent="0.45">
      <c r="I305" t="s">
        <v>199</v>
      </c>
      <c r="J305" t="s">
        <v>170</v>
      </c>
      <c r="K305">
        <v>0.12324399133158263</v>
      </c>
      <c r="L305" t="s">
        <v>164</v>
      </c>
    </row>
    <row r="306" spans="9:12" x14ac:dyDescent="0.45">
      <c r="I306" t="s">
        <v>199</v>
      </c>
      <c r="J306" t="s">
        <v>171</v>
      </c>
      <c r="K306">
        <v>0.34752372388666536</v>
      </c>
      <c r="L306" t="s">
        <v>164</v>
      </c>
    </row>
    <row r="307" spans="9:12" x14ac:dyDescent="0.45">
      <c r="I307" t="s">
        <v>199</v>
      </c>
      <c r="J307" t="s">
        <v>172</v>
      </c>
      <c r="K307">
        <v>6.7757286747651448E-3</v>
      </c>
      <c r="L307" t="s">
        <v>164</v>
      </c>
    </row>
    <row r="308" spans="9:12" x14ac:dyDescent="0.45">
      <c r="I308" t="s">
        <v>199</v>
      </c>
      <c r="J308" t="s">
        <v>173</v>
      </c>
      <c r="K308">
        <v>2.2545264451190428E-2</v>
      </c>
      <c r="L308" t="s">
        <v>164</v>
      </c>
    </row>
    <row r="309" spans="9:12" x14ac:dyDescent="0.45">
      <c r="I309" t="s">
        <v>199</v>
      </c>
      <c r="J309" t="s">
        <v>174</v>
      </c>
      <c r="K309">
        <v>6.330367751356529E-2</v>
      </c>
      <c r="L309" t="s">
        <v>164</v>
      </c>
    </row>
    <row r="310" spans="9:12" x14ac:dyDescent="0.45">
      <c r="I310" t="s">
        <v>199</v>
      </c>
      <c r="J310" t="s">
        <v>175</v>
      </c>
      <c r="K310">
        <v>0</v>
      </c>
      <c r="L310" t="s">
        <v>164</v>
      </c>
    </row>
    <row r="311" spans="9:12" x14ac:dyDescent="0.45">
      <c r="I311" t="s">
        <v>200</v>
      </c>
      <c r="J311" t="s">
        <v>163</v>
      </c>
      <c r="K311">
        <v>3.734285696264962E-2</v>
      </c>
      <c r="L311" t="s">
        <v>164</v>
      </c>
    </row>
    <row r="312" spans="9:12" x14ac:dyDescent="0.45">
      <c r="I312" t="s">
        <v>200</v>
      </c>
      <c r="J312" t="s">
        <v>165</v>
      </c>
      <c r="K312">
        <v>0.13487989770679271</v>
      </c>
      <c r="L312" t="s">
        <v>164</v>
      </c>
    </row>
    <row r="313" spans="9:12" x14ac:dyDescent="0.45">
      <c r="I313" t="s">
        <v>200</v>
      </c>
      <c r="J313" t="s">
        <v>166</v>
      </c>
      <c r="K313">
        <v>1.4473455327919129E-3</v>
      </c>
      <c r="L313" t="s">
        <v>164</v>
      </c>
    </row>
    <row r="314" spans="9:12" x14ac:dyDescent="0.45">
      <c r="I314" t="s">
        <v>200</v>
      </c>
      <c r="J314" t="s">
        <v>167</v>
      </c>
      <c r="K314">
        <v>5.6684709422710262E-2</v>
      </c>
      <c r="L314" t="s">
        <v>164</v>
      </c>
    </row>
    <row r="315" spans="9:12" x14ac:dyDescent="0.45">
      <c r="I315" t="s">
        <v>200</v>
      </c>
      <c r="J315" t="s">
        <v>168</v>
      </c>
      <c r="K315">
        <v>0.18343705460205598</v>
      </c>
      <c r="L315" t="s">
        <v>164</v>
      </c>
    </row>
    <row r="316" spans="9:12" x14ac:dyDescent="0.45">
      <c r="I316" t="s">
        <v>200</v>
      </c>
      <c r="J316" t="s">
        <v>169</v>
      </c>
      <c r="K316">
        <v>4.9070179474872697E-3</v>
      </c>
      <c r="L316" t="s">
        <v>164</v>
      </c>
    </row>
    <row r="317" spans="9:12" x14ac:dyDescent="0.45">
      <c r="I317" t="s">
        <v>200</v>
      </c>
      <c r="J317" t="s">
        <v>170</v>
      </c>
      <c r="K317">
        <v>0.12686145387040565</v>
      </c>
      <c r="L317" t="s">
        <v>164</v>
      </c>
    </row>
    <row r="318" spans="9:12" x14ac:dyDescent="0.45">
      <c r="I318" t="s">
        <v>200</v>
      </c>
      <c r="J318" t="s">
        <v>171</v>
      </c>
      <c r="K318">
        <v>0.3629104636497732</v>
      </c>
      <c r="L318" t="s">
        <v>164</v>
      </c>
    </row>
    <row r="319" spans="9:12" x14ac:dyDescent="0.45">
      <c r="I319" t="s">
        <v>200</v>
      </c>
      <c r="J319" t="s">
        <v>172</v>
      </c>
      <c r="K319">
        <v>6.8221129131546109E-3</v>
      </c>
      <c r="L319" t="s">
        <v>164</v>
      </c>
    </row>
    <row r="320" spans="9:12" x14ac:dyDescent="0.45">
      <c r="I320" t="s">
        <v>200</v>
      </c>
      <c r="J320" t="s">
        <v>173</v>
      </c>
      <c r="K320">
        <v>2.0279080180153581E-2</v>
      </c>
      <c r="L320" t="s">
        <v>164</v>
      </c>
    </row>
    <row r="321" spans="9:12" x14ac:dyDescent="0.45">
      <c r="I321" t="s">
        <v>200</v>
      </c>
      <c r="J321" t="s">
        <v>174</v>
      </c>
      <c r="K321">
        <v>6.4428007212024532E-2</v>
      </c>
      <c r="L321" t="s">
        <v>164</v>
      </c>
    </row>
    <row r="322" spans="9:12" x14ac:dyDescent="0.45">
      <c r="I322" t="s">
        <v>200</v>
      </c>
      <c r="J322" t="s">
        <v>175</v>
      </c>
      <c r="K322">
        <v>0</v>
      </c>
      <c r="L322" t="s">
        <v>164</v>
      </c>
    </row>
    <row r="323" spans="9:12" x14ac:dyDescent="0.45">
      <c r="I323" t="s">
        <v>201</v>
      </c>
      <c r="J323" t="s">
        <v>163</v>
      </c>
      <c r="K323">
        <v>3.8509956041561669E-2</v>
      </c>
      <c r="L323" t="s">
        <v>164</v>
      </c>
    </row>
    <row r="324" spans="9:12" x14ac:dyDescent="0.45">
      <c r="I324" t="s">
        <v>201</v>
      </c>
      <c r="J324" t="s">
        <v>165</v>
      </c>
      <c r="K324">
        <v>0.14684961599867222</v>
      </c>
      <c r="L324" t="s">
        <v>164</v>
      </c>
    </row>
    <row r="325" spans="9:12" x14ac:dyDescent="0.45">
      <c r="I325" t="s">
        <v>201</v>
      </c>
      <c r="J325" t="s">
        <v>166</v>
      </c>
      <c r="K325">
        <v>4.2710250177669549E-3</v>
      </c>
      <c r="L325" t="s">
        <v>164</v>
      </c>
    </row>
    <row r="326" spans="9:12" x14ac:dyDescent="0.45">
      <c r="I326" t="s">
        <v>201</v>
      </c>
      <c r="J326" t="s">
        <v>167</v>
      </c>
      <c r="K326">
        <v>4.4045188560149218E-2</v>
      </c>
      <c r="L326" t="s">
        <v>164</v>
      </c>
    </row>
    <row r="327" spans="9:12" x14ac:dyDescent="0.45">
      <c r="I327" t="s">
        <v>201</v>
      </c>
      <c r="J327" t="s">
        <v>168</v>
      </c>
      <c r="K327">
        <v>0.18067454487477014</v>
      </c>
      <c r="L327" t="s">
        <v>164</v>
      </c>
    </row>
    <row r="328" spans="9:12" x14ac:dyDescent="0.45">
      <c r="I328" t="s">
        <v>201</v>
      </c>
      <c r="J328" t="s">
        <v>169</v>
      </c>
      <c r="K328">
        <v>3.5450863442463803E-3</v>
      </c>
      <c r="L328" t="s">
        <v>164</v>
      </c>
    </row>
    <row r="329" spans="9:12" x14ac:dyDescent="0.45">
      <c r="I329" t="s">
        <v>201</v>
      </c>
      <c r="J329" t="s">
        <v>170</v>
      </c>
      <c r="K329">
        <v>9.8393993994881968E-2</v>
      </c>
      <c r="L329" t="s">
        <v>164</v>
      </c>
    </row>
    <row r="330" spans="9:12" x14ac:dyDescent="0.45">
      <c r="I330" t="s">
        <v>201</v>
      </c>
      <c r="J330" t="s">
        <v>171</v>
      </c>
      <c r="K330">
        <v>0.37900775992246027</v>
      </c>
      <c r="L330" t="s">
        <v>164</v>
      </c>
    </row>
    <row r="331" spans="9:12" x14ac:dyDescent="0.45">
      <c r="I331" t="s">
        <v>201</v>
      </c>
      <c r="J331" t="s">
        <v>172</v>
      </c>
      <c r="K331">
        <v>6.4419707675778311E-3</v>
      </c>
      <c r="L331" t="s">
        <v>164</v>
      </c>
    </row>
    <row r="332" spans="9:12" x14ac:dyDescent="0.45">
      <c r="I332" t="s">
        <v>201</v>
      </c>
      <c r="J332" t="s">
        <v>173</v>
      </c>
      <c r="K332">
        <v>2.26048740186626E-2</v>
      </c>
      <c r="L332" t="s">
        <v>164</v>
      </c>
    </row>
    <row r="333" spans="9:12" x14ac:dyDescent="0.45">
      <c r="I333" t="s">
        <v>201</v>
      </c>
      <c r="J333" t="s">
        <v>174</v>
      </c>
      <c r="K333">
        <v>7.565598445925184E-2</v>
      </c>
      <c r="L333" t="s">
        <v>164</v>
      </c>
    </row>
    <row r="334" spans="9:12" x14ac:dyDescent="0.45">
      <c r="I334" t="s">
        <v>201</v>
      </c>
      <c r="J334" t="s">
        <v>175</v>
      </c>
      <c r="K334">
        <v>0</v>
      </c>
      <c r="L334" t="s">
        <v>164</v>
      </c>
    </row>
    <row r="335" spans="9:12" x14ac:dyDescent="0.45">
      <c r="I335" t="s">
        <v>202</v>
      </c>
      <c r="J335" t="s">
        <v>163</v>
      </c>
      <c r="K335">
        <v>3.2002700635729756E-2</v>
      </c>
      <c r="L335" t="s">
        <v>164</v>
      </c>
    </row>
    <row r="336" spans="9:12" x14ac:dyDescent="0.45">
      <c r="I336" t="s">
        <v>202</v>
      </c>
      <c r="J336" t="s">
        <v>165</v>
      </c>
      <c r="K336">
        <v>0.1339272918204033</v>
      </c>
      <c r="L336" t="s">
        <v>164</v>
      </c>
    </row>
    <row r="337" spans="9:12" x14ac:dyDescent="0.45">
      <c r="I337" t="s">
        <v>202</v>
      </c>
      <c r="J337" t="s">
        <v>166</v>
      </c>
      <c r="K337">
        <v>3.8784594830941974E-3</v>
      </c>
      <c r="L337" t="s">
        <v>164</v>
      </c>
    </row>
    <row r="338" spans="9:12" x14ac:dyDescent="0.45">
      <c r="I338" t="s">
        <v>202</v>
      </c>
      <c r="J338" t="s">
        <v>167</v>
      </c>
      <c r="K338">
        <v>4.7337006660903701E-2</v>
      </c>
      <c r="L338" t="s">
        <v>164</v>
      </c>
    </row>
    <row r="339" spans="9:12" x14ac:dyDescent="0.45">
      <c r="I339" t="s">
        <v>202</v>
      </c>
      <c r="J339" t="s">
        <v>168</v>
      </c>
      <c r="K339">
        <v>0.18624252490413848</v>
      </c>
      <c r="L339" t="s">
        <v>164</v>
      </c>
    </row>
    <row r="340" spans="9:12" x14ac:dyDescent="0.45">
      <c r="I340" t="s">
        <v>202</v>
      </c>
      <c r="J340" t="s">
        <v>169</v>
      </c>
      <c r="K340">
        <v>2.4589534865371767E-3</v>
      </c>
      <c r="L340" t="s">
        <v>164</v>
      </c>
    </row>
    <row r="341" spans="9:12" x14ac:dyDescent="0.45">
      <c r="I341" t="s">
        <v>202</v>
      </c>
      <c r="J341" t="s">
        <v>170</v>
      </c>
      <c r="K341">
        <v>0.10468629074451594</v>
      </c>
      <c r="L341" t="s">
        <v>164</v>
      </c>
    </row>
    <row r="342" spans="9:12" x14ac:dyDescent="0.45">
      <c r="I342" t="s">
        <v>202</v>
      </c>
      <c r="J342" t="s">
        <v>171</v>
      </c>
      <c r="K342">
        <v>0.39027063113629623</v>
      </c>
      <c r="L342" t="s">
        <v>164</v>
      </c>
    </row>
    <row r="343" spans="9:12" x14ac:dyDescent="0.45">
      <c r="I343" t="s">
        <v>202</v>
      </c>
      <c r="J343" t="s">
        <v>172</v>
      </c>
      <c r="K343">
        <v>4.0755027247672418E-3</v>
      </c>
      <c r="L343" t="s">
        <v>164</v>
      </c>
    </row>
    <row r="344" spans="9:12" x14ac:dyDescent="0.45">
      <c r="I344" t="s">
        <v>202</v>
      </c>
      <c r="J344" t="s">
        <v>173</v>
      </c>
      <c r="K344">
        <v>2.209285420831366E-2</v>
      </c>
      <c r="L344" t="s">
        <v>164</v>
      </c>
    </row>
    <row r="345" spans="9:12" x14ac:dyDescent="0.45">
      <c r="I345" t="s">
        <v>202</v>
      </c>
      <c r="J345" t="s">
        <v>174</v>
      </c>
      <c r="K345">
        <v>7.3027784195302564E-2</v>
      </c>
      <c r="L345" t="s">
        <v>164</v>
      </c>
    </row>
    <row r="346" spans="9:12" x14ac:dyDescent="0.45">
      <c r="I346" t="s">
        <v>202</v>
      </c>
      <c r="J346" t="s">
        <v>175</v>
      </c>
      <c r="K346">
        <v>0</v>
      </c>
      <c r="L346" t="s">
        <v>164</v>
      </c>
    </row>
    <row r="347" spans="9:12" x14ac:dyDescent="0.45">
      <c r="I347" t="s">
        <v>203</v>
      </c>
      <c r="J347" t="s">
        <v>163</v>
      </c>
      <c r="K347">
        <v>3.9433273233376635E-2</v>
      </c>
      <c r="L347" t="s">
        <v>164</v>
      </c>
    </row>
    <row r="348" spans="9:12" x14ac:dyDescent="0.45">
      <c r="I348" t="s">
        <v>203</v>
      </c>
      <c r="J348" t="s">
        <v>165</v>
      </c>
      <c r="K348">
        <v>0.12857773122151259</v>
      </c>
      <c r="L348" t="s">
        <v>164</v>
      </c>
    </row>
    <row r="349" spans="9:12" x14ac:dyDescent="0.45">
      <c r="I349" t="s">
        <v>203</v>
      </c>
      <c r="J349" t="s">
        <v>166</v>
      </c>
      <c r="K349">
        <v>0</v>
      </c>
      <c r="L349" t="s">
        <v>164</v>
      </c>
    </row>
    <row r="350" spans="9:12" x14ac:dyDescent="0.45">
      <c r="I350" t="s">
        <v>203</v>
      </c>
      <c r="J350" t="s">
        <v>167</v>
      </c>
      <c r="K350">
        <v>5.8047902856824631E-2</v>
      </c>
      <c r="L350" t="s">
        <v>164</v>
      </c>
    </row>
    <row r="351" spans="9:12" x14ac:dyDescent="0.45">
      <c r="I351" t="s">
        <v>203</v>
      </c>
      <c r="J351" t="s">
        <v>168</v>
      </c>
      <c r="K351">
        <v>0.17594832993631107</v>
      </c>
      <c r="L351" t="s">
        <v>164</v>
      </c>
    </row>
    <row r="352" spans="9:12" x14ac:dyDescent="0.45">
      <c r="I352" t="s">
        <v>203</v>
      </c>
      <c r="J352" t="s">
        <v>169</v>
      </c>
      <c r="K352">
        <v>0</v>
      </c>
      <c r="L352" t="s">
        <v>164</v>
      </c>
    </row>
    <row r="353" spans="9:12" x14ac:dyDescent="0.45">
      <c r="I353" t="s">
        <v>203</v>
      </c>
      <c r="J353" t="s">
        <v>170</v>
      </c>
      <c r="K353">
        <v>0.13208854166981726</v>
      </c>
      <c r="L353" t="s">
        <v>164</v>
      </c>
    </row>
    <row r="354" spans="9:12" x14ac:dyDescent="0.45">
      <c r="I354" t="s">
        <v>203</v>
      </c>
      <c r="J354" t="s">
        <v>171</v>
      </c>
      <c r="K354">
        <v>0.36996415685441553</v>
      </c>
      <c r="L354" t="s">
        <v>164</v>
      </c>
    </row>
    <row r="355" spans="9:12" x14ac:dyDescent="0.45">
      <c r="I355" t="s">
        <v>203</v>
      </c>
      <c r="J355" t="s">
        <v>172</v>
      </c>
      <c r="K355">
        <v>0</v>
      </c>
      <c r="L355" t="s">
        <v>164</v>
      </c>
    </row>
    <row r="356" spans="9:12" x14ac:dyDescent="0.45">
      <c r="I356" t="s">
        <v>203</v>
      </c>
      <c r="J356" t="s">
        <v>173</v>
      </c>
      <c r="K356">
        <v>2.6905849569655488E-2</v>
      </c>
      <c r="L356" t="s">
        <v>164</v>
      </c>
    </row>
    <row r="357" spans="9:12" x14ac:dyDescent="0.45">
      <c r="I357" t="s">
        <v>203</v>
      </c>
      <c r="J357" t="s">
        <v>174</v>
      </c>
      <c r="K357">
        <v>6.9034214658086637E-2</v>
      </c>
      <c r="L357" t="s">
        <v>164</v>
      </c>
    </row>
    <row r="358" spans="9:12" x14ac:dyDescent="0.45">
      <c r="I358" t="s">
        <v>203</v>
      </c>
      <c r="J358" t="s">
        <v>175</v>
      </c>
      <c r="K358">
        <v>0</v>
      </c>
      <c r="L358" t="s">
        <v>164</v>
      </c>
    </row>
    <row r="359" spans="9:12" x14ac:dyDescent="0.45">
      <c r="I359" t="s">
        <v>204</v>
      </c>
      <c r="J359" t="s">
        <v>163</v>
      </c>
      <c r="K359">
        <v>4.2108561885837351E-2</v>
      </c>
      <c r="L359" t="s">
        <v>164</v>
      </c>
    </row>
    <row r="360" spans="9:12" x14ac:dyDescent="0.45">
      <c r="I360" t="s">
        <v>204</v>
      </c>
      <c r="J360" t="s">
        <v>165</v>
      </c>
      <c r="K360">
        <v>0.13540278959776231</v>
      </c>
      <c r="L360" t="s">
        <v>164</v>
      </c>
    </row>
    <row r="361" spans="9:12" x14ac:dyDescent="0.45">
      <c r="I361" t="s">
        <v>204</v>
      </c>
      <c r="J361" t="s">
        <v>166</v>
      </c>
      <c r="K361">
        <v>0</v>
      </c>
      <c r="L361" t="s">
        <v>164</v>
      </c>
    </row>
    <row r="362" spans="9:12" x14ac:dyDescent="0.45">
      <c r="I362" t="s">
        <v>204</v>
      </c>
      <c r="J362" t="s">
        <v>167</v>
      </c>
      <c r="K362">
        <v>5.913485987914608E-2</v>
      </c>
      <c r="L362" t="s">
        <v>164</v>
      </c>
    </row>
    <row r="363" spans="9:12" x14ac:dyDescent="0.45">
      <c r="I363" t="s">
        <v>204</v>
      </c>
      <c r="J363" t="s">
        <v>168</v>
      </c>
      <c r="K363">
        <v>0.176810334921427</v>
      </c>
      <c r="L363" t="s">
        <v>164</v>
      </c>
    </row>
    <row r="364" spans="9:12" x14ac:dyDescent="0.45">
      <c r="I364" t="s">
        <v>204</v>
      </c>
      <c r="J364" t="s">
        <v>169</v>
      </c>
      <c r="K364">
        <v>0</v>
      </c>
      <c r="L364" t="s">
        <v>164</v>
      </c>
    </row>
    <row r="365" spans="9:12" x14ac:dyDescent="0.45">
      <c r="I365" t="s">
        <v>204</v>
      </c>
      <c r="J365" t="s">
        <v>170</v>
      </c>
      <c r="K365">
        <v>0.12983546515296626</v>
      </c>
      <c r="L365" t="s">
        <v>164</v>
      </c>
    </row>
    <row r="366" spans="9:12" x14ac:dyDescent="0.45">
      <c r="I366" t="s">
        <v>204</v>
      </c>
      <c r="J366" t="s">
        <v>171</v>
      </c>
      <c r="K366">
        <v>0.36693706889038286</v>
      </c>
      <c r="L366" t="s">
        <v>164</v>
      </c>
    </row>
    <row r="367" spans="9:12" x14ac:dyDescent="0.45">
      <c r="I367" t="s">
        <v>204</v>
      </c>
      <c r="J367" t="s">
        <v>172</v>
      </c>
      <c r="K367">
        <v>8.0379517828322764E-4</v>
      </c>
      <c r="L367" t="s">
        <v>164</v>
      </c>
    </row>
    <row r="368" spans="9:12" x14ac:dyDescent="0.45">
      <c r="I368" t="s">
        <v>204</v>
      </c>
      <c r="J368" t="s">
        <v>173</v>
      </c>
      <c r="K368">
        <v>2.2519795385421714E-2</v>
      </c>
      <c r="L368" t="s">
        <v>164</v>
      </c>
    </row>
    <row r="369" spans="9:12" x14ac:dyDescent="0.45">
      <c r="I369" t="s">
        <v>204</v>
      </c>
      <c r="J369" t="s">
        <v>174</v>
      </c>
      <c r="K369">
        <v>6.6447329108775655E-2</v>
      </c>
      <c r="L369" t="s">
        <v>164</v>
      </c>
    </row>
    <row r="370" spans="9:12" x14ac:dyDescent="0.45">
      <c r="I370" t="s">
        <v>204</v>
      </c>
      <c r="J370" t="s">
        <v>175</v>
      </c>
      <c r="K370">
        <v>0</v>
      </c>
      <c r="L370" t="s">
        <v>164</v>
      </c>
    </row>
    <row r="371" spans="9:12" x14ac:dyDescent="0.45">
      <c r="I371" t="s">
        <v>205</v>
      </c>
      <c r="J371" t="s">
        <v>163</v>
      </c>
      <c r="K371">
        <v>4.5340152746512284E-2</v>
      </c>
      <c r="L371" t="s">
        <v>164</v>
      </c>
    </row>
    <row r="372" spans="9:12" x14ac:dyDescent="0.45">
      <c r="I372" t="s">
        <v>205</v>
      </c>
      <c r="J372" t="s">
        <v>165</v>
      </c>
      <c r="K372">
        <v>0.14824512879715468</v>
      </c>
      <c r="L372" t="s">
        <v>164</v>
      </c>
    </row>
    <row r="373" spans="9:12" x14ac:dyDescent="0.45">
      <c r="I373" t="s">
        <v>205</v>
      </c>
      <c r="J373" t="s">
        <v>166</v>
      </c>
      <c r="K373">
        <v>1.8272896004186627E-3</v>
      </c>
      <c r="L373" t="s">
        <v>164</v>
      </c>
    </row>
    <row r="374" spans="9:12" x14ac:dyDescent="0.45">
      <c r="I374" t="s">
        <v>205</v>
      </c>
      <c r="J374" t="s">
        <v>167</v>
      </c>
      <c r="K374">
        <v>5.2034271352070033E-2</v>
      </c>
      <c r="L374" t="s">
        <v>164</v>
      </c>
    </row>
    <row r="375" spans="9:12" x14ac:dyDescent="0.45">
      <c r="I375" t="s">
        <v>205</v>
      </c>
      <c r="J375" t="s">
        <v>168</v>
      </c>
      <c r="K375">
        <v>0.1746933138467712</v>
      </c>
      <c r="L375" t="s">
        <v>164</v>
      </c>
    </row>
    <row r="376" spans="9:12" x14ac:dyDescent="0.45">
      <c r="I376" t="s">
        <v>205</v>
      </c>
      <c r="J376" t="s">
        <v>169</v>
      </c>
      <c r="K376">
        <v>1.1496382131542266E-3</v>
      </c>
      <c r="L376" t="s">
        <v>164</v>
      </c>
    </row>
    <row r="377" spans="9:12" x14ac:dyDescent="0.45">
      <c r="I377" t="s">
        <v>205</v>
      </c>
      <c r="J377" t="s">
        <v>170</v>
      </c>
      <c r="K377">
        <v>0.11506067239133644</v>
      </c>
      <c r="L377" t="s">
        <v>164</v>
      </c>
    </row>
    <row r="378" spans="9:12" x14ac:dyDescent="0.45">
      <c r="I378" t="s">
        <v>205</v>
      </c>
      <c r="J378" t="s">
        <v>171</v>
      </c>
      <c r="K378">
        <v>0.35997032427262088</v>
      </c>
      <c r="L378" t="s">
        <v>164</v>
      </c>
    </row>
    <row r="379" spans="9:12" x14ac:dyDescent="0.45">
      <c r="I379" t="s">
        <v>205</v>
      </c>
      <c r="J379" t="s">
        <v>172</v>
      </c>
      <c r="K379">
        <v>4.1418623401134735E-3</v>
      </c>
      <c r="L379" t="s">
        <v>164</v>
      </c>
    </row>
    <row r="380" spans="9:12" x14ac:dyDescent="0.45">
      <c r="I380" t="s">
        <v>205</v>
      </c>
      <c r="J380" t="s">
        <v>173</v>
      </c>
      <c r="K380">
        <v>2.5571749464349557E-2</v>
      </c>
      <c r="L380" t="s">
        <v>164</v>
      </c>
    </row>
    <row r="381" spans="9:12" x14ac:dyDescent="0.45">
      <c r="I381" t="s">
        <v>205</v>
      </c>
      <c r="J381" t="s">
        <v>174</v>
      </c>
      <c r="K381">
        <v>7.1965596975499313E-2</v>
      </c>
      <c r="L381" t="s">
        <v>164</v>
      </c>
    </row>
    <row r="382" spans="9:12" x14ac:dyDescent="0.45">
      <c r="I382" t="s">
        <v>205</v>
      </c>
      <c r="J382" t="s">
        <v>175</v>
      </c>
      <c r="K382">
        <v>0</v>
      </c>
      <c r="L382" t="s">
        <v>164</v>
      </c>
    </row>
    <row r="383" spans="9:12" x14ac:dyDescent="0.45">
      <c r="I383" t="s">
        <v>206</v>
      </c>
      <c r="J383" t="s">
        <v>163</v>
      </c>
      <c r="K383">
        <v>4.8775264987907289E-2</v>
      </c>
      <c r="L383" t="s">
        <v>164</v>
      </c>
    </row>
    <row r="384" spans="9:12" x14ac:dyDescent="0.45">
      <c r="I384" t="s">
        <v>206</v>
      </c>
      <c r="J384" t="s">
        <v>165</v>
      </c>
      <c r="K384">
        <v>0.14733587359487429</v>
      </c>
      <c r="L384" t="s">
        <v>164</v>
      </c>
    </row>
    <row r="385" spans="9:12" x14ac:dyDescent="0.45">
      <c r="I385" t="s">
        <v>206</v>
      </c>
      <c r="J385" t="s">
        <v>166</v>
      </c>
      <c r="K385">
        <v>1.8569594784018778E-3</v>
      </c>
      <c r="L385" t="s">
        <v>164</v>
      </c>
    </row>
    <row r="386" spans="9:12" x14ac:dyDescent="0.45">
      <c r="I386" t="s">
        <v>206</v>
      </c>
      <c r="J386" t="s">
        <v>167</v>
      </c>
      <c r="K386">
        <v>6.3251920462146838E-2</v>
      </c>
      <c r="L386" t="s">
        <v>164</v>
      </c>
    </row>
    <row r="387" spans="9:12" x14ac:dyDescent="0.45">
      <c r="I387" t="s">
        <v>206</v>
      </c>
      <c r="J387" t="s">
        <v>168</v>
      </c>
      <c r="K387">
        <v>0.18020312966737059</v>
      </c>
      <c r="L387" t="s">
        <v>164</v>
      </c>
    </row>
    <row r="388" spans="9:12" x14ac:dyDescent="0.45">
      <c r="I388" t="s">
        <v>206</v>
      </c>
      <c r="J388" t="s">
        <v>169</v>
      </c>
      <c r="K388">
        <v>1.8622055236857623E-3</v>
      </c>
      <c r="L388" t="s">
        <v>164</v>
      </c>
    </row>
    <row r="389" spans="9:12" x14ac:dyDescent="0.45">
      <c r="I389" t="s">
        <v>206</v>
      </c>
      <c r="J389" t="s">
        <v>170</v>
      </c>
      <c r="K389">
        <v>0.127753011458692</v>
      </c>
      <c r="L389" t="s">
        <v>164</v>
      </c>
    </row>
    <row r="390" spans="9:12" x14ac:dyDescent="0.45">
      <c r="I390" t="s">
        <v>206</v>
      </c>
      <c r="J390" t="s">
        <v>171</v>
      </c>
      <c r="K390">
        <v>0.33191038948763912</v>
      </c>
      <c r="L390" t="s">
        <v>164</v>
      </c>
    </row>
    <row r="391" spans="9:12" x14ac:dyDescent="0.45">
      <c r="I391" t="s">
        <v>206</v>
      </c>
      <c r="J391" t="s">
        <v>172</v>
      </c>
      <c r="K391">
        <v>4.7540518523365438E-3</v>
      </c>
      <c r="L391" t="s">
        <v>164</v>
      </c>
    </row>
    <row r="392" spans="9:12" x14ac:dyDescent="0.45">
      <c r="I392" t="s">
        <v>206</v>
      </c>
      <c r="J392" t="s">
        <v>173</v>
      </c>
      <c r="K392">
        <v>2.3776823835187463E-2</v>
      </c>
      <c r="L392" t="s">
        <v>164</v>
      </c>
    </row>
    <row r="393" spans="9:12" x14ac:dyDescent="0.45">
      <c r="I393" t="s">
        <v>206</v>
      </c>
      <c r="J393" t="s">
        <v>174</v>
      </c>
      <c r="K393">
        <v>6.8520369651758645E-2</v>
      </c>
      <c r="L393" t="s">
        <v>164</v>
      </c>
    </row>
    <row r="394" spans="9:12" x14ac:dyDescent="0.45">
      <c r="I394" t="s">
        <v>206</v>
      </c>
      <c r="J394" t="s">
        <v>175</v>
      </c>
      <c r="K394">
        <v>0</v>
      </c>
      <c r="L394" t="s">
        <v>164</v>
      </c>
    </row>
    <row r="395" spans="9:12" x14ac:dyDescent="0.45">
      <c r="I395" t="s">
        <v>207</v>
      </c>
      <c r="J395" t="s">
        <v>163</v>
      </c>
      <c r="K395">
        <v>4.8504973311503066E-2</v>
      </c>
      <c r="L395" t="s">
        <v>164</v>
      </c>
    </row>
    <row r="396" spans="9:12" x14ac:dyDescent="0.45">
      <c r="I396" t="s">
        <v>207</v>
      </c>
      <c r="J396" t="s">
        <v>165</v>
      </c>
      <c r="K396">
        <v>0.15223354921902738</v>
      </c>
      <c r="L396" t="s">
        <v>164</v>
      </c>
    </row>
    <row r="397" spans="9:12" x14ac:dyDescent="0.45">
      <c r="I397" t="s">
        <v>207</v>
      </c>
      <c r="J397" t="s">
        <v>166</v>
      </c>
      <c r="K397">
        <v>4.3933624736230978E-3</v>
      </c>
      <c r="L397" t="s">
        <v>164</v>
      </c>
    </row>
    <row r="398" spans="9:12" x14ac:dyDescent="0.45">
      <c r="I398" t="s">
        <v>207</v>
      </c>
      <c r="J398" t="s">
        <v>167</v>
      </c>
      <c r="K398">
        <v>5.247001484633404E-2</v>
      </c>
      <c r="L398" t="s">
        <v>164</v>
      </c>
    </row>
    <row r="399" spans="9:12" x14ac:dyDescent="0.45">
      <c r="I399" t="s">
        <v>207</v>
      </c>
      <c r="J399" t="s">
        <v>168</v>
      </c>
      <c r="K399">
        <v>0.17667622725340412</v>
      </c>
      <c r="L399" t="s">
        <v>164</v>
      </c>
    </row>
    <row r="400" spans="9:12" x14ac:dyDescent="0.45">
      <c r="I400" t="s">
        <v>207</v>
      </c>
      <c r="J400" t="s">
        <v>169</v>
      </c>
      <c r="K400">
        <v>5.046809734672586E-3</v>
      </c>
      <c r="L400" t="s">
        <v>164</v>
      </c>
    </row>
    <row r="401" spans="9:12" x14ac:dyDescent="0.45">
      <c r="I401" t="s">
        <v>207</v>
      </c>
      <c r="J401" t="s">
        <v>170</v>
      </c>
      <c r="K401">
        <v>0.11735919590943596</v>
      </c>
      <c r="L401" t="s">
        <v>164</v>
      </c>
    </row>
    <row r="402" spans="9:12" x14ac:dyDescent="0.45">
      <c r="I402" t="s">
        <v>207</v>
      </c>
      <c r="J402" t="s">
        <v>171</v>
      </c>
      <c r="K402">
        <v>0.34077338096944465</v>
      </c>
      <c r="L402" t="s">
        <v>164</v>
      </c>
    </row>
    <row r="403" spans="9:12" x14ac:dyDescent="0.45">
      <c r="I403" t="s">
        <v>207</v>
      </c>
      <c r="J403" t="s">
        <v>172</v>
      </c>
      <c r="K403">
        <v>4.6836291952519612E-3</v>
      </c>
      <c r="L403" t="s">
        <v>164</v>
      </c>
    </row>
    <row r="404" spans="9:12" x14ac:dyDescent="0.45">
      <c r="I404" t="s">
        <v>207</v>
      </c>
      <c r="J404" t="s">
        <v>173</v>
      </c>
      <c r="K404">
        <v>2.5596762179976723E-2</v>
      </c>
      <c r="L404" t="s">
        <v>164</v>
      </c>
    </row>
    <row r="405" spans="9:12" x14ac:dyDescent="0.45">
      <c r="I405" t="s">
        <v>207</v>
      </c>
      <c r="J405" t="s">
        <v>174</v>
      </c>
      <c r="K405">
        <v>7.2262094907328933E-2</v>
      </c>
      <c r="L405" t="s">
        <v>164</v>
      </c>
    </row>
    <row r="406" spans="9:12" x14ac:dyDescent="0.45">
      <c r="I406" t="s">
        <v>207</v>
      </c>
      <c r="J406" t="s">
        <v>175</v>
      </c>
      <c r="K406">
        <v>0</v>
      </c>
      <c r="L406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E184-44FA-40ED-8151-B82382759C9F}">
  <dimension ref="A9:AN159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161</v>
      </c>
      <c r="L10" t="s">
        <v>30</v>
      </c>
      <c r="N10" t="s">
        <v>13</v>
      </c>
      <c r="O10" t="s">
        <v>121</v>
      </c>
      <c r="P10" t="s">
        <v>161</v>
      </c>
      <c r="Q10" t="s">
        <v>30</v>
      </c>
      <c r="S10" t="s">
        <v>13</v>
      </c>
      <c r="T10" t="s">
        <v>121</v>
      </c>
      <c r="U10" t="s">
        <v>161</v>
      </c>
      <c r="V10" t="s">
        <v>30</v>
      </c>
      <c r="X10" t="s">
        <v>244</v>
      </c>
      <c r="Y10" t="s">
        <v>161</v>
      </c>
      <c r="Z10" t="s">
        <v>121</v>
      </c>
      <c r="AA10" t="s">
        <v>13</v>
      </c>
      <c r="AC10" t="s">
        <v>13</v>
      </c>
      <c r="AD10" t="s">
        <v>121</v>
      </c>
      <c r="AE10" t="s">
        <v>161</v>
      </c>
      <c r="AG10" t="s">
        <v>13</v>
      </c>
      <c r="AH10" t="s">
        <v>121</v>
      </c>
      <c r="AI10" t="s">
        <v>250</v>
      </c>
      <c r="AK10" t="s">
        <v>47</v>
      </c>
      <c r="AL10" t="s">
        <v>121</v>
      </c>
      <c r="AM10" t="s">
        <v>251</v>
      </c>
      <c r="AN10" t="s">
        <v>252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254</v>
      </c>
      <c r="G11" t="s">
        <v>153</v>
      </c>
      <c r="I11" t="s">
        <v>162</v>
      </c>
      <c r="J11" t="s">
        <v>163</v>
      </c>
      <c r="K11">
        <v>6.4009277616745835E-3</v>
      </c>
      <c r="L11" t="s">
        <v>164</v>
      </c>
      <c r="N11" t="s">
        <v>208</v>
      </c>
      <c r="O11" t="s">
        <v>163</v>
      </c>
      <c r="P11">
        <v>0.1344149948132827</v>
      </c>
      <c r="Q11" t="s">
        <v>164</v>
      </c>
      <c r="S11" t="s">
        <v>228</v>
      </c>
      <c r="T11" t="s">
        <v>163</v>
      </c>
      <c r="U11">
        <v>3.501185097580866E-2</v>
      </c>
      <c r="V11" t="s">
        <v>164</v>
      </c>
      <c r="X11">
        <v>3.1849315068493152E-2</v>
      </c>
      <c r="Y11">
        <v>2.021297930702998E-2</v>
      </c>
      <c r="Z11" t="s">
        <v>163</v>
      </c>
      <c r="AA11" t="s">
        <v>25</v>
      </c>
      <c r="AC11" t="s">
        <v>22</v>
      </c>
      <c r="AD11" t="s">
        <v>163</v>
      </c>
      <c r="AE11">
        <v>2.7755784255504998E-2</v>
      </c>
      <c r="AG11" t="s">
        <v>96</v>
      </c>
      <c r="AH11" t="s">
        <v>163</v>
      </c>
      <c r="AI11">
        <v>0.18918868614126749</v>
      </c>
      <c r="AK11">
        <v>2025</v>
      </c>
      <c r="AL11" t="s">
        <v>152</v>
      </c>
      <c r="AM11">
        <v>0.38840000000000002</v>
      </c>
      <c r="AN11" t="s">
        <v>253</v>
      </c>
    </row>
    <row r="12" spans="1:40" x14ac:dyDescent="0.45">
      <c r="C12" t="s">
        <v>156</v>
      </c>
      <c r="E12" t="s">
        <v>157</v>
      </c>
      <c r="G12" t="s">
        <v>153</v>
      </c>
      <c r="I12" t="s">
        <v>162</v>
      </c>
      <c r="J12" t="s">
        <v>165</v>
      </c>
      <c r="K12">
        <v>8.843482551780163E-3</v>
      </c>
      <c r="L12" t="s">
        <v>164</v>
      </c>
      <c r="N12" t="s">
        <v>208</v>
      </c>
      <c r="O12" t="s">
        <v>165</v>
      </c>
      <c r="P12">
        <v>2.0191865580869345E-2</v>
      </c>
      <c r="Q12" t="s">
        <v>164</v>
      </c>
      <c r="S12" t="s">
        <v>228</v>
      </c>
      <c r="T12" t="s">
        <v>165</v>
      </c>
      <c r="U12">
        <v>3.7824027035714518E-3</v>
      </c>
      <c r="V12" t="s">
        <v>164</v>
      </c>
      <c r="X12">
        <v>3.5388127853881279E-3</v>
      </c>
      <c r="Y12">
        <v>4.4803553522445696E-3</v>
      </c>
      <c r="Z12" t="s">
        <v>165</v>
      </c>
      <c r="AA12" t="s">
        <v>25</v>
      </c>
      <c r="AC12" t="s">
        <v>22</v>
      </c>
      <c r="AD12" t="s">
        <v>165</v>
      </c>
      <c r="AE12">
        <v>2.5720115631957569E-3</v>
      </c>
      <c r="AG12" t="s">
        <v>96</v>
      </c>
      <c r="AH12" t="s">
        <v>165</v>
      </c>
      <c r="AI12">
        <v>1.0601384076327935E-2</v>
      </c>
      <c r="AK12">
        <v>2025</v>
      </c>
      <c r="AL12" t="s">
        <v>156</v>
      </c>
      <c r="AM12">
        <v>0.36480000000000001</v>
      </c>
      <c r="AN12" t="s">
        <v>253</v>
      </c>
    </row>
    <row r="13" spans="1:40" x14ac:dyDescent="0.45">
      <c r="C13" t="s">
        <v>158</v>
      </c>
      <c r="E13" t="s">
        <v>159</v>
      </c>
      <c r="G13" t="s">
        <v>153</v>
      </c>
      <c r="I13" t="s">
        <v>162</v>
      </c>
      <c r="J13" t="s">
        <v>166</v>
      </c>
      <c r="K13">
        <v>1.015419861004177E-2</v>
      </c>
      <c r="L13" t="s">
        <v>164</v>
      </c>
      <c r="N13" t="s">
        <v>208</v>
      </c>
      <c r="O13" t="s">
        <v>166</v>
      </c>
      <c r="P13">
        <v>1.8132496463391806E-2</v>
      </c>
      <c r="Q13" t="s">
        <v>164</v>
      </c>
      <c r="S13" t="s">
        <v>228</v>
      </c>
      <c r="T13" t="s">
        <v>166</v>
      </c>
      <c r="U13">
        <v>3.9151412442731516E-3</v>
      </c>
      <c r="V13" t="s">
        <v>164</v>
      </c>
      <c r="X13">
        <v>3.5388127853881279E-3</v>
      </c>
      <c r="Y13">
        <v>4.3673188639998693E-3</v>
      </c>
      <c r="Z13" t="s">
        <v>166</v>
      </c>
      <c r="AA13" t="s">
        <v>25</v>
      </c>
      <c r="AC13" t="s">
        <v>22</v>
      </c>
      <c r="AD13" t="s">
        <v>166</v>
      </c>
      <c r="AE13">
        <v>2.7593876859569582E-3</v>
      </c>
      <c r="AG13" t="s">
        <v>96</v>
      </c>
      <c r="AH13" t="s">
        <v>166</v>
      </c>
      <c r="AI13">
        <v>1.2819050235497009E-2</v>
      </c>
      <c r="AK13">
        <v>2025</v>
      </c>
      <c r="AL13" t="s">
        <v>158</v>
      </c>
      <c r="AM13">
        <v>0.37069999999999997</v>
      </c>
      <c r="AN13" t="s">
        <v>253</v>
      </c>
    </row>
    <row r="14" spans="1:40" x14ac:dyDescent="0.45">
      <c r="C14" t="s">
        <v>160</v>
      </c>
      <c r="E14" t="s">
        <v>255</v>
      </c>
      <c r="G14" t="s">
        <v>153</v>
      </c>
      <c r="I14" t="s">
        <v>162</v>
      </c>
      <c r="J14" t="s">
        <v>262</v>
      </c>
      <c r="K14">
        <v>6.1122281803187108E-2</v>
      </c>
      <c r="L14" t="s">
        <v>164</v>
      </c>
      <c r="N14" t="s">
        <v>208</v>
      </c>
      <c r="O14" t="s">
        <v>262</v>
      </c>
      <c r="P14">
        <v>6.1042844996937858E-2</v>
      </c>
      <c r="Q14" t="s">
        <v>164</v>
      </c>
      <c r="S14" t="s">
        <v>228</v>
      </c>
      <c r="T14" t="s">
        <v>262</v>
      </c>
      <c r="U14">
        <v>2.5055354694763662E-2</v>
      </c>
      <c r="V14" t="s">
        <v>164</v>
      </c>
      <c r="X14">
        <v>2.1232876712328767E-2</v>
      </c>
      <c r="Y14">
        <v>3.0283502805194377E-2</v>
      </c>
      <c r="Z14" t="s">
        <v>262</v>
      </c>
      <c r="AA14" t="s">
        <v>25</v>
      </c>
      <c r="AC14" t="s">
        <v>22</v>
      </c>
      <c r="AD14" t="s">
        <v>262</v>
      </c>
      <c r="AE14">
        <v>1.9255604020512667E-2</v>
      </c>
      <c r="AG14" t="s">
        <v>96</v>
      </c>
      <c r="AH14" t="s">
        <v>262</v>
      </c>
      <c r="AI14">
        <v>0.13095419543634135</v>
      </c>
      <c r="AK14">
        <v>2025</v>
      </c>
      <c r="AL14" t="s">
        <v>160</v>
      </c>
      <c r="AM14">
        <v>0.28049999999999997</v>
      </c>
      <c r="AN14" t="s">
        <v>253</v>
      </c>
    </row>
    <row r="15" spans="1:40" x14ac:dyDescent="0.45">
      <c r="C15" t="s">
        <v>256</v>
      </c>
      <c r="E15" t="s">
        <v>257</v>
      </c>
      <c r="G15" t="s">
        <v>153</v>
      </c>
      <c r="I15" t="s">
        <v>162</v>
      </c>
      <c r="J15" t="s">
        <v>263</v>
      </c>
      <c r="K15">
        <v>7.734462586470192E-3</v>
      </c>
      <c r="L15" t="s">
        <v>164</v>
      </c>
      <c r="N15" t="s">
        <v>208</v>
      </c>
      <c r="O15" t="s">
        <v>263</v>
      </c>
      <c r="P15">
        <v>6.7109422328331305E-3</v>
      </c>
      <c r="Q15" t="s">
        <v>164</v>
      </c>
      <c r="S15" t="s">
        <v>228</v>
      </c>
      <c r="T15" t="s">
        <v>263</v>
      </c>
      <c r="U15">
        <v>4.1482647143003641E-3</v>
      </c>
      <c r="V15" t="s">
        <v>164</v>
      </c>
      <c r="X15">
        <v>3.5388127853881279E-3</v>
      </c>
      <c r="Y15">
        <v>6.8849497385409693E-3</v>
      </c>
      <c r="Z15" t="s">
        <v>263</v>
      </c>
      <c r="AA15" t="s">
        <v>25</v>
      </c>
      <c r="AC15" t="s">
        <v>22</v>
      </c>
      <c r="AD15" t="s">
        <v>263</v>
      </c>
      <c r="AE15">
        <v>3.2398398349920304E-3</v>
      </c>
      <c r="AG15" t="s">
        <v>96</v>
      </c>
      <c r="AH15" t="s">
        <v>263</v>
      </c>
      <c r="AI15">
        <v>3.8138926677001361E-2</v>
      </c>
      <c r="AK15">
        <v>2025</v>
      </c>
      <c r="AL15" t="s">
        <v>256</v>
      </c>
      <c r="AM15">
        <v>0.28100000000000003</v>
      </c>
      <c r="AN15" t="s">
        <v>253</v>
      </c>
    </row>
    <row r="16" spans="1:40" x14ac:dyDescent="0.45">
      <c r="C16" t="s">
        <v>258</v>
      </c>
      <c r="E16" t="s">
        <v>259</v>
      </c>
      <c r="G16" t="s">
        <v>153</v>
      </c>
      <c r="I16" t="s">
        <v>162</v>
      </c>
      <c r="J16" t="s">
        <v>264</v>
      </c>
      <c r="K16">
        <v>5.3759465992854498E-3</v>
      </c>
      <c r="L16" t="s">
        <v>164</v>
      </c>
      <c r="N16" t="s">
        <v>208</v>
      </c>
      <c r="O16" t="s">
        <v>264</v>
      </c>
      <c r="P16">
        <v>5.9472606573576683E-2</v>
      </c>
      <c r="Q16" t="s">
        <v>164</v>
      </c>
      <c r="S16" t="s">
        <v>228</v>
      </c>
      <c r="T16" t="s">
        <v>264</v>
      </c>
      <c r="U16">
        <v>2.6386359475268066E-2</v>
      </c>
      <c r="V16" t="s">
        <v>164</v>
      </c>
      <c r="X16">
        <v>2.1232876712328767E-2</v>
      </c>
      <c r="Y16">
        <v>1.8702400782305319E-2</v>
      </c>
      <c r="Z16" t="s">
        <v>264</v>
      </c>
      <c r="AA16" t="s">
        <v>25</v>
      </c>
      <c r="AC16" t="s">
        <v>22</v>
      </c>
      <c r="AD16" t="s">
        <v>264</v>
      </c>
      <c r="AE16">
        <v>1.9982280089038438E-2</v>
      </c>
      <c r="AG16" t="s">
        <v>96</v>
      </c>
      <c r="AH16" t="s">
        <v>264</v>
      </c>
      <c r="AI16">
        <v>0.12964815928384987</v>
      </c>
      <c r="AK16">
        <v>2025</v>
      </c>
      <c r="AL16" t="s">
        <v>258</v>
      </c>
      <c r="AM16">
        <v>0.30984999999999996</v>
      </c>
      <c r="AN16" t="s">
        <v>253</v>
      </c>
    </row>
    <row r="17" spans="3:40" x14ac:dyDescent="0.45">
      <c r="C17" t="s">
        <v>260</v>
      </c>
      <c r="I17" t="s">
        <v>162</v>
      </c>
      <c r="J17" t="s">
        <v>167</v>
      </c>
      <c r="K17">
        <v>3.4976088178451195E-3</v>
      </c>
      <c r="L17" t="s">
        <v>164</v>
      </c>
      <c r="N17" t="s">
        <v>208</v>
      </c>
      <c r="O17" t="s">
        <v>167</v>
      </c>
      <c r="P17">
        <v>6.5854716232044308E-2</v>
      </c>
      <c r="Q17" t="s">
        <v>164</v>
      </c>
      <c r="S17" t="s">
        <v>228</v>
      </c>
      <c r="T17" t="s">
        <v>167</v>
      </c>
      <c r="U17">
        <v>3.0611564663126083E-2</v>
      </c>
      <c r="V17" t="s">
        <v>164</v>
      </c>
      <c r="X17">
        <v>2.8767123287671233E-2</v>
      </c>
      <c r="Y17">
        <v>1.825688453538192E-2</v>
      </c>
      <c r="Z17" t="s">
        <v>167</v>
      </c>
      <c r="AA17" t="s">
        <v>25</v>
      </c>
      <c r="AC17" t="s">
        <v>22</v>
      </c>
      <c r="AD17" t="s">
        <v>167</v>
      </c>
      <c r="AE17">
        <v>2.4787710148691501E-2</v>
      </c>
      <c r="AG17" t="s">
        <v>96</v>
      </c>
      <c r="AH17" t="s">
        <v>167</v>
      </c>
      <c r="AI17">
        <v>0.19484596409439048</v>
      </c>
      <c r="AK17">
        <v>2025</v>
      </c>
      <c r="AL17" t="s">
        <v>260</v>
      </c>
      <c r="AM17">
        <v>0.36595</v>
      </c>
      <c r="AN17" t="s">
        <v>253</v>
      </c>
    </row>
    <row r="18" spans="3:40" x14ac:dyDescent="0.45">
      <c r="C18" t="s">
        <v>261</v>
      </c>
      <c r="I18" t="s">
        <v>162</v>
      </c>
      <c r="J18" t="s">
        <v>168</v>
      </c>
      <c r="K18">
        <v>5.6151964491090054E-3</v>
      </c>
      <c r="L18" t="s">
        <v>164</v>
      </c>
      <c r="N18" t="s">
        <v>208</v>
      </c>
      <c r="O18" t="s">
        <v>168</v>
      </c>
      <c r="P18">
        <v>1.2703267968702334E-2</v>
      </c>
      <c r="Q18" t="s">
        <v>164</v>
      </c>
      <c r="S18" t="s">
        <v>228</v>
      </c>
      <c r="T18" t="s">
        <v>168</v>
      </c>
      <c r="U18">
        <v>3.3418555312294007E-3</v>
      </c>
      <c r="V18" t="s">
        <v>164</v>
      </c>
      <c r="X18">
        <v>3.1963470319634705E-3</v>
      </c>
      <c r="Y18">
        <v>4.0467725762209023E-3</v>
      </c>
      <c r="Z18" t="s">
        <v>168</v>
      </c>
      <c r="AA18" t="s">
        <v>25</v>
      </c>
      <c r="AC18" t="s">
        <v>22</v>
      </c>
      <c r="AD18" t="s">
        <v>168</v>
      </c>
      <c r="AE18">
        <v>2.3050336247100226E-3</v>
      </c>
      <c r="AG18" t="s">
        <v>96</v>
      </c>
      <c r="AH18" t="s">
        <v>168</v>
      </c>
      <c r="AI18">
        <v>8.7320577389446985E-3</v>
      </c>
      <c r="AK18">
        <v>2025</v>
      </c>
      <c r="AL18" t="s">
        <v>261</v>
      </c>
      <c r="AM18">
        <v>0.3453</v>
      </c>
      <c r="AN18" t="s">
        <v>253</v>
      </c>
    </row>
    <row r="19" spans="3:40" x14ac:dyDescent="0.45">
      <c r="I19" t="s">
        <v>162</v>
      </c>
      <c r="J19" t="s">
        <v>169</v>
      </c>
      <c r="K19">
        <v>7.0671436561423025E-3</v>
      </c>
      <c r="L19" t="s">
        <v>164</v>
      </c>
      <c r="N19" t="s">
        <v>208</v>
      </c>
      <c r="O19" t="s">
        <v>169</v>
      </c>
      <c r="P19">
        <v>1.165564146740196E-2</v>
      </c>
      <c r="Q19" t="s">
        <v>164</v>
      </c>
      <c r="S19" t="s">
        <v>228</v>
      </c>
      <c r="T19" t="s">
        <v>169</v>
      </c>
      <c r="U19">
        <v>3.4144850613660304E-3</v>
      </c>
      <c r="V19" t="s">
        <v>164</v>
      </c>
      <c r="X19">
        <v>3.1963470319634705E-3</v>
      </c>
      <c r="Y19">
        <v>3.9446751029676239E-3</v>
      </c>
      <c r="Z19" t="s">
        <v>169</v>
      </c>
      <c r="AA19" t="s">
        <v>25</v>
      </c>
      <c r="AC19" t="s">
        <v>22</v>
      </c>
      <c r="AD19" t="s">
        <v>169</v>
      </c>
      <c r="AE19">
        <v>2.4812755074312791E-3</v>
      </c>
      <c r="AG19" t="s">
        <v>96</v>
      </c>
      <c r="AH19" t="s">
        <v>169</v>
      </c>
      <c r="AI19">
        <v>1.4111142687369238E-2</v>
      </c>
      <c r="AK19">
        <v>2026</v>
      </c>
      <c r="AL19" t="s">
        <v>152</v>
      </c>
      <c r="AM19">
        <v>0.40629999999999999</v>
      </c>
      <c r="AN19" t="s">
        <v>253</v>
      </c>
    </row>
    <row r="20" spans="3:40" x14ac:dyDescent="0.45">
      <c r="I20" t="s">
        <v>162</v>
      </c>
      <c r="J20" t="s">
        <v>265</v>
      </c>
      <c r="K20">
        <v>4.680998720307681E-2</v>
      </c>
      <c r="L20" t="s">
        <v>164</v>
      </c>
      <c r="N20" t="s">
        <v>208</v>
      </c>
      <c r="O20" t="s">
        <v>265</v>
      </c>
      <c r="P20">
        <v>4.2495717807083278E-2</v>
      </c>
      <c r="Q20" t="s">
        <v>164</v>
      </c>
      <c r="S20" t="s">
        <v>228</v>
      </c>
      <c r="T20" t="s">
        <v>265</v>
      </c>
      <c r="U20">
        <v>2.1886091826676172E-2</v>
      </c>
      <c r="V20" t="s">
        <v>164</v>
      </c>
      <c r="X20">
        <v>1.9178082191780823E-2</v>
      </c>
      <c r="Y20">
        <v>2.7352841243401378E-2</v>
      </c>
      <c r="Z20" t="s">
        <v>265</v>
      </c>
      <c r="AA20" t="s">
        <v>25</v>
      </c>
      <c r="AC20" t="s">
        <v>22</v>
      </c>
      <c r="AD20" t="s">
        <v>265</v>
      </c>
      <c r="AE20">
        <v>1.7089163657205308E-2</v>
      </c>
      <c r="AG20" t="s">
        <v>96</v>
      </c>
      <c r="AH20" t="s">
        <v>265</v>
      </c>
      <c r="AI20">
        <v>0.1378992246129298</v>
      </c>
      <c r="AK20">
        <v>2026</v>
      </c>
      <c r="AL20" t="s">
        <v>156</v>
      </c>
      <c r="AM20">
        <v>0.4032</v>
      </c>
      <c r="AN20" t="s">
        <v>253</v>
      </c>
    </row>
    <row r="21" spans="3:40" x14ac:dyDescent="0.45">
      <c r="I21" t="s">
        <v>162</v>
      </c>
      <c r="J21" t="s">
        <v>266</v>
      </c>
      <c r="K21">
        <v>5.5447684660050742E-3</v>
      </c>
      <c r="L21" t="s">
        <v>164</v>
      </c>
      <c r="N21" t="s">
        <v>208</v>
      </c>
      <c r="O21" t="s">
        <v>266</v>
      </c>
      <c r="P21">
        <v>4.55205741252289E-3</v>
      </c>
      <c r="Q21" t="s">
        <v>164</v>
      </c>
      <c r="S21" t="s">
        <v>228</v>
      </c>
      <c r="T21" t="s">
        <v>266</v>
      </c>
      <c r="U21">
        <v>3.7373116161626466E-3</v>
      </c>
      <c r="V21" t="s">
        <v>164</v>
      </c>
      <c r="X21">
        <v>3.1963470319634705E-3</v>
      </c>
      <c r="Y21">
        <v>6.2186642799724884E-3</v>
      </c>
      <c r="Z21" t="s">
        <v>266</v>
      </c>
      <c r="AA21" t="s">
        <v>25</v>
      </c>
      <c r="AC21" t="s">
        <v>22</v>
      </c>
      <c r="AD21" t="s">
        <v>266</v>
      </c>
      <c r="AE21">
        <v>2.8520004746413617E-3</v>
      </c>
      <c r="AG21" t="s">
        <v>96</v>
      </c>
      <c r="AH21" t="s">
        <v>266</v>
      </c>
      <c r="AI21">
        <v>4.5072574484339212E-2</v>
      </c>
      <c r="AK21">
        <v>2026</v>
      </c>
      <c r="AL21" t="s">
        <v>158</v>
      </c>
      <c r="AM21">
        <v>0.36830000000000002</v>
      </c>
      <c r="AN21" t="s">
        <v>253</v>
      </c>
    </row>
    <row r="22" spans="3:40" x14ac:dyDescent="0.45">
      <c r="I22" t="s">
        <v>162</v>
      </c>
      <c r="J22" t="s">
        <v>267</v>
      </c>
      <c r="K22">
        <v>3.7730733207932857E-3</v>
      </c>
      <c r="L22" t="s">
        <v>164</v>
      </c>
      <c r="N22" t="s">
        <v>208</v>
      </c>
      <c r="O22" t="s">
        <v>267</v>
      </c>
      <c r="P22">
        <v>3.0213323626942908E-2</v>
      </c>
      <c r="Q22" t="s">
        <v>164</v>
      </c>
      <c r="S22" t="s">
        <v>228</v>
      </c>
      <c r="T22" t="s">
        <v>267</v>
      </c>
      <c r="U22">
        <v>2.3330927390288383E-2</v>
      </c>
      <c r="V22" t="s">
        <v>164</v>
      </c>
      <c r="X22">
        <v>1.9178082191780823E-2</v>
      </c>
      <c r="Y22">
        <v>1.6892491029178995E-2</v>
      </c>
      <c r="Z22" t="s">
        <v>267</v>
      </c>
      <c r="AA22" t="s">
        <v>25</v>
      </c>
      <c r="AC22" t="s">
        <v>22</v>
      </c>
      <c r="AD22" t="s">
        <v>267</v>
      </c>
      <c r="AE22">
        <v>1.758858924042837E-2</v>
      </c>
      <c r="AG22" t="s">
        <v>96</v>
      </c>
      <c r="AH22" t="s">
        <v>267</v>
      </c>
      <c r="AI22">
        <v>0.14037090104447802</v>
      </c>
      <c r="AK22">
        <v>2026</v>
      </c>
      <c r="AL22" t="s">
        <v>160</v>
      </c>
      <c r="AM22">
        <v>0.307</v>
      </c>
      <c r="AN22" t="s">
        <v>253</v>
      </c>
    </row>
    <row r="23" spans="3:40" x14ac:dyDescent="0.45">
      <c r="I23" t="s">
        <v>162</v>
      </c>
      <c r="J23" t="s">
        <v>170</v>
      </c>
      <c r="K23">
        <v>1.0640968372123591E-2</v>
      </c>
      <c r="L23" t="s">
        <v>164</v>
      </c>
      <c r="N23" t="s">
        <v>208</v>
      </c>
      <c r="O23" t="s">
        <v>170</v>
      </c>
      <c r="P23">
        <v>1.6720685158725383E-2</v>
      </c>
      <c r="Q23" t="s">
        <v>164</v>
      </c>
      <c r="S23" t="s">
        <v>228</v>
      </c>
      <c r="T23" t="s">
        <v>170</v>
      </c>
      <c r="U23">
        <v>3.4997040870539557E-2</v>
      </c>
      <c r="V23" t="s">
        <v>164</v>
      </c>
      <c r="X23">
        <v>3.1849315068493152E-2</v>
      </c>
      <c r="Y23">
        <v>2.021297930702998E-2</v>
      </c>
      <c r="Z23" t="s">
        <v>170</v>
      </c>
      <c r="AA23" t="s">
        <v>25</v>
      </c>
      <c r="AC23" t="s">
        <v>22</v>
      </c>
      <c r="AD23" t="s">
        <v>170</v>
      </c>
      <c r="AE23">
        <v>2.7867239395257003E-2</v>
      </c>
      <c r="AG23" t="s">
        <v>96</v>
      </c>
      <c r="AH23" t="s">
        <v>170</v>
      </c>
      <c r="AI23">
        <v>0.204179446604281</v>
      </c>
      <c r="AK23">
        <v>2026</v>
      </c>
      <c r="AL23" t="s">
        <v>256</v>
      </c>
      <c r="AM23">
        <v>0.26900000000000002</v>
      </c>
      <c r="AN23" t="s">
        <v>253</v>
      </c>
    </row>
    <row r="24" spans="3:40" x14ac:dyDescent="0.45">
      <c r="I24" t="s">
        <v>162</v>
      </c>
      <c r="J24" t="s">
        <v>171</v>
      </c>
      <c r="K24">
        <v>9.2222928642522305E-3</v>
      </c>
      <c r="L24" t="s">
        <v>164</v>
      </c>
      <c r="N24" t="s">
        <v>208</v>
      </c>
      <c r="O24" t="s">
        <v>171</v>
      </c>
      <c r="P24">
        <v>2.284940614238536E-3</v>
      </c>
      <c r="Q24" t="s">
        <v>164</v>
      </c>
      <c r="S24" t="s">
        <v>228</v>
      </c>
      <c r="T24" t="s">
        <v>171</v>
      </c>
      <c r="U24">
        <v>3.9240622399877587E-3</v>
      </c>
      <c r="V24" t="s">
        <v>164</v>
      </c>
      <c r="X24">
        <v>3.5388127853881279E-3</v>
      </c>
      <c r="Y24">
        <v>4.4803553522445696E-3</v>
      </c>
      <c r="Z24" t="s">
        <v>171</v>
      </c>
      <c r="AA24" t="s">
        <v>25</v>
      </c>
      <c r="AC24" t="s">
        <v>22</v>
      </c>
      <c r="AD24" t="s">
        <v>171</v>
      </c>
      <c r="AE24">
        <v>2.5961159721722103E-3</v>
      </c>
      <c r="AG24" t="s">
        <v>96</v>
      </c>
      <c r="AH24" t="s">
        <v>171</v>
      </c>
      <c r="AI24">
        <v>5.0020882269865563E-3</v>
      </c>
      <c r="AK24">
        <v>2026</v>
      </c>
      <c r="AL24" t="s">
        <v>258</v>
      </c>
      <c r="AM24">
        <v>0.31924999999999998</v>
      </c>
      <c r="AN24" t="s">
        <v>253</v>
      </c>
    </row>
    <row r="25" spans="3:40" x14ac:dyDescent="0.45">
      <c r="I25" t="s">
        <v>162</v>
      </c>
      <c r="J25" t="s">
        <v>172</v>
      </c>
      <c r="K25">
        <v>1.0598696652043198E-2</v>
      </c>
      <c r="L25" t="s">
        <v>164</v>
      </c>
      <c r="N25" t="s">
        <v>208</v>
      </c>
      <c r="O25" t="s">
        <v>172</v>
      </c>
      <c r="P25">
        <v>2.0313521049888797E-3</v>
      </c>
      <c r="Q25" t="s">
        <v>164</v>
      </c>
      <c r="S25" t="s">
        <v>228</v>
      </c>
      <c r="T25" t="s">
        <v>172</v>
      </c>
      <c r="U25">
        <v>3.9528167083929663E-3</v>
      </c>
      <c r="V25" t="s">
        <v>164</v>
      </c>
      <c r="X25">
        <v>3.5388127853881279E-3</v>
      </c>
      <c r="Y25">
        <v>4.3673188639998693E-3</v>
      </c>
      <c r="Z25" t="s">
        <v>172</v>
      </c>
      <c r="AA25" t="s">
        <v>25</v>
      </c>
      <c r="AC25" t="s">
        <v>22</v>
      </c>
      <c r="AD25" t="s">
        <v>172</v>
      </c>
      <c r="AE25">
        <v>2.7765681913108926E-3</v>
      </c>
      <c r="AG25" t="s">
        <v>96</v>
      </c>
      <c r="AH25" t="s">
        <v>172</v>
      </c>
      <c r="AI25">
        <v>9.0095943014258939E-3</v>
      </c>
      <c r="AK25">
        <v>2026</v>
      </c>
      <c r="AL25" t="s">
        <v>260</v>
      </c>
      <c r="AM25">
        <v>0.37844999999999995</v>
      </c>
      <c r="AN25" t="s">
        <v>253</v>
      </c>
    </row>
    <row r="26" spans="3:40" x14ac:dyDescent="0.45">
      <c r="I26" t="s">
        <v>162</v>
      </c>
      <c r="J26" t="s">
        <v>268</v>
      </c>
      <c r="K26">
        <v>6.487092949719192E-2</v>
      </c>
      <c r="L26" t="s">
        <v>164</v>
      </c>
      <c r="N26" t="s">
        <v>208</v>
      </c>
      <c r="O26" t="s">
        <v>268</v>
      </c>
      <c r="P26">
        <v>5.093643153237958E-3</v>
      </c>
      <c r="Q26" t="s">
        <v>164</v>
      </c>
      <c r="S26" t="s">
        <v>228</v>
      </c>
      <c r="T26" t="s">
        <v>268</v>
      </c>
      <c r="U26">
        <v>2.4907874540012979E-2</v>
      </c>
      <c r="V26" t="s">
        <v>164</v>
      </c>
      <c r="X26">
        <v>2.1232876712328767E-2</v>
      </c>
      <c r="Y26">
        <v>3.0283502805194377E-2</v>
      </c>
      <c r="Z26" t="s">
        <v>268</v>
      </c>
      <c r="AA26" t="s">
        <v>25</v>
      </c>
      <c r="AC26" t="s">
        <v>22</v>
      </c>
      <c r="AD26" t="s">
        <v>268</v>
      </c>
      <c r="AE26">
        <v>1.9302800489959953E-2</v>
      </c>
      <c r="AG26" t="s">
        <v>96</v>
      </c>
      <c r="AH26" t="s">
        <v>268</v>
      </c>
      <c r="AI26">
        <v>0.11775016749705891</v>
      </c>
      <c r="AK26">
        <v>2026</v>
      </c>
      <c r="AL26" t="s">
        <v>261</v>
      </c>
      <c r="AM26">
        <v>0.37309999999999999</v>
      </c>
      <c r="AN26" t="s">
        <v>253</v>
      </c>
    </row>
    <row r="27" spans="3:40" x14ac:dyDescent="0.45">
      <c r="I27" t="s">
        <v>162</v>
      </c>
      <c r="J27" t="s">
        <v>269</v>
      </c>
      <c r="K27">
        <v>7.0256511650327608E-3</v>
      </c>
      <c r="L27" t="s">
        <v>164</v>
      </c>
      <c r="N27" t="s">
        <v>208</v>
      </c>
      <c r="O27" t="s">
        <v>269</v>
      </c>
      <c r="P27">
        <v>6.0332170724877504E-4</v>
      </c>
      <c r="Q27" t="s">
        <v>164</v>
      </c>
      <c r="S27" t="s">
        <v>228</v>
      </c>
      <c r="T27" t="s">
        <v>269</v>
      </c>
      <c r="U27">
        <v>4.2534040480563164E-3</v>
      </c>
      <c r="V27" t="s">
        <v>164</v>
      </c>
      <c r="X27">
        <v>3.5388127853881279E-3</v>
      </c>
      <c r="Y27">
        <v>6.8849497385409693E-3</v>
      </c>
      <c r="Z27" t="s">
        <v>269</v>
      </c>
      <c r="AA27" t="s">
        <v>25</v>
      </c>
      <c r="AC27" t="s">
        <v>22</v>
      </c>
      <c r="AD27" t="s">
        <v>269</v>
      </c>
      <c r="AE27">
        <v>3.3755881518351661E-3</v>
      </c>
      <c r="AG27" t="s">
        <v>96</v>
      </c>
      <c r="AH27" t="s">
        <v>269</v>
      </c>
      <c r="AI27">
        <v>4.566247580217575E-2</v>
      </c>
      <c r="AK27">
        <v>2027</v>
      </c>
      <c r="AL27" t="s">
        <v>152</v>
      </c>
      <c r="AM27">
        <v>0.40339999999999998</v>
      </c>
      <c r="AN27" t="s">
        <v>253</v>
      </c>
    </row>
    <row r="28" spans="3:40" x14ac:dyDescent="0.45">
      <c r="I28" t="s">
        <v>162</v>
      </c>
      <c r="J28" t="s">
        <v>270</v>
      </c>
      <c r="K28">
        <v>4.6886388436626633E-3</v>
      </c>
      <c r="L28" t="s">
        <v>164</v>
      </c>
      <c r="N28" t="s">
        <v>208</v>
      </c>
      <c r="O28" t="s">
        <v>270</v>
      </c>
      <c r="P28">
        <v>1.2526302513953615E-2</v>
      </c>
      <c r="Q28" t="s">
        <v>164</v>
      </c>
      <c r="S28" t="s">
        <v>228</v>
      </c>
      <c r="T28" t="s">
        <v>270</v>
      </c>
      <c r="U28">
        <v>2.6322825643803237E-2</v>
      </c>
      <c r="V28" t="s">
        <v>164</v>
      </c>
      <c r="X28">
        <v>2.1232876712328767E-2</v>
      </c>
      <c r="Y28">
        <v>1.8702400782305319E-2</v>
      </c>
      <c r="Z28" t="s">
        <v>270</v>
      </c>
      <c r="AA28" t="s">
        <v>25</v>
      </c>
      <c r="AC28" t="s">
        <v>22</v>
      </c>
      <c r="AD28" t="s">
        <v>270</v>
      </c>
      <c r="AE28">
        <v>2.0638392424809523E-2</v>
      </c>
      <c r="AG28" t="s">
        <v>96</v>
      </c>
      <c r="AH28" t="s">
        <v>270</v>
      </c>
      <c r="AI28">
        <v>9.4882123552450182E-2</v>
      </c>
      <c r="AK28">
        <v>2027</v>
      </c>
      <c r="AL28" t="s">
        <v>156</v>
      </c>
      <c r="AM28">
        <v>0.39319999999999999</v>
      </c>
      <c r="AN28" t="s">
        <v>253</v>
      </c>
    </row>
    <row r="29" spans="3:40" x14ac:dyDescent="0.45">
      <c r="I29" t="s">
        <v>162</v>
      </c>
      <c r="J29" t="s">
        <v>173</v>
      </c>
      <c r="K29">
        <v>1.1575471951037567E-2</v>
      </c>
      <c r="L29" t="s">
        <v>164</v>
      </c>
      <c r="N29" t="s">
        <v>208</v>
      </c>
      <c r="O29" t="s">
        <v>173</v>
      </c>
      <c r="P29">
        <v>1.6721340654132097E-2</v>
      </c>
      <c r="Q29" t="s">
        <v>164</v>
      </c>
      <c r="S29" t="s">
        <v>228</v>
      </c>
      <c r="T29" t="s">
        <v>173</v>
      </c>
      <c r="U29">
        <v>6.1177995284457831E-2</v>
      </c>
      <c r="V29" t="s">
        <v>164</v>
      </c>
      <c r="X29">
        <v>6.2671232876712335E-2</v>
      </c>
      <c r="Y29">
        <v>3.9773927023510604E-2</v>
      </c>
      <c r="Z29" t="s">
        <v>173</v>
      </c>
      <c r="AA29" t="s">
        <v>25</v>
      </c>
      <c r="AC29" t="s">
        <v>22</v>
      </c>
      <c r="AD29" t="s">
        <v>173</v>
      </c>
      <c r="AE29">
        <v>6.2244137259278909E-2</v>
      </c>
      <c r="AG29" t="s">
        <v>96</v>
      </c>
      <c r="AH29" t="s">
        <v>173</v>
      </c>
      <c r="AI29">
        <v>0.19897403217375231</v>
      </c>
      <c r="AK29">
        <v>2027</v>
      </c>
      <c r="AL29" t="s">
        <v>158</v>
      </c>
      <c r="AM29">
        <v>0.3216</v>
      </c>
      <c r="AN29" t="s">
        <v>253</v>
      </c>
    </row>
    <row r="30" spans="3:40" x14ac:dyDescent="0.45">
      <c r="I30" t="s">
        <v>162</v>
      </c>
      <c r="J30" t="s">
        <v>174</v>
      </c>
      <c r="K30">
        <v>1.1259977532344419E-2</v>
      </c>
      <c r="L30" t="s">
        <v>164</v>
      </c>
      <c r="N30" t="s">
        <v>208</v>
      </c>
      <c r="O30" t="s">
        <v>174</v>
      </c>
      <c r="P30">
        <v>1.4302486033129561E-3</v>
      </c>
      <c r="Q30" t="s">
        <v>164</v>
      </c>
      <c r="S30" t="s">
        <v>228</v>
      </c>
      <c r="T30" t="s">
        <v>174</v>
      </c>
      <c r="U30">
        <v>6.4613083509327453E-3</v>
      </c>
      <c r="V30" t="s">
        <v>164</v>
      </c>
      <c r="X30">
        <v>6.9634703196347035E-3</v>
      </c>
      <c r="Y30">
        <v>8.8161831124812517E-3</v>
      </c>
      <c r="Z30" t="s">
        <v>174</v>
      </c>
      <c r="AA30" t="s">
        <v>25</v>
      </c>
      <c r="AC30" t="s">
        <v>22</v>
      </c>
      <c r="AD30" t="s">
        <v>174</v>
      </c>
      <c r="AE30">
        <v>5.6818614355739214E-3</v>
      </c>
      <c r="AG30" t="s">
        <v>96</v>
      </c>
      <c r="AH30" t="s">
        <v>174</v>
      </c>
      <c r="AI30">
        <v>5.6620084227460232E-2</v>
      </c>
      <c r="AK30">
        <v>2027</v>
      </c>
      <c r="AL30" t="s">
        <v>160</v>
      </c>
      <c r="AM30">
        <v>0.28669999999999995</v>
      </c>
      <c r="AN30" t="s">
        <v>253</v>
      </c>
    </row>
    <row r="31" spans="3:40" x14ac:dyDescent="0.45">
      <c r="I31" t="s">
        <v>162</v>
      </c>
      <c r="J31" t="s">
        <v>175</v>
      </c>
      <c r="K31">
        <v>1.3880799193522267E-2</v>
      </c>
      <c r="L31" t="s">
        <v>164</v>
      </c>
      <c r="N31" t="s">
        <v>208</v>
      </c>
      <c r="O31" t="s">
        <v>175</v>
      </c>
      <c r="P31">
        <v>1.379727624280528E-3</v>
      </c>
      <c r="Q31" t="s">
        <v>164</v>
      </c>
      <c r="S31" t="s">
        <v>228</v>
      </c>
      <c r="T31" t="s">
        <v>175</v>
      </c>
      <c r="U31">
        <v>6.5401107321981442E-3</v>
      </c>
      <c r="V31" t="s">
        <v>164</v>
      </c>
      <c r="X31">
        <v>6.9634703196347035E-3</v>
      </c>
      <c r="Y31">
        <v>8.593756474322322E-3</v>
      </c>
      <c r="Z31" t="s">
        <v>175</v>
      </c>
      <c r="AA31" t="s">
        <v>25</v>
      </c>
      <c r="AC31" t="s">
        <v>22</v>
      </c>
      <c r="AD31" t="s">
        <v>175</v>
      </c>
      <c r="AE31">
        <v>5.8571557233981619E-3</v>
      </c>
      <c r="AG31" t="s">
        <v>96</v>
      </c>
      <c r="AH31" t="s">
        <v>175</v>
      </c>
      <c r="AI31">
        <v>4.8802400304008176E-2</v>
      </c>
      <c r="AK31">
        <v>2027</v>
      </c>
      <c r="AL31" t="s">
        <v>256</v>
      </c>
      <c r="AM31">
        <v>0.26375000000000004</v>
      </c>
      <c r="AN31" t="s">
        <v>253</v>
      </c>
    </row>
    <row r="32" spans="3:40" x14ac:dyDescent="0.45">
      <c r="I32" t="s">
        <v>162</v>
      </c>
      <c r="J32" t="s">
        <v>271</v>
      </c>
      <c r="K32">
        <v>9.4177881274794845E-2</v>
      </c>
      <c r="L32" t="s">
        <v>164</v>
      </c>
      <c r="N32" t="s">
        <v>208</v>
      </c>
      <c r="O32" t="s">
        <v>271</v>
      </c>
      <c r="P32">
        <v>5.6656996291190856E-3</v>
      </c>
      <c r="Q32" t="s">
        <v>164</v>
      </c>
      <c r="S32" t="s">
        <v>228</v>
      </c>
      <c r="T32" t="s">
        <v>271</v>
      </c>
      <c r="U32">
        <v>4.2428182577372082E-2</v>
      </c>
      <c r="V32" t="s">
        <v>164</v>
      </c>
      <c r="X32">
        <v>4.1780821917808221E-2</v>
      </c>
      <c r="Y32">
        <v>5.9590118423124429E-2</v>
      </c>
      <c r="Z32" t="s">
        <v>271</v>
      </c>
      <c r="AA32" t="s">
        <v>25</v>
      </c>
      <c r="AC32" t="s">
        <v>22</v>
      </c>
      <c r="AD32" t="s">
        <v>271</v>
      </c>
      <c r="AE32">
        <v>4.3816033534057594E-2</v>
      </c>
      <c r="AG32" t="s">
        <v>96</v>
      </c>
      <c r="AH32" t="s">
        <v>271</v>
      </c>
      <c r="AI32">
        <v>0.21988550186947098</v>
      </c>
      <c r="AK32">
        <v>2027</v>
      </c>
      <c r="AL32" t="s">
        <v>258</v>
      </c>
      <c r="AM32">
        <v>0.31915000000000004</v>
      </c>
      <c r="AN32" t="s">
        <v>253</v>
      </c>
    </row>
    <row r="33" spans="9:40" x14ac:dyDescent="0.45">
      <c r="I33" t="s">
        <v>162</v>
      </c>
      <c r="J33" t="s">
        <v>272</v>
      </c>
      <c r="K33">
        <v>8.4289965000904216E-3</v>
      </c>
      <c r="L33" t="s">
        <v>164</v>
      </c>
      <c r="N33" t="s">
        <v>208</v>
      </c>
      <c r="O33" t="s">
        <v>272</v>
      </c>
      <c r="P33">
        <v>1.266988696664767E-3</v>
      </c>
      <c r="Q33" t="s">
        <v>164</v>
      </c>
      <c r="S33" t="s">
        <v>228</v>
      </c>
      <c r="T33" t="s">
        <v>272</v>
      </c>
      <c r="U33">
        <v>7.4649292932064057E-3</v>
      </c>
      <c r="V33" t="s">
        <v>164</v>
      </c>
      <c r="X33">
        <v>6.9634703196347035E-3</v>
      </c>
      <c r="Y33">
        <v>1.354780432422577E-2</v>
      </c>
      <c r="Z33" t="s">
        <v>272</v>
      </c>
      <c r="AA33" t="s">
        <v>25</v>
      </c>
      <c r="AC33" t="s">
        <v>22</v>
      </c>
      <c r="AD33" t="s">
        <v>272</v>
      </c>
      <c r="AE33">
        <v>8.1880561119538776E-3</v>
      </c>
      <c r="AG33" t="s">
        <v>96</v>
      </c>
      <c r="AH33" t="s">
        <v>272</v>
      </c>
      <c r="AI33">
        <v>0.13698136096129576</v>
      </c>
      <c r="AK33">
        <v>2027</v>
      </c>
      <c r="AL33" t="s">
        <v>260</v>
      </c>
      <c r="AM33">
        <v>0.34199999999999997</v>
      </c>
      <c r="AN33" t="s">
        <v>253</v>
      </c>
    </row>
    <row r="34" spans="9:40" x14ac:dyDescent="0.45">
      <c r="I34" t="s">
        <v>162</v>
      </c>
      <c r="J34" t="s">
        <v>273</v>
      </c>
      <c r="K34">
        <v>4.8294921472833837E-3</v>
      </c>
      <c r="L34" t="s">
        <v>164</v>
      </c>
      <c r="N34" t="s">
        <v>208</v>
      </c>
      <c r="O34" t="s">
        <v>273</v>
      </c>
      <c r="P34">
        <v>1.5635210753750076E-2</v>
      </c>
      <c r="Q34" t="s">
        <v>164</v>
      </c>
      <c r="S34" t="s">
        <v>228</v>
      </c>
      <c r="T34" t="s">
        <v>273</v>
      </c>
      <c r="U34">
        <v>4.6281233686114601E-2</v>
      </c>
      <c r="V34" t="s">
        <v>164</v>
      </c>
      <c r="X34">
        <v>4.1780821917808221E-2</v>
      </c>
      <c r="Y34">
        <v>3.6801498313568527E-2</v>
      </c>
      <c r="Z34" t="s">
        <v>273</v>
      </c>
      <c r="AA34" t="s">
        <v>25</v>
      </c>
      <c r="AC34" t="s">
        <v>22</v>
      </c>
      <c r="AD34" t="s">
        <v>273</v>
      </c>
      <c r="AE34">
        <v>4.8685960608550127E-2</v>
      </c>
      <c r="AG34" t="s">
        <v>96</v>
      </c>
      <c r="AH34" t="s">
        <v>273</v>
      </c>
      <c r="AI34">
        <v>0.15585549835910228</v>
      </c>
      <c r="AK34">
        <v>2027</v>
      </c>
      <c r="AL34" t="s">
        <v>261</v>
      </c>
      <c r="AM34">
        <v>0.35560000000000003</v>
      </c>
      <c r="AN34" t="s">
        <v>253</v>
      </c>
    </row>
    <row r="35" spans="9:40" x14ac:dyDescent="0.45">
      <c r="I35" t="s">
        <v>162</v>
      </c>
      <c r="J35" t="s">
        <v>274</v>
      </c>
      <c r="K35">
        <v>1.0153131788992265E-2</v>
      </c>
      <c r="L35" t="s">
        <v>164</v>
      </c>
      <c r="N35" t="s">
        <v>208</v>
      </c>
      <c r="O35" t="s">
        <v>274</v>
      </c>
      <c r="P35">
        <v>1.9851929038782426E-2</v>
      </c>
      <c r="Q35" t="s">
        <v>164</v>
      </c>
      <c r="S35" t="s">
        <v>228</v>
      </c>
      <c r="T35" t="s">
        <v>274</v>
      </c>
      <c r="U35">
        <v>7.5594707450073434E-2</v>
      </c>
      <c r="V35" t="s">
        <v>164</v>
      </c>
      <c r="X35">
        <v>6.2671232876712335E-2</v>
      </c>
      <c r="Y35">
        <v>3.9773927023510604E-2</v>
      </c>
      <c r="Z35" t="s">
        <v>274</v>
      </c>
      <c r="AA35" t="s">
        <v>25</v>
      </c>
      <c r="AC35" t="s">
        <v>22</v>
      </c>
      <c r="AD35" t="s">
        <v>274</v>
      </c>
      <c r="AE35">
        <v>6.2177690836920929E-2</v>
      </c>
      <c r="AG35" t="s">
        <v>96</v>
      </c>
      <c r="AH35" t="s">
        <v>274</v>
      </c>
      <c r="AI35">
        <v>0.23256992049939118</v>
      </c>
      <c r="AK35">
        <v>2028</v>
      </c>
      <c r="AL35" t="s">
        <v>152</v>
      </c>
      <c r="AM35">
        <v>0.44529999999999997</v>
      </c>
      <c r="AN35" t="s">
        <v>253</v>
      </c>
    </row>
    <row r="36" spans="9:40" x14ac:dyDescent="0.45">
      <c r="I36" t="s">
        <v>162</v>
      </c>
      <c r="J36" t="s">
        <v>275</v>
      </c>
      <c r="K36">
        <v>1.0291095690106323E-2</v>
      </c>
      <c r="L36" t="s">
        <v>164</v>
      </c>
      <c r="N36" t="s">
        <v>208</v>
      </c>
      <c r="O36" t="s">
        <v>275</v>
      </c>
      <c r="P36">
        <v>2.6348142081333513E-3</v>
      </c>
      <c r="Q36" t="s">
        <v>164</v>
      </c>
      <c r="S36" t="s">
        <v>228</v>
      </c>
      <c r="T36" t="s">
        <v>275</v>
      </c>
      <c r="U36">
        <v>8.1216496946337809E-3</v>
      </c>
      <c r="V36" t="s">
        <v>164</v>
      </c>
      <c r="X36">
        <v>6.9634703196347035E-3</v>
      </c>
      <c r="Y36">
        <v>8.8161831124812517E-3</v>
      </c>
      <c r="Z36" t="s">
        <v>275</v>
      </c>
      <c r="AA36" t="s">
        <v>25</v>
      </c>
      <c r="AC36" t="s">
        <v>22</v>
      </c>
      <c r="AD36" t="s">
        <v>275</v>
      </c>
      <c r="AE36">
        <v>5.6175988767713072E-3</v>
      </c>
      <c r="AG36" t="s">
        <v>96</v>
      </c>
      <c r="AH36" t="s">
        <v>275</v>
      </c>
      <c r="AI36">
        <v>3.9150716116282513E-2</v>
      </c>
      <c r="AK36">
        <v>2028</v>
      </c>
      <c r="AL36" t="s">
        <v>156</v>
      </c>
      <c r="AM36">
        <v>0.41320000000000001</v>
      </c>
      <c r="AN36" t="s">
        <v>253</v>
      </c>
    </row>
    <row r="37" spans="9:40" x14ac:dyDescent="0.45">
      <c r="I37" t="s">
        <v>162</v>
      </c>
      <c r="J37" t="s">
        <v>276</v>
      </c>
      <c r="K37">
        <v>1.3206578454170878E-2</v>
      </c>
      <c r="L37" t="s">
        <v>164</v>
      </c>
      <c r="N37" t="s">
        <v>208</v>
      </c>
      <c r="O37" t="s">
        <v>276</v>
      </c>
      <c r="P37">
        <v>2.4428971727133426E-3</v>
      </c>
      <c r="Q37" t="s">
        <v>164</v>
      </c>
      <c r="S37" t="s">
        <v>228</v>
      </c>
      <c r="T37" t="s">
        <v>276</v>
      </c>
      <c r="U37">
        <v>8.2428214616310311E-3</v>
      </c>
      <c r="V37" t="s">
        <v>164</v>
      </c>
      <c r="X37">
        <v>6.9634703196347035E-3</v>
      </c>
      <c r="Y37">
        <v>8.593756474322322E-3</v>
      </c>
      <c r="Z37" t="s">
        <v>276</v>
      </c>
      <c r="AA37" t="s">
        <v>25</v>
      </c>
      <c r="AC37" t="s">
        <v>22</v>
      </c>
      <c r="AD37" t="s">
        <v>276</v>
      </c>
      <c r="AE37">
        <v>5.8198242422937115E-3</v>
      </c>
      <c r="AG37" t="s">
        <v>96</v>
      </c>
      <c r="AH37" t="s">
        <v>276</v>
      </c>
      <c r="AI37">
        <v>3.4779122503695969E-2</v>
      </c>
      <c r="AK37">
        <v>2028</v>
      </c>
      <c r="AL37" t="s">
        <v>158</v>
      </c>
      <c r="AM37">
        <v>0.42170000000000002</v>
      </c>
      <c r="AN37" t="s">
        <v>253</v>
      </c>
    </row>
    <row r="38" spans="9:40" x14ac:dyDescent="0.45">
      <c r="I38" t="s">
        <v>162</v>
      </c>
      <c r="J38" t="s">
        <v>277</v>
      </c>
      <c r="K38">
        <v>9.5665062258844247E-2</v>
      </c>
      <c r="L38" t="s">
        <v>164</v>
      </c>
      <c r="N38" t="s">
        <v>208</v>
      </c>
      <c r="O38" t="s">
        <v>277</v>
      </c>
      <c r="P38">
        <v>1.0254181817191744E-2</v>
      </c>
      <c r="Q38" t="s">
        <v>164</v>
      </c>
      <c r="S38" t="s">
        <v>228</v>
      </c>
      <c r="T38" t="s">
        <v>277</v>
      </c>
      <c r="U38">
        <v>5.2600483470560407E-2</v>
      </c>
      <c r="V38" t="s">
        <v>164</v>
      </c>
      <c r="X38">
        <v>4.1780821917808221E-2</v>
      </c>
      <c r="Y38">
        <v>5.9590118423124429E-2</v>
      </c>
      <c r="Z38" t="s">
        <v>277</v>
      </c>
      <c r="AA38" t="s">
        <v>25</v>
      </c>
      <c r="AC38" t="s">
        <v>22</v>
      </c>
      <c r="AD38" t="s">
        <v>277</v>
      </c>
      <c r="AE38">
        <v>4.3888620313949432E-2</v>
      </c>
      <c r="AG38" t="s">
        <v>96</v>
      </c>
      <c r="AH38" t="s">
        <v>277</v>
      </c>
      <c r="AI38">
        <v>0.19500958207970798</v>
      </c>
      <c r="AK38">
        <v>2028</v>
      </c>
      <c r="AL38" t="s">
        <v>160</v>
      </c>
      <c r="AM38">
        <v>0.33829999999999999</v>
      </c>
      <c r="AN38" t="s">
        <v>253</v>
      </c>
    </row>
    <row r="39" spans="9:40" x14ac:dyDescent="0.45">
      <c r="I39" t="s">
        <v>162</v>
      </c>
      <c r="J39" t="s">
        <v>278</v>
      </c>
      <c r="K39">
        <v>9.0738511396229252E-3</v>
      </c>
      <c r="L39" t="s">
        <v>164</v>
      </c>
      <c r="N39" t="s">
        <v>208</v>
      </c>
      <c r="O39" t="s">
        <v>278</v>
      </c>
      <c r="P39">
        <v>1.2321280084280715E-3</v>
      </c>
      <c r="Q39" t="s">
        <v>164</v>
      </c>
      <c r="S39" t="s">
        <v>228</v>
      </c>
      <c r="T39" t="s">
        <v>278</v>
      </c>
      <c r="U39">
        <v>9.1261808167823911E-3</v>
      </c>
      <c r="V39" t="s">
        <v>164</v>
      </c>
      <c r="X39">
        <v>6.9634703196347035E-3</v>
      </c>
      <c r="Y39">
        <v>1.354780432422577E-2</v>
      </c>
      <c r="Z39" t="s">
        <v>278</v>
      </c>
      <c r="AA39" t="s">
        <v>25</v>
      </c>
      <c r="AC39" t="s">
        <v>22</v>
      </c>
      <c r="AD39" t="s">
        <v>278</v>
      </c>
      <c r="AE39">
        <v>8.3110189221788453E-3</v>
      </c>
      <c r="AG39" t="s">
        <v>96</v>
      </c>
      <c r="AH39" t="s">
        <v>278</v>
      </c>
      <c r="AI39">
        <v>9.7656549303328788E-2</v>
      </c>
      <c r="AK39">
        <v>2028</v>
      </c>
      <c r="AL39" t="s">
        <v>256</v>
      </c>
      <c r="AM39">
        <v>0.32274999999999998</v>
      </c>
      <c r="AN39" t="s">
        <v>253</v>
      </c>
    </row>
    <row r="40" spans="9:40" x14ac:dyDescent="0.45">
      <c r="I40" t="s">
        <v>162</v>
      </c>
      <c r="J40" t="s">
        <v>279</v>
      </c>
      <c r="K40">
        <v>5.6359488636704225E-3</v>
      </c>
      <c r="L40" t="s">
        <v>164</v>
      </c>
      <c r="N40" t="s">
        <v>208</v>
      </c>
      <c r="O40" t="s">
        <v>279</v>
      </c>
      <c r="P40">
        <v>9.3815673072643723E-3</v>
      </c>
      <c r="Q40" t="s">
        <v>164</v>
      </c>
      <c r="S40" t="s">
        <v>228</v>
      </c>
      <c r="T40" t="s">
        <v>279</v>
      </c>
      <c r="U40">
        <v>5.5009678226028855E-2</v>
      </c>
      <c r="V40" t="s">
        <v>164</v>
      </c>
      <c r="X40">
        <v>4.1780821917808221E-2</v>
      </c>
      <c r="Y40">
        <v>3.6801498313568527E-2</v>
      </c>
      <c r="Z40" t="s">
        <v>279</v>
      </c>
      <c r="AA40" t="s">
        <v>25</v>
      </c>
      <c r="AC40" t="s">
        <v>22</v>
      </c>
      <c r="AD40" t="s">
        <v>279</v>
      </c>
      <c r="AE40">
        <v>4.9359720973732181E-2</v>
      </c>
      <c r="AG40" t="s">
        <v>96</v>
      </c>
      <c r="AH40" t="s">
        <v>279</v>
      </c>
      <c r="AI40">
        <v>0.10236576938760544</v>
      </c>
      <c r="AK40">
        <v>2028</v>
      </c>
      <c r="AL40" t="s">
        <v>258</v>
      </c>
      <c r="AM40">
        <v>0.36659999999999998</v>
      </c>
      <c r="AN40" t="s">
        <v>253</v>
      </c>
    </row>
    <row r="41" spans="9:40" x14ac:dyDescent="0.45">
      <c r="I41" t="s">
        <v>162</v>
      </c>
      <c r="J41" t="s">
        <v>280</v>
      </c>
      <c r="K41">
        <v>1.3443488063806762E-2</v>
      </c>
      <c r="L41" t="s">
        <v>164</v>
      </c>
      <c r="N41" t="s">
        <v>208</v>
      </c>
      <c r="O41" t="s">
        <v>280</v>
      </c>
      <c r="P41">
        <v>1.8889545589640996E-2</v>
      </c>
      <c r="Q41" t="s">
        <v>164</v>
      </c>
      <c r="S41" t="s">
        <v>228</v>
      </c>
      <c r="T41" t="s">
        <v>280</v>
      </c>
      <c r="U41">
        <v>5.2219649077300735E-2</v>
      </c>
      <c r="V41" t="s">
        <v>164</v>
      </c>
      <c r="X41">
        <v>6.2671232876712335E-2</v>
      </c>
      <c r="Y41">
        <v>3.9773927023510604E-2</v>
      </c>
      <c r="Z41" t="s">
        <v>280</v>
      </c>
      <c r="AA41" t="s">
        <v>25</v>
      </c>
      <c r="AC41" t="s">
        <v>22</v>
      </c>
      <c r="AD41" t="s">
        <v>280</v>
      </c>
      <c r="AE41">
        <v>6.6128556471667266E-2</v>
      </c>
      <c r="AG41" t="s">
        <v>96</v>
      </c>
      <c r="AH41" t="s">
        <v>280</v>
      </c>
      <c r="AI41">
        <v>0.1653862193080522</v>
      </c>
      <c r="AK41">
        <v>2028</v>
      </c>
      <c r="AL41" t="s">
        <v>260</v>
      </c>
      <c r="AM41">
        <v>0.41694999999999999</v>
      </c>
      <c r="AN41" t="s">
        <v>253</v>
      </c>
    </row>
    <row r="42" spans="9:40" x14ac:dyDescent="0.45">
      <c r="I42" t="s">
        <v>162</v>
      </c>
      <c r="J42" t="s">
        <v>281</v>
      </c>
      <c r="K42">
        <v>1.3419680830828581E-2</v>
      </c>
      <c r="L42" t="s">
        <v>164</v>
      </c>
      <c r="N42" t="s">
        <v>208</v>
      </c>
      <c r="O42" t="s">
        <v>281</v>
      </c>
      <c r="P42">
        <v>2.0846796388895913E-3</v>
      </c>
      <c r="Q42" t="s">
        <v>164</v>
      </c>
      <c r="S42" t="s">
        <v>228</v>
      </c>
      <c r="T42" t="s">
        <v>281</v>
      </c>
      <c r="U42">
        <v>5.0587882293930174E-3</v>
      </c>
      <c r="V42" t="s">
        <v>164</v>
      </c>
      <c r="X42">
        <v>6.9634703196347035E-3</v>
      </c>
      <c r="Y42">
        <v>8.8161831124812517E-3</v>
      </c>
      <c r="Z42" t="s">
        <v>281</v>
      </c>
      <c r="AA42" t="s">
        <v>25</v>
      </c>
      <c r="AC42" t="s">
        <v>22</v>
      </c>
      <c r="AD42" t="s">
        <v>281</v>
      </c>
      <c r="AE42">
        <v>6.0607165139328865E-3</v>
      </c>
      <c r="AG42" t="s">
        <v>96</v>
      </c>
      <c r="AH42" t="s">
        <v>281</v>
      </c>
      <c r="AI42">
        <v>2.6749337469098577E-2</v>
      </c>
      <c r="AK42">
        <v>2028</v>
      </c>
      <c r="AL42" t="s">
        <v>261</v>
      </c>
      <c r="AM42">
        <v>0.46139999999999998</v>
      </c>
      <c r="AN42" t="s">
        <v>253</v>
      </c>
    </row>
    <row r="43" spans="9:40" x14ac:dyDescent="0.45">
      <c r="I43" t="s">
        <v>162</v>
      </c>
      <c r="J43" t="s">
        <v>282</v>
      </c>
      <c r="K43">
        <v>1.6544611740309318E-2</v>
      </c>
      <c r="L43" t="s">
        <v>164</v>
      </c>
      <c r="N43" t="s">
        <v>208</v>
      </c>
      <c r="O43" t="s">
        <v>282</v>
      </c>
      <c r="P43">
        <v>2.1225045241919688E-3</v>
      </c>
      <c r="Q43" t="s">
        <v>164</v>
      </c>
      <c r="S43" t="s">
        <v>228</v>
      </c>
      <c r="T43" t="s">
        <v>282</v>
      </c>
      <c r="U43">
        <v>4.9953305702043743E-3</v>
      </c>
      <c r="V43" t="s">
        <v>164</v>
      </c>
      <c r="X43">
        <v>6.9634703196347035E-3</v>
      </c>
      <c r="Y43">
        <v>8.593756474322322E-3</v>
      </c>
      <c r="Z43" t="s">
        <v>282</v>
      </c>
      <c r="AA43" t="s">
        <v>25</v>
      </c>
      <c r="AC43" t="s">
        <v>22</v>
      </c>
      <c r="AD43" t="s">
        <v>282</v>
      </c>
      <c r="AE43">
        <v>6.1495643036520225E-3</v>
      </c>
      <c r="AG43" t="s">
        <v>96</v>
      </c>
      <c r="AH43" t="s">
        <v>282</v>
      </c>
      <c r="AI43">
        <v>2.359667371127272E-2</v>
      </c>
      <c r="AK43">
        <v>2029</v>
      </c>
      <c r="AL43" t="s">
        <v>152</v>
      </c>
      <c r="AM43">
        <v>0.4098</v>
      </c>
      <c r="AN43" t="s">
        <v>253</v>
      </c>
    </row>
    <row r="44" spans="9:40" x14ac:dyDescent="0.45">
      <c r="I44" t="s">
        <v>162</v>
      </c>
      <c r="J44" t="s">
        <v>283</v>
      </c>
      <c r="K44">
        <v>0.10862227914217104</v>
      </c>
      <c r="L44" t="s">
        <v>164</v>
      </c>
      <c r="N44" t="s">
        <v>208</v>
      </c>
      <c r="O44" t="s">
        <v>283</v>
      </c>
      <c r="P44">
        <v>9.7211530093222059E-3</v>
      </c>
      <c r="Q44" t="s">
        <v>164</v>
      </c>
      <c r="S44" t="s">
        <v>228</v>
      </c>
      <c r="T44" t="s">
        <v>283</v>
      </c>
      <c r="U44">
        <v>3.2222407659939688E-2</v>
      </c>
      <c r="V44" t="s">
        <v>164</v>
      </c>
      <c r="X44">
        <v>4.1780821917808221E-2</v>
      </c>
      <c r="Y44">
        <v>5.9590118423124429E-2</v>
      </c>
      <c r="Z44" t="s">
        <v>283</v>
      </c>
      <c r="AA44" t="s">
        <v>25</v>
      </c>
      <c r="AC44" t="s">
        <v>22</v>
      </c>
      <c r="AD44" t="s">
        <v>283</v>
      </c>
      <c r="AE44">
        <v>4.6577961449214507E-2</v>
      </c>
      <c r="AG44" t="s">
        <v>96</v>
      </c>
      <c r="AH44" t="s">
        <v>283</v>
      </c>
      <c r="AI44">
        <v>0.20411576820182731</v>
      </c>
      <c r="AK44">
        <v>2029</v>
      </c>
      <c r="AL44" t="s">
        <v>156</v>
      </c>
      <c r="AM44">
        <v>0.43130000000000002</v>
      </c>
      <c r="AN44" t="s">
        <v>253</v>
      </c>
    </row>
    <row r="45" spans="9:40" x14ac:dyDescent="0.45">
      <c r="I45" t="s">
        <v>162</v>
      </c>
      <c r="J45" t="s">
        <v>284</v>
      </c>
      <c r="K45">
        <v>9.9987291655787638E-3</v>
      </c>
      <c r="L45" t="s">
        <v>164</v>
      </c>
      <c r="N45" t="s">
        <v>208</v>
      </c>
      <c r="O45" t="s">
        <v>284</v>
      </c>
      <c r="P45">
        <v>1.0098349236631948E-3</v>
      </c>
      <c r="Q45" t="s">
        <v>164</v>
      </c>
      <c r="S45" t="s">
        <v>228</v>
      </c>
      <c r="T45" t="s">
        <v>284</v>
      </c>
      <c r="U45">
        <v>5.9818754233947145E-3</v>
      </c>
      <c r="V45" t="s">
        <v>164</v>
      </c>
      <c r="X45">
        <v>6.9634703196347035E-3</v>
      </c>
      <c r="Y45">
        <v>1.354780432422577E-2</v>
      </c>
      <c r="Z45" t="s">
        <v>284</v>
      </c>
      <c r="AA45" t="s">
        <v>25</v>
      </c>
      <c r="AC45" t="s">
        <v>22</v>
      </c>
      <c r="AD45" t="s">
        <v>284</v>
      </c>
      <c r="AE45">
        <v>9.0770295204988319E-3</v>
      </c>
      <c r="AG45" t="s">
        <v>96</v>
      </c>
      <c r="AH45" t="s">
        <v>284</v>
      </c>
      <c r="AI45">
        <v>7.9479804332871717E-2</v>
      </c>
      <c r="AK45">
        <v>2029</v>
      </c>
      <c r="AL45" t="s">
        <v>158</v>
      </c>
      <c r="AM45">
        <v>0.3639</v>
      </c>
      <c r="AN45" t="s">
        <v>253</v>
      </c>
    </row>
    <row r="46" spans="9:40" x14ac:dyDescent="0.45">
      <c r="I46" t="s">
        <v>162</v>
      </c>
      <c r="J46" t="s">
        <v>285</v>
      </c>
      <c r="K46">
        <v>6.1525729937740147E-3</v>
      </c>
      <c r="L46" t="s">
        <v>164</v>
      </c>
      <c r="N46" t="s">
        <v>208</v>
      </c>
      <c r="O46" t="s">
        <v>285</v>
      </c>
      <c r="P46">
        <v>1.0134407955651074E-2</v>
      </c>
      <c r="Q46" t="s">
        <v>164</v>
      </c>
      <c r="S46" t="s">
        <v>228</v>
      </c>
      <c r="T46" t="s">
        <v>285</v>
      </c>
      <c r="U46">
        <v>3.8460517789805269E-2</v>
      </c>
      <c r="V46" t="s">
        <v>164</v>
      </c>
      <c r="X46">
        <v>4.1780821917808221E-2</v>
      </c>
      <c r="Y46">
        <v>3.6801498313568527E-2</v>
      </c>
      <c r="Z46" t="s">
        <v>285</v>
      </c>
      <c r="AA46" t="s">
        <v>25</v>
      </c>
      <c r="AC46" t="s">
        <v>22</v>
      </c>
      <c r="AD46" t="s">
        <v>285</v>
      </c>
      <c r="AE46">
        <v>5.3182622504553356E-2</v>
      </c>
      <c r="AG46" t="s">
        <v>96</v>
      </c>
      <c r="AH46" t="s">
        <v>285</v>
      </c>
      <c r="AI46">
        <v>9.7502479576029089E-2</v>
      </c>
      <c r="AK46">
        <v>2029</v>
      </c>
      <c r="AL46" t="s">
        <v>160</v>
      </c>
      <c r="AM46">
        <v>0.36839999999999995</v>
      </c>
      <c r="AN46" t="s">
        <v>253</v>
      </c>
    </row>
    <row r="47" spans="9:40" x14ac:dyDescent="0.45">
      <c r="I47" t="s">
        <v>162</v>
      </c>
      <c r="J47" t="s">
        <v>286</v>
      </c>
      <c r="K47">
        <v>1.8433029708807863E-2</v>
      </c>
      <c r="L47" t="s">
        <v>164</v>
      </c>
      <c r="N47" t="s">
        <v>208</v>
      </c>
      <c r="O47" t="s">
        <v>286</v>
      </c>
      <c r="P47">
        <v>5.2301421291243981E-2</v>
      </c>
      <c r="Q47" t="s">
        <v>164</v>
      </c>
      <c r="S47" t="s">
        <v>228</v>
      </c>
      <c r="T47" t="s">
        <v>286</v>
      </c>
      <c r="U47">
        <v>4.1343385744867109E-2</v>
      </c>
      <c r="V47" t="s">
        <v>164</v>
      </c>
      <c r="X47">
        <v>6.2671232876712335E-2</v>
      </c>
      <c r="Y47">
        <v>3.9773927023510604E-2</v>
      </c>
      <c r="Z47" t="s">
        <v>286</v>
      </c>
      <c r="AA47" t="s">
        <v>25</v>
      </c>
      <c r="AC47" t="s">
        <v>22</v>
      </c>
      <c r="AD47" t="s">
        <v>286</v>
      </c>
      <c r="AE47">
        <v>6.0609451709964207E-2</v>
      </c>
      <c r="AG47" t="s">
        <v>96</v>
      </c>
      <c r="AH47" t="s">
        <v>286</v>
      </c>
      <c r="AI47">
        <v>0.22279355811668999</v>
      </c>
      <c r="AK47">
        <v>2029</v>
      </c>
      <c r="AL47" t="s">
        <v>256</v>
      </c>
      <c r="AM47">
        <v>0.32255</v>
      </c>
      <c r="AN47" t="s">
        <v>253</v>
      </c>
    </row>
    <row r="48" spans="9:40" x14ac:dyDescent="0.45">
      <c r="I48" t="s">
        <v>162</v>
      </c>
      <c r="J48" t="s">
        <v>287</v>
      </c>
      <c r="K48">
        <v>1.6479583257723647E-2</v>
      </c>
      <c r="L48" t="s">
        <v>164</v>
      </c>
      <c r="N48" t="s">
        <v>208</v>
      </c>
      <c r="O48" t="s">
        <v>287</v>
      </c>
      <c r="P48">
        <v>7.8498394759437921E-3</v>
      </c>
      <c r="Q48" t="s">
        <v>164</v>
      </c>
      <c r="S48" t="s">
        <v>228</v>
      </c>
      <c r="T48" t="s">
        <v>287</v>
      </c>
      <c r="U48">
        <v>4.0312838750887481E-3</v>
      </c>
      <c r="V48" t="s">
        <v>164</v>
      </c>
      <c r="X48">
        <v>6.9634703196347035E-3</v>
      </c>
      <c r="Y48">
        <v>8.8161831124812517E-3</v>
      </c>
      <c r="Z48" t="s">
        <v>287</v>
      </c>
      <c r="AA48" t="s">
        <v>25</v>
      </c>
      <c r="AC48" t="s">
        <v>22</v>
      </c>
      <c r="AD48" t="s">
        <v>287</v>
      </c>
      <c r="AE48">
        <v>5.5516092124967623E-3</v>
      </c>
      <c r="AG48" t="s">
        <v>96</v>
      </c>
      <c r="AH48" t="s">
        <v>287</v>
      </c>
      <c r="AI48">
        <v>6.8326749452189084E-2</v>
      </c>
      <c r="AK48">
        <v>2029</v>
      </c>
      <c r="AL48" t="s">
        <v>258</v>
      </c>
      <c r="AM48">
        <v>0.40075</v>
      </c>
      <c r="AN48" t="s">
        <v>253</v>
      </c>
    </row>
    <row r="49" spans="9:40" x14ac:dyDescent="0.45">
      <c r="I49" t="s">
        <v>162</v>
      </c>
      <c r="J49" t="s">
        <v>288</v>
      </c>
      <c r="K49">
        <v>1.8967373467623217E-2</v>
      </c>
      <c r="L49" t="s">
        <v>164</v>
      </c>
      <c r="N49" t="s">
        <v>208</v>
      </c>
      <c r="O49" t="s">
        <v>288</v>
      </c>
      <c r="P49">
        <v>7.3158189008897517E-3</v>
      </c>
      <c r="Q49" t="s">
        <v>164</v>
      </c>
      <c r="S49" t="s">
        <v>228</v>
      </c>
      <c r="T49" t="s">
        <v>288</v>
      </c>
      <c r="U49">
        <v>3.9908085788140776E-3</v>
      </c>
      <c r="V49" t="s">
        <v>164</v>
      </c>
      <c r="X49">
        <v>6.9634703196347035E-3</v>
      </c>
      <c r="Y49">
        <v>8.593756474322322E-3</v>
      </c>
      <c r="Z49" t="s">
        <v>288</v>
      </c>
      <c r="AA49" t="s">
        <v>25</v>
      </c>
      <c r="AC49" t="s">
        <v>22</v>
      </c>
      <c r="AD49" t="s">
        <v>288</v>
      </c>
      <c r="AE49">
        <v>5.7838345710088061E-3</v>
      </c>
      <c r="AG49" t="s">
        <v>96</v>
      </c>
      <c r="AH49" t="s">
        <v>288</v>
      </c>
      <c r="AI49">
        <v>5.253027407447175E-2</v>
      </c>
      <c r="AK49">
        <v>2029</v>
      </c>
      <c r="AL49" t="s">
        <v>260</v>
      </c>
      <c r="AM49">
        <v>0.42704999999999999</v>
      </c>
      <c r="AN49" t="s">
        <v>253</v>
      </c>
    </row>
    <row r="50" spans="9:40" x14ac:dyDescent="0.45">
      <c r="I50" t="s">
        <v>162</v>
      </c>
      <c r="J50" t="s">
        <v>289</v>
      </c>
      <c r="K50">
        <v>0.11217758819831498</v>
      </c>
      <c r="L50" t="s">
        <v>164</v>
      </c>
      <c r="N50" t="s">
        <v>208</v>
      </c>
      <c r="O50" t="s">
        <v>289</v>
      </c>
      <c r="P50">
        <v>2.1787833218649761E-2</v>
      </c>
      <c r="Q50" t="s">
        <v>164</v>
      </c>
      <c r="S50" t="s">
        <v>228</v>
      </c>
      <c r="T50" t="s">
        <v>289</v>
      </c>
      <c r="U50">
        <v>2.6608199640450147E-2</v>
      </c>
      <c r="V50" t="s">
        <v>164</v>
      </c>
      <c r="X50">
        <v>4.1780821917808221E-2</v>
      </c>
      <c r="Y50">
        <v>5.9590118423124429E-2</v>
      </c>
      <c r="Z50" t="s">
        <v>289</v>
      </c>
      <c r="AA50" t="s">
        <v>25</v>
      </c>
      <c r="AC50" t="s">
        <v>22</v>
      </c>
      <c r="AD50" t="s">
        <v>289</v>
      </c>
      <c r="AE50">
        <v>4.2409301389792618E-2</v>
      </c>
      <c r="AG50" t="s">
        <v>96</v>
      </c>
      <c r="AH50" t="s">
        <v>289</v>
      </c>
      <c r="AI50">
        <v>0.27409464740627443</v>
      </c>
      <c r="AK50">
        <v>2029</v>
      </c>
      <c r="AL50" t="s">
        <v>261</v>
      </c>
      <c r="AM50">
        <v>0.43090000000000001</v>
      </c>
      <c r="AN50" t="s">
        <v>253</v>
      </c>
    </row>
    <row r="51" spans="9:40" x14ac:dyDescent="0.45">
      <c r="I51" t="s">
        <v>162</v>
      </c>
      <c r="J51" t="s">
        <v>290</v>
      </c>
      <c r="K51">
        <v>9.6144957397344272E-3</v>
      </c>
      <c r="L51" t="s">
        <v>164</v>
      </c>
      <c r="N51" t="s">
        <v>208</v>
      </c>
      <c r="O51" t="s">
        <v>290</v>
      </c>
      <c r="P51">
        <v>2.6027325555135271E-3</v>
      </c>
      <c r="Q51" t="s">
        <v>164</v>
      </c>
      <c r="S51" t="s">
        <v>228</v>
      </c>
      <c r="T51" t="s">
        <v>290</v>
      </c>
      <c r="U51">
        <v>5.245581935013492E-3</v>
      </c>
      <c r="V51" t="s">
        <v>164</v>
      </c>
      <c r="X51">
        <v>6.9634703196347035E-3</v>
      </c>
      <c r="Y51">
        <v>1.354780432422577E-2</v>
      </c>
      <c r="Z51" t="s">
        <v>290</v>
      </c>
      <c r="AA51" t="s">
        <v>25</v>
      </c>
      <c r="AC51" t="s">
        <v>22</v>
      </c>
      <c r="AD51" t="s">
        <v>290</v>
      </c>
      <c r="AE51">
        <v>7.8968742782413431E-3</v>
      </c>
      <c r="AG51" t="s">
        <v>96</v>
      </c>
      <c r="AH51" t="s">
        <v>290</v>
      </c>
      <c r="AI51">
        <v>0.18328558764521996</v>
      </c>
      <c r="AK51">
        <v>2030</v>
      </c>
      <c r="AL51" t="s">
        <v>152</v>
      </c>
      <c r="AM51">
        <v>0.41760000000000003</v>
      </c>
      <c r="AN51" t="s">
        <v>253</v>
      </c>
    </row>
    <row r="52" spans="9:40" x14ac:dyDescent="0.45">
      <c r="I52" t="s">
        <v>162</v>
      </c>
      <c r="J52" t="s">
        <v>291</v>
      </c>
      <c r="K52">
        <v>5.6703649862663722E-3</v>
      </c>
      <c r="L52" t="s">
        <v>164</v>
      </c>
      <c r="N52" t="s">
        <v>208</v>
      </c>
      <c r="O52" t="s">
        <v>291</v>
      </c>
      <c r="P52">
        <v>2.445821868009981E-2</v>
      </c>
      <c r="Q52" t="s">
        <v>164</v>
      </c>
      <c r="S52" t="s">
        <v>228</v>
      </c>
      <c r="T52" t="s">
        <v>291</v>
      </c>
      <c r="U52">
        <v>3.390890667138402E-2</v>
      </c>
      <c r="V52" t="s">
        <v>164</v>
      </c>
      <c r="X52">
        <v>4.1780821917808221E-2</v>
      </c>
      <c r="Y52">
        <v>3.6801498313568527E-2</v>
      </c>
      <c r="Z52" t="s">
        <v>291</v>
      </c>
      <c r="AA52" t="s">
        <v>25</v>
      </c>
      <c r="AC52" t="s">
        <v>22</v>
      </c>
      <c r="AD52" t="s">
        <v>291</v>
      </c>
      <c r="AE52">
        <v>4.6986141669887446E-2</v>
      </c>
      <c r="AG52" t="s">
        <v>96</v>
      </c>
      <c r="AH52" t="s">
        <v>291</v>
      </c>
      <c r="AI52">
        <v>0.19162242179513012</v>
      </c>
      <c r="AK52">
        <v>2030</v>
      </c>
      <c r="AL52" t="s">
        <v>156</v>
      </c>
      <c r="AM52">
        <v>0.42899999999999999</v>
      </c>
      <c r="AN52" t="s">
        <v>253</v>
      </c>
    </row>
    <row r="53" spans="9:40" x14ac:dyDescent="0.45">
      <c r="I53" t="s">
        <v>162</v>
      </c>
      <c r="J53" t="s">
        <v>292</v>
      </c>
      <c r="K53">
        <v>6.5594074643759706E-3</v>
      </c>
      <c r="L53" t="s">
        <v>164</v>
      </c>
      <c r="N53" t="s">
        <v>208</v>
      </c>
      <c r="O53" t="s">
        <v>292</v>
      </c>
      <c r="P53">
        <v>0.10291937765920516</v>
      </c>
      <c r="Q53" t="s">
        <v>164</v>
      </c>
      <c r="S53" t="s">
        <v>228</v>
      </c>
      <c r="T53" t="s">
        <v>292</v>
      </c>
      <c r="U53">
        <v>2.9637496825420488E-2</v>
      </c>
      <c r="V53" t="s">
        <v>164</v>
      </c>
      <c r="X53">
        <v>3.1849315068493152E-2</v>
      </c>
      <c r="Y53">
        <v>2.021297930702998E-2</v>
      </c>
      <c r="Z53" t="s">
        <v>292</v>
      </c>
      <c r="AA53" t="s">
        <v>25</v>
      </c>
      <c r="AC53" t="s">
        <v>22</v>
      </c>
      <c r="AD53" t="s">
        <v>292</v>
      </c>
      <c r="AE53">
        <v>2.7468412026478938E-2</v>
      </c>
      <c r="AG53" t="s">
        <v>96</v>
      </c>
      <c r="AH53" t="s">
        <v>292</v>
      </c>
      <c r="AI53">
        <v>0.19295847824088197</v>
      </c>
      <c r="AK53">
        <v>2030</v>
      </c>
      <c r="AL53" t="s">
        <v>158</v>
      </c>
      <c r="AM53">
        <v>0.36009999999999998</v>
      </c>
      <c r="AN53" t="s">
        <v>253</v>
      </c>
    </row>
    <row r="54" spans="9:40" x14ac:dyDescent="0.45">
      <c r="I54" t="s">
        <v>162</v>
      </c>
      <c r="J54" t="s">
        <v>293</v>
      </c>
      <c r="K54">
        <v>7.0398904143797137E-3</v>
      </c>
      <c r="L54" t="s">
        <v>164</v>
      </c>
      <c r="N54" t="s">
        <v>208</v>
      </c>
      <c r="O54" t="s">
        <v>293</v>
      </c>
      <c r="P54">
        <v>1.5608583060983781E-2</v>
      </c>
      <c r="Q54" t="s">
        <v>164</v>
      </c>
      <c r="S54" t="s">
        <v>228</v>
      </c>
      <c r="T54" t="s">
        <v>293</v>
      </c>
      <c r="U54">
        <v>3.0690172490631155E-3</v>
      </c>
      <c r="V54" t="s">
        <v>164</v>
      </c>
      <c r="X54">
        <v>3.5388127853881279E-3</v>
      </c>
      <c r="Y54">
        <v>4.4803553522445696E-3</v>
      </c>
      <c r="Z54" t="s">
        <v>293</v>
      </c>
      <c r="AA54" t="s">
        <v>25</v>
      </c>
      <c r="AC54" t="s">
        <v>22</v>
      </c>
      <c r="AD54" t="s">
        <v>293</v>
      </c>
      <c r="AE54">
        <v>2.560279922914369E-3</v>
      </c>
      <c r="AG54" t="s">
        <v>96</v>
      </c>
      <c r="AH54" t="s">
        <v>293</v>
      </c>
      <c r="AI54">
        <v>9.9942598069737709E-3</v>
      </c>
      <c r="AK54">
        <v>2030</v>
      </c>
      <c r="AL54" t="s">
        <v>160</v>
      </c>
      <c r="AM54">
        <v>0.33604999999999996</v>
      </c>
      <c r="AN54" t="s">
        <v>253</v>
      </c>
    </row>
    <row r="55" spans="9:40" x14ac:dyDescent="0.45">
      <c r="I55" t="s">
        <v>162</v>
      </c>
      <c r="J55" t="s">
        <v>294</v>
      </c>
      <c r="K55">
        <v>8.2098508446322195E-3</v>
      </c>
      <c r="L55" t="s">
        <v>164</v>
      </c>
      <c r="N55" t="s">
        <v>208</v>
      </c>
      <c r="O55" t="s">
        <v>294</v>
      </c>
      <c r="P55">
        <v>1.5686863748989813E-2</v>
      </c>
      <c r="Q55" t="s">
        <v>164</v>
      </c>
      <c r="S55" t="s">
        <v>228</v>
      </c>
      <c r="T55" t="s">
        <v>294</v>
      </c>
      <c r="U55">
        <v>3.1497384376022713E-3</v>
      </c>
      <c r="V55" t="s">
        <v>164</v>
      </c>
      <c r="X55">
        <v>3.5388127853881279E-3</v>
      </c>
      <c r="Y55">
        <v>4.3673188639998693E-3</v>
      </c>
      <c r="Z55" t="s">
        <v>294</v>
      </c>
      <c r="AA55" t="s">
        <v>25</v>
      </c>
      <c r="AC55" t="s">
        <v>22</v>
      </c>
      <c r="AD55" t="s">
        <v>294</v>
      </c>
      <c r="AE55">
        <v>2.7537615718870299E-3</v>
      </c>
      <c r="AG55" t="s">
        <v>96</v>
      </c>
      <c r="AH55" t="s">
        <v>294</v>
      </c>
      <c r="AI55">
        <v>1.2782449010030117E-2</v>
      </c>
      <c r="AK55">
        <v>2030</v>
      </c>
      <c r="AL55" t="s">
        <v>256</v>
      </c>
      <c r="AM55">
        <v>0.3291</v>
      </c>
      <c r="AN55" t="s">
        <v>253</v>
      </c>
    </row>
    <row r="56" spans="9:40" x14ac:dyDescent="0.45">
      <c r="I56" t="s">
        <v>162</v>
      </c>
      <c r="J56" t="s">
        <v>295</v>
      </c>
      <c r="K56">
        <v>5.1849173361273926E-2</v>
      </c>
      <c r="L56" t="s">
        <v>164</v>
      </c>
      <c r="N56" t="s">
        <v>208</v>
      </c>
      <c r="O56" t="s">
        <v>295</v>
      </c>
      <c r="P56">
        <v>5.874907186899312E-2</v>
      </c>
      <c r="Q56" t="s">
        <v>164</v>
      </c>
      <c r="S56" t="s">
        <v>228</v>
      </c>
      <c r="T56" t="s">
        <v>295</v>
      </c>
      <c r="U56">
        <v>2.1110457483397831E-2</v>
      </c>
      <c r="V56" t="s">
        <v>164</v>
      </c>
      <c r="X56">
        <v>2.1232876712328767E-2</v>
      </c>
      <c r="Y56">
        <v>3.0283502805194377E-2</v>
      </c>
      <c r="Z56" t="s">
        <v>295</v>
      </c>
      <c r="AA56" t="s">
        <v>25</v>
      </c>
      <c r="AC56" t="s">
        <v>22</v>
      </c>
      <c r="AD56" t="s">
        <v>295</v>
      </c>
      <c r="AE56">
        <v>1.8979769144276844E-2</v>
      </c>
      <c r="AG56" t="s">
        <v>96</v>
      </c>
      <c r="AH56" t="s">
        <v>295</v>
      </c>
      <c r="AI56">
        <v>0.13936626592683932</v>
      </c>
      <c r="AK56">
        <v>2030</v>
      </c>
      <c r="AL56" t="s">
        <v>258</v>
      </c>
      <c r="AM56">
        <v>0.38234999999999997</v>
      </c>
      <c r="AN56" t="s">
        <v>253</v>
      </c>
    </row>
    <row r="57" spans="9:40" x14ac:dyDescent="0.45">
      <c r="I57" t="s">
        <v>162</v>
      </c>
      <c r="J57" t="s">
        <v>296</v>
      </c>
      <c r="K57">
        <v>5.7147667757015339E-3</v>
      </c>
      <c r="L57" t="s">
        <v>164</v>
      </c>
      <c r="N57" t="s">
        <v>208</v>
      </c>
      <c r="O57" t="s">
        <v>296</v>
      </c>
      <c r="P57">
        <v>5.3949447412038002E-3</v>
      </c>
      <c r="Q57" t="s">
        <v>164</v>
      </c>
      <c r="S57" t="s">
        <v>228</v>
      </c>
      <c r="T57" t="s">
        <v>296</v>
      </c>
      <c r="U57">
        <v>3.7066444269334268E-3</v>
      </c>
      <c r="V57" t="s">
        <v>164</v>
      </c>
      <c r="X57">
        <v>3.5388127853881279E-3</v>
      </c>
      <c r="Y57">
        <v>6.8849497385409693E-3</v>
      </c>
      <c r="Z57" t="s">
        <v>296</v>
      </c>
      <c r="AA57" t="s">
        <v>25</v>
      </c>
      <c r="AC57" t="s">
        <v>22</v>
      </c>
      <c r="AD57" t="s">
        <v>296</v>
      </c>
      <c r="AE57">
        <v>3.2016724507086458E-3</v>
      </c>
      <c r="AG57" t="s">
        <v>96</v>
      </c>
      <c r="AH57" t="s">
        <v>296</v>
      </c>
      <c r="AI57">
        <v>4.3870830677714023E-2</v>
      </c>
      <c r="AK57">
        <v>2030</v>
      </c>
      <c r="AL57" t="s">
        <v>260</v>
      </c>
      <c r="AM57">
        <v>0.41949999999999998</v>
      </c>
      <c r="AN57" t="s">
        <v>253</v>
      </c>
    </row>
    <row r="58" spans="9:40" x14ac:dyDescent="0.45">
      <c r="I58" t="s">
        <v>162</v>
      </c>
      <c r="J58" t="s">
        <v>297</v>
      </c>
      <c r="K58">
        <v>3.9385718305000187E-3</v>
      </c>
      <c r="L58" t="s">
        <v>164</v>
      </c>
      <c r="N58" t="s">
        <v>208</v>
      </c>
      <c r="O58" t="s">
        <v>297</v>
      </c>
      <c r="P58">
        <v>4.6765715215168334E-2</v>
      </c>
      <c r="Q58" t="s">
        <v>164</v>
      </c>
      <c r="S58" t="s">
        <v>228</v>
      </c>
      <c r="T58" t="s">
        <v>297</v>
      </c>
      <c r="U58">
        <v>2.3230995390306538E-2</v>
      </c>
      <c r="V58" t="s">
        <v>164</v>
      </c>
      <c r="X58">
        <v>2.1232876712328767E-2</v>
      </c>
      <c r="Y58">
        <v>1.8702400782305319E-2</v>
      </c>
      <c r="Z58" t="s">
        <v>297</v>
      </c>
      <c r="AA58" t="s">
        <v>25</v>
      </c>
      <c r="AC58" t="s">
        <v>22</v>
      </c>
      <c r="AD58" t="s">
        <v>297</v>
      </c>
      <c r="AE58">
        <v>1.9749377722511764E-2</v>
      </c>
      <c r="AG58" t="s">
        <v>96</v>
      </c>
      <c r="AH58" t="s">
        <v>297</v>
      </c>
      <c r="AI58">
        <v>0.13433140114400532</v>
      </c>
      <c r="AK58">
        <v>2030</v>
      </c>
      <c r="AL58" t="s">
        <v>261</v>
      </c>
      <c r="AM58">
        <v>0.47099999999999997</v>
      </c>
      <c r="AN58" t="s">
        <v>253</v>
      </c>
    </row>
    <row r="59" spans="9:40" x14ac:dyDescent="0.45">
      <c r="I59" t="s">
        <v>176</v>
      </c>
      <c r="J59" t="s">
        <v>163</v>
      </c>
      <c r="K59">
        <v>7.6951795823193636E-3</v>
      </c>
      <c r="L59" t="s">
        <v>164</v>
      </c>
      <c r="N59" t="s">
        <v>209</v>
      </c>
      <c r="O59" t="s">
        <v>163</v>
      </c>
      <c r="P59">
        <v>0.11589491062147277</v>
      </c>
      <c r="Q59" t="s">
        <v>164</v>
      </c>
      <c r="S59" t="s">
        <v>229</v>
      </c>
      <c r="T59" t="s">
        <v>163</v>
      </c>
      <c r="U59">
        <v>2.6564371272167032E-2</v>
      </c>
      <c r="V59" t="s">
        <v>164</v>
      </c>
      <c r="AC59" t="s">
        <v>19</v>
      </c>
      <c r="AD59" t="s">
        <v>163</v>
      </c>
      <c r="AE59">
        <v>3.1788888074463367E-2</v>
      </c>
      <c r="AK59">
        <v>2031</v>
      </c>
      <c r="AL59" t="s">
        <v>152</v>
      </c>
      <c r="AM59">
        <v>0.4597</v>
      </c>
      <c r="AN59" t="s">
        <v>253</v>
      </c>
    </row>
    <row r="60" spans="9:40" x14ac:dyDescent="0.45">
      <c r="I60" t="s">
        <v>176</v>
      </c>
      <c r="J60" t="s">
        <v>165</v>
      </c>
      <c r="K60">
        <v>8.5961323517371388E-3</v>
      </c>
      <c r="L60" t="s">
        <v>164</v>
      </c>
      <c r="N60" t="s">
        <v>209</v>
      </c>
      <c r="O60" t="s">
        <v>165</v>
      </c>
      <c r="P60">
        <v>1.7430614237612493E-2</v>
      </c>
      <c r="Q60" t="s">
        <v>164</v>
      </c>
      <c r="S60" t="s">
        <v>229</v>
      </c>
      <c r="T60" t="s">
        <v>165</v>
      </c>
      <c r="U60">
        <v>3.9816619679711E-3</v>
      </c>
      <c r="V60" t="s">
        <v>164</v>
      </c>
      <c r="AC60" t="s">
        <v>19</v>
      </c>
      <c r="AD60" t="s">
        <v>165</v>
      </c>
      <c r="AE60">
        <v>3.4984952424943257E-3</v>
      </c>
      <c r="AK60">
        <v>2031</v>
      </c>
      <c r="AL60" t="s">
        <v>156</v>
      </c>
      <c r="AM60">
        <v>0.43919999999999998</v>
      </c>
      <c r="AN60" t="s">
        <v>253</v>
      </c>
    </row>
    <row r="61" spans="9:40" x14ac:dyDescent="0.45">
      <c r="I61" t="s">
        <v>176</v>
      </c>
      <c r="J61" t="s">
        <v>166</v>
      </c>
      <c r="K61">
        <v>9.6097220497645495E-3</v>
      </c>
      <c r="L61" t="s">
        <v>164</v>
      </c>
      <c r="N61" t="s">
        <v>209</v>
      </c>
      <c r="O61" t="s">
        <v>166</v>
      </c>
      <c r="P61">
        <v>1.5532995064289706E-2</v>
      </c>
      <c r="Q61" t="s">
        <v>164</v>
      </c>
      <c r="S61" t="s">
        <v>229</v>
      </c>
      <c r="T61" t="s">
        <v>166</v>
      </c>
      <c r="U61">
        <v>4.6630068078443252E-3</v>
      </c>
      <c r="V61" t="s">
        <v>164</v>
      </c>
      <c r="AC61" t="s">
        <v>19</v>
      </c>
      <c r="AD61" t="s">
        <v>166</v>
      </c>
      <c r="AE61">
        <v>3.510793910295081E-3</v>
      </c>
      <c r="AK61">
        <v>2031</v>
      </c>
      <c r="AL61" t="s">
        <v>158</v>
      </c>
      <c r="AM61">
        <v>0.36919999999999997</v>
      </c>
      <c r="AN61" t="s">
        <v>253</v>
      </c>
    </row>
    <row r="62" spans="9:40" x14ac:dyDescent="0.45">
      <c r="I62" t="s">
        <v>176</v>
      </c>
      <c r="J62" t="s">
        <v>262</v>
      </c>
      <c r="K62">
        <v>5.7161807734479167E-2</v>
      </c>
      <c r="L62" t="s">
        <v>164</v>
      </c>
      <c r="N62" t="s">
        <v>209</v>
      </c>
      <c r="O62" t="s">
        <v>262</v>
      </c>
      <c r="P62">
        <v>5.746312957494689E-2</v>
      </c>
      <c r="Q62" t="s">
        <v>164</v>
      </c>
      <c r="S62" t="s">
        <v>229</v>
      </c>
      <c r="T62" t="s">
        <v>262</v>
      </c>
      <c r="U62">
        <v>3.6701047818197205E-2</v>
      </c>
      <c r="V62" t="s">
        <v>164</v>
      </c>
      <c r="AC62" t="s">
        <v>19</v>
      </c>
      <c r="AD62" t="s">
        <v>262</v>
      </c>
      <c r="AE62">
        <v>2.1241933966547149E-2</v>
      </c>
      <c r="AK62">
        <v>2031</v>
      </c>
      <c r="AL62" t="s">
        <v>160</v>
      </c>
      <c r="AM62">
        <v>0.34155000000000002</v>
      </c>
      <c r="AN62" t="s">
        <v>253</v>
      </c>
    </row>
    <row r="63" spans="9:40" x14ac:dyDescent="0.45">
      <c r="I63" t="s">
        <v>176</v>
      </c>
      <c r="J63" t="s">
        <v>263</v>
      </c>
      <c r="K63">
        <v>6.5795907871162244E-3</v>
      </c>
      <c r="L63" t="s">
        <v>164</v>
      </c>
      <c r="N63" t="s">
        <v>209</v>
      </c>
      <c r="O63" t="s">
        <v>263</v>
      </c>
      <c r="P63">
        <v>7.0044883419279405E-3</v>
      </c>
      <c r="Q63" t="s">
        <v>164</v>
      </c>
      <c r="S63" t="s">
        <v>229</v>
      </c>
      <c r="T63" t="s">
        <v>263</v>
      </c>
      <c r="U63">
        <v>5.7956585560684556E-3</v>
      </c>
      <c r="V63" t="s">
        <v>164</v>
      </c>
      <c r="AC63" t="s">
        <v>19</v>
      </c>
      <c r="AD63" t="s">
        <v>263</v>
      </c>
      <c r="AE63">
        <v>3.542328992183139E-3</v>
      </c>
      <c r="AK63">
        <v>2031</v>
      </c>
      <c r="AL63" t="s">
        <v>256</v>
      </c>
      <c r="AM63">
        <v>0.30835000000000001</v>
      </c>
      <c r="AN63" t="s">
        <v>253</v>
      </c>
    </row>
    <row r="64" spans="9:40" x14ac:dyDescent="0.45">
      <c r="I64" t="s">
        <v>176</v>
      </c>
      <c r="J64" t="s">
        <v>264</v>
      </c>
      <c r="K64">
        <v>4.8033031516635542E-3</v>
      </c>
      <c r="L64" t="s">
        <v>164</v>
      </c>
      <c r="N64" t="s">
        <v>209</v>
      </c>
      <c r="O64" t="s">
        <v>264</v>
      </c>
      <c r="P64">
        <v>4.9348777982148151E-2</v>
      </c>
      <c r="Q64" t="s">
        <v>164</v>
      </c>
      <c r="S64" t="s">
        <v>229</v>
      </c>
      <c r="T64" t="s">
        <v>264</v>
      </c>
      <c r="U64">
        <v>3.0605785833518005E-2</v>
      </c>
      <c r="V64" t="s">
        <v>164</v>
      </c>
      <c r="AC64" t="s">
        <v>19</v>
      </c>
      <c r="AD64" t="s">
        <v>264</v>
      </c>
      <c r="AE64">
        <v>2.1289630265487795E-2</v>
      </c>
      <c r="AK64">
        <v>2031</v>
      </c>
      <c r="AL64" t="s">
        <v>258</v>
      </c>
      <c r="AM64">
        <v>0.36895</v>
      </c>
      <c r="AN64" t="s">
        <v>253</v>
      </c>
    </row>
    <row r="65" spans="9:40" x14ac:dyDescent="0.45">
      <c r="I65" t="s">
        <v>176</v>
      </c>
      <c r="J65" t="s">
        <v>167</v>
      </c>
      <c r="K65">
        <v>3.3955568093483983E-3</v>
      </c>
      <c r="L65" t="s">
        <v>164</v>
      </c>
      <c r="N65" t="s">
        <v>209</v>
      </c>
      <c r="O65" t="s">
        <v>167</v>
      </c>
      <c r="P65">
        <v>8.8628110156261847E-2</v>
      </c>
      <c r="Q65" t="s">
        <v>164</v>
      </c>
      <c r="S65" t="s">
        <v>229</v>
      </c>
      <c r="T65" t="s">
        <v>167</v>
      </c>
      <c r="U65">
        <v>2.4841465788470022E-2</v>
      </c>
      <c r="V65" t="s">
        <v>164</v>
      </c>
      <c r="AC65" t="s">
        <v>19</v>
      </c>
      <c r="AD65" t="s">
        <v>167</v>
      </c>
      <c r="AE65">
        <v>2.8719566218674986E-2</v>
      </c>
      <c r="AK65">
        <v>2031</v>
      </c>
      <c r="AL65" t="s">
        <v>260</v>
      </c>
      <c r="AM65">
        <v>0.43320000000000003</v>
      </c>
      <c r="AN65" t="s">
        <v>253</v>
      </c>
    </row>
    <row r="66" spans="9:40" x14ac:dyDescent="0.45">
      <c r="I66" t="s">
        <v>176</v>
      </c>
      <c r="J66" t="s">
        <v>168</v>
      </c>
      <c r="K66">
        <v>4.6262340218663819E-3</v>
      </c>
      <c r="L66" t="s">
        <v>164</v>
      </c>
      <c r="N66" t="s">
        <v>209</v>
      </c>
      <c r="O66" t="s">
        <v>168</v>
      </c>
      <c r="P66">
        <v>1.3628962681672593E-2</v>
      </c>
      <c r="Q66" t="s">
        <v>164</v>
      </c>
      <c r="S66" t="s">
        <v>229</v>
      </c>
      <c r="T66" t="s">
        <v>168</v>
      </c>
      <c r="U66">
        <v>4.0297929498732754E-3</v>
      </c>
      <c r="V66" t="s">
        <v>164</v>
      </c>
      <c r="AC66" t="s">
        <v>19</v>
      </c>
      <c r="AD66" t="s">
        <v>168</v>
      </c>
      <c r="AE66">
        <v>3.1615819677376193E-3</v>
      </c>
      <c r="AK66">
        <v>2031</v>
      </c>
      <c r="AL66" t="s">
        <v>261</v>
      </c>
      <c r="AM66">
        <v>0.4607</v>
      </c>
      <c r="AN66" t="s">
        <v>253</v>
      </c>
    </row>
    <row r="67" spans="9:40" x14ac:dyDescent="0.45">
      <c r="I67" t="s">
        <v>176</v>
      </c>
      <c r="J67" t="s">
        <v>169</v>
      </c>
      <c r="K67">
        <v>6.2198255138386973E-3</v>
      </c>
      <c r="L67" t="s">
        <v>164</v>
      </c>
      <c r="N67" t="s">
        <v>209</v>
      </c>
      <c r="O67" t="s">
        <v>169</v>
      </c>
      <c r="P67">
        <v>1.2036085878184428E-2</v>
      </c>
      <c r="Q67" t="s">
        <v>164</v>
      </c>
      <c r="S67" t="s">
        <v>229</v>
      </c>
      <c r="T67" t="s">
        <v>169</v>
      </c>
      <c r="U67">
        <v>4.4671589943488226E-3</v>
      </c>
      <c r="V67" t="s">
        <v>164</v>
      </c>
      <c r="AC67" t="s">
        <v>19</v>
      </c>
      <c r="AD67" t="s">
        <v>169</v>
      </c>
      <c r="AE67">
        <v>3.1731498256707823E-3</v>
      </c>
      <c r="AK67">
        <v>2032</v>
      </c>
      <c r="AL67" t="s">
        <v>152</v>
      </c>
      <c r="AM67">
        <v>0.39979999999999999</v>
      </c>
      <c r="AN67" t="s">
        <v>253</v>
      </c>
    </row>
    <row r="68" spans="9:40" x14ac:dyDescent="0.45">
      <c r="I68" t="s">
        <v>176</v>
      </c>
      <c r="J68" t="s">
        <v>265</v>
      </c>
      <c r="K68">
        <v>4.3822307671736865E-2</v>
      </c>
      <c r="L68" t="s">
        <v>164</v>
      </c>
      <c r="N68" t="s">
        <v>209</v>
      </c>
      <c r="O68" t="s">
        <v>265</v>
      </c>
      <c r="P68">
        <v>4.1706017313418865E-2</v>
      </c>
      <c r="Q68" t="s">
        <v>164</v>
      </c>
      <c r="S68" t="s">
        <v>229</v>
      </c>
      <c r="T68" t="s">
        <v>265</v>
      </c>
      <c r="U68">
        <v>3.3056126012523245E-2</v>
      </c>
      <c r="V68" t="s">
        <v>164</v>
      </c>
      <c r="AC68" t="s">
        <v>19</v>
      </c>
      <c r="AD68" t="s">
        <v>265</v>
      </c>
      <c r="AE68">
        <v>1.9183397875687878E-2</v>
      </c>
      <c r="AK68">
        <v>2032</v>
      </c>
      <c r="AL68" t="s">
        <v>156</v>
      </c>
      <c r="AM68">
        <v>0.45760000000000001</v>
      </c>
      <c r="AN68" t="s">
        <v>253</v>
      </c>
    </row>
    <row r="69" spans="9:40" x14ac:dyDescent="0.45">
      <c r="I69" t="s">
        <v>176</v>
      </c>
      <c r="J69" t="s">
        <v>266</v>
      </c>
      <c r="K69">
        <v>5.3246634421312781E-3</v>
      </c>
      <c r="L69" t="s">
        <v>164</v>
      </c>
      <c r="N69" t="s">
        <v>209</v>
      </c>
      <c r="O69" t="s">
        <v>266</v>
      </c>
      <c r="P69">
        <v>4.602426690967912E-3</v>
      </c>
      <c r="Q69" t="s">
        <v>164</v>
      </c>
      <c r="S69" t="s">
        <v>229</v>
      </c>
      <c r="T69" t="s">
        <v>266</v>
      </c>
      <c r="U69">
        <v>5.6053625823662273E-3</v>
      </c>
      <c r="V69" t="s">
        <v>164</v>
      </c>
      <c r="AC69" t="s">
        <v>19</v>
      </c>
      <c r="AD69" t="s">
        <v>266</v>
      </c>
      <c r="AE69">
        <v>3.19748282578827E-3</v>
      </c>
      <c r="AK69">
        <v>2032</v>
      </c>
      <c r="AL69" t="s">
        <v>158</v>
      </c>
      <c r="AM69">
        <v>0.37230000000000002</v>
      </c>
      <c r="AN69" t="s">
        <v>253</v>
      </c>
    </row>
    <row r="70" spans="9:40" x14ac:dyDescent="0.45">
      <c r="I70" t="s">
        <v>176</v>
      </c>
      <c r="J70" t="s">
        <v>267</v>
      </c>
      <c r="K70">
        <v>3.1674989071045251E-3</v>
      </c>
      <c r="L70" t="s">
        <v>164</v>
      </c>
      <c r="N70" t="s">
        <v>209</v>
      </c>
      <c r="O70" t="s">
        <v>267</v>
      </c>
      <c r="P70">
        <v>3.0892640700643015E-2</v>
      </c>
      <c r="Q70" t="s">
        <v>164</v>
      </c>
      <c r="S70" t="s">
        <v>229</v>
      </c>
      <c r="T70" t="s">
        <v>267</v>
      </c>
      <c r="U70">
        <v>2.7687213500036233E-2</v>
      </c>
      <c r="V70" t="s">
        <v>164</v>
      </c>
      <c r="AC70" t="s">
        <v>19</v>
      </c>
      <c r="AD70" t="s">
        <v>267</v>
      </c>
      <c r="AE70">
        <v>1.9216178302824193E-2</v>
      </c>
      <c r="AK70">
        <v>2032</v>
      </c>
      <c r="AL70" t="s">
        <v>160</v>
      </c>
      <c r="AM70">
        <v>0.33325000000000005</v>
      </c>
      <c r="AN70" t="s">
        <v>253</v>
      </c>
    </row>
    <row r="71" spans="9:40" x14ac:dyDescent="0.45">
      <c r="I71" t="s">
        <v>176</v>
      </c>
      <c r="J71" t="s">
        <v>170</v>
      </c>
      <c r="K71">
        <v>8.1139262254394662E-3</v>
      </c>
      <c r="L71" t="s">
        <v>164</v>
      </c>
      <c r="N71" t="s">
        <v>209</v>
      </c>
      <c r="O71" t="s">
        <v>170</v>
      </c>
      <c r="P71">
        <v>3.1968318135000659E-2</v>
      </c>
      <c r="Q71" t="s">
        <v>164</v>
      </c>
      <c r="S71" t="s">
        <v>229</v>
      </c>
      <c r="T71" t="s">
        <v>170</v>
      </c>
      <c r="U71">
        <v>2.8832990974661018E-2</v>
      </c>
      <c r="V71" t="s">
        <v>164</v>
      </c>
      <c r="AC71" t="s">
        <v>19</v>
      </c>
      <c r="AD71" t="s">
        <v>170</v>
      </c>
      <c r="AE71">
        <v>3.1774151945487328E-2</v>
      </c>
      <c r="AK71">
        <v>2032</v>
      </c>
      <c r="AL71" t="s">
        <v>256</v>
      </c>
      <c r="AM71">
        <v>0.32345000000000002</v>
      </c>
      <c r="AN71" t="s">
        <v>253</v>
      </c>
    </row>
    <row r="72" spans="9:40" x14ac:dyDescent="0.45">
      <c r="I72" t="s">
        <v>176</v>
      </c>
      <c r="J72" t="s">
        <v>171</v>
      </c>
      <c r="K72">
        <v>8.1388539697851599E-3</v>
      </c>
      <c r="L72" t="s">
        <v>164</v>
      </c>
      <c r="N72" t="s">
        <v>209</v>
      </c>
      <c r="O72" t="s">
        <v>171</v>
      </c>
      <c r="P72">
        <v>4.9474823113632473E-3</v>
      </c>
      <c r="Q72" t="s">
        <v>164</v>
      </c>
      <c r="S72" t="s">
        <v>229</v>
      </c>
      <c r="T72" t="s">
        <v>171</v>
      </c>
      <c r="U72">
        <v>4.3176967693126832E-3</v>
      </c>
      <c r="V72" t="s">
        <v>164</v>
      </c>
      <c r="AC72" t="s">
        <v>19</v>
      </c>
      <c r="AD72" t="s">
        <v>171</v>
      </c>
      <c r="AE72">
        <v>3.4976271849080061E-3</v>
      </c>
      <c r="AK72">
        <v>2032</v>
      </c>
      <c r="AL72" t="s">
        <v>258</v>
      </c>
      <c r="AM72">
        <v>0.35640000000000005</v>
      </c>
      <c r="AN72" t="s">
        <v>253</v>
      </c>
    </row>
    <row r="73" spans="9:40" x14ac:dyDescent="0.45">
      <c r="I73" t="s">
        <v>176</v>
      </c>
      <c r="J73" t="s">
        <v>172</v>
      </c>
      <c r="K73">
        <v>9.5093768343379476E-3</v>
      </c>
      <c r="L73" t="s">
        <v>164</v>
      </c>
      <c r="N73" t="s">
        <v>209</v>
      </c>
      <c r="O73" t="s">
        <v>172</v>
      </c>
      <c r="P73">
        <v>3.59450173726017E-3</v>
      </c>
      <c r="Q73" t="s">
        <v>164</v>
      </c>
      <c r="S73" t="s">
        <v>229</v>
      </c>
      <c r="T73" t="s">
        <v>172</v>
      </c>
      <c r="U73">
        <v>4.400943953927359E-3</v>
      </c>
      <c r="V73" t="s">
        <v>164</v>
      </c>
      <c r="AC73" t="s">
        <v>19</v>
      </c>
      <c r="AD73" t="s">
        <v>172</v>
      </c>
      <c r="AE73">
        <v>3.5094713935744652E-3</v>
      </c>
      <c r="AK73">
        <v>2032</v>
      </c>
      <c r="AL73" t="s">
        <v>260</v>
      </c>
      <c r="AM73">
        <v>0.45525000000000004</v>
      </c>
      <c r="AN73" t="s">
        <v>253</v>
      </c>
    </row>
    <row r="74" spans="9:40" x14ac:dyDescent="0.45">
      <c r="I74" t="s">
        <v>176</v>
      </c>
      <c r="J74" t="s">
        <v>268</v>
      </c>
      <c r="K74">
        <v>6.1344440865653584E-2</v>
      </c>
      <c r="L74" t="s">
        <v>164</v>
      </c>
      <c r="N74" t="s">
        <v>209</v>
      </c>
      <c r="O74" t="s">
        <v>268</v>
      </c>
      <c r="P74">
        <v>8.6656236312252985E-3</v>
      </c>
      <c r="Q74" t="s">
        <v>164</v>
      </c>
      <c r="S74" t="s">
        <v>229</v>
      </c>
      <c r="T74" t="s">
        <v>268</v>
      </c>
      <c r="U74">
        <v>3.4121827337709396E-2</v>
      </c>
      <c r="V74" t="s">
        <v>164</v>
      </c>
      <c r="AC74" t="s">
        <v>19</v>
      </c>
      <c r="AD74" t="s">
        <v>268</v>
      </c>
      <c r="AE74">
        <v>2.1230330681298114E-2</v>
      </c>
      <c r="AK74">
        <v>2032</v>
      </c>
      <c r="AL74" t="s">
        <v>261</v>
      </c>
      <c r="AM74">
        <v>0.41610000000000003</v>
      </c>
      <c r="AN74" t="s">
        <v>253</v>
      </c>
    </row>
    <row r="75" spans="9:40" x14ac:dyDescent="0.45">
      <c r="I75" t="s">
        <v>176</v>
      </c>
      <c r="J75" t="s">
        <v>269</v>
      </c>
      <c r="K75">
        <v>7.0336720470147631E-3</v>
      </c>
      <c r="L75" t="s">
        <v>164</v>
      </c>
      <c r="N75" t="s">
        <v>209</v>
      </c>
      <c r="O75" t="s">
        <v>269</v>
      </c>
      <c r="P75">
        <v>1.2174850157944954E-3</v>
      </c>
      <c r="Q75" t="s">
        <v>164</v>
      </c>
      <c r="S75" t="s">
        <v>229</v>
      </c>
      <c r="T75" t="s">
        <v>269</v>
      </c>
      <c r="U75">
        <v>5.9965173010892081E-3</v>
      </c>
      <c r="V75" t="s">
        <v>164</v>
      </c>
      <c r="AC75" t="s">
        <v>19</v>
      </c>
      <c r="AD75" t="s">
        <v>269</v>
      </c>
      <c r="AE75">
        <v>3.5487888230950806E-3</v>
      </c>
      <c r="AK75">
        <v>2033</v>
      </c>
      <c r="AL75" t="s">
        <v>152</v>
      </c>
      <c r="AM75">
        <v>0.45169999999999999</v>
      </c>
      <c r="AN75" t="s">
        <v>253</v>
      </c>
    </row>
    <row r="76" spans="9:40" x14ac:dyDescent="0.45">
      <c r="I76" t="s">
        <v>176</v>
      </c>
      <c r="J76" t="s">
        <v>270</v>
      </c>
      <c r="K76">
        <v>5.066233042870464E-3</v>
      </c>
      <c r="L76" t="s">
        <v>164</v>
      </c>
      <c r="N76" t="s">
        <v>209</v>
      </c>
      <c r="O76" t="s">
        <v>270</v>
      </c>
      <c r="P76">
        <v>1.9018137698618397E-2</v>
      </c>
      <c r="Q76" t="s">
        <v>164</v>
      </c>
      <c r="S76" t="s">
        <v>229</v>
      </c>
      <c r="T76" t="s">
        <v>270</v>
      </c>
      <c r="U76">
        <v>3.0862130283780757E-2</v>
      </c>
      <c r="V76" t="s">
        <v>164</v>
      </c>
      <c r="AC76" t="s">
        <v>19</v>
      </c>
      <c r="AD76" t="s">
        <v>270</v>
      </c>
      <c r="AE76">
        <v>2.1317993939999526E-2</v>
      </c>
      <c r="AK76">
        <v>2033</v>
      </c>
      <c r="AL76" t="s">
        <v>156</v>
      </c>
      <c r="AM76">
        <v>0.46450000000000002</v>
      </c>
      <c r="AN76" t="s">
        <v>253</v>
      </c>
    </row>
    <row r="77" spans="9:40" x14ac:dyDescent="0.45">
      <c r="I77" t="s">
        <v>176</v>
      </c>
      <c r="J77" t="s">
        <v>173</v>
      </c>
      <c r="K77">
        <v>1.1213258224018438E-2</v>
      </c>
      <c r="L77" t="s">
        <v>164</v>
      </c>
      <c r="N77" t="s">
        <v>209</v>
      </c>
      <c r="O77" t="s">
        <v>173</v>
      </c>
      <c r="P77">
        <v>2.7367723728768462E-2</v>
      </c>
      <c r="Q77" t="s">
        <v>164</v>
      </c>
      <c r="S77" t="s">
        <v>229</v>
      </c>
      <c r="T77" t="s">
        <v>173</v>
      </c>
      <c r="U77">
        <v>4.7264468755590552E-2</v>
      </c>
      <c r="V77" t="s">
        <v>164</v>
      </c>
      <c r="AC77" t="s">
        <v>19</v>
      </c>
      <c r="AD77" t="s">
        <v>173</v>
      </c>
      <c r="AE77">
        <v>6.2479781796464316E-2</v>
      </c>
      <c r="AK77">
        <v>2033</v>
      </c>
      <c r="AL77" t="s">
        <v>158</v>
      </c>
      <c r="AM77">
        <v>0.37490000000000001</v>
      </c>
      <c r="AN77" t="s">
        <v>253</v>
      </c>
    </row>
    <row r="78" spans="9:40" x14ac:dyDescent="0.45">
      <c r="I78" t="s">
        <v>176</v>
      </c>
      <c r="J78" t="s">
        <v>174</v>
      </c>
      <c r="K78">
        <v>1.1497376644670492E-2</v>
      </c>
      <c r="L78" t="s">
        <v>164</v>
      </c>
      <c r="N78" t="s">
        <v>209</v>
      </c>
      <c r="O78" t="s">
        <v>174</v>
      </c>
      <c r="P78">
        <v>4.101458649615578E-3</v>
      </c>
      <c r="Q78" t="s">
        <v>164</v>
      </c>
      <c r="S78" t="s">
        <v>229</v>
      </c>
      <c r="T78" t="s">
        <v>174</v>
      </c>
      <c r="U78">
        <v>6.312301228576598E-3</v>
      </c>
      <c r="V78" t="s">
        <v>164</v>
      </c>
      <c r="AC78" t="s">
        <v>19</v>
      </c>
      <c r="AD78" t="s">
        <v>174</v>
      </c>
      <c r="AE78">
        <v>6.8611927374019983E-3</v>
      </c>
      <c r="AK78">
        <v>2033</v>
      </c>
      <c r="AL78" t="s">
        <v>160</v>
      </c>
      <c r="AM78">
        <v>0.31684999999999997</v>
      </c>
      <c r="AN78" t="s">
        <v>253</v>
      </c>
    </row>
    <row r="79" spans="9:40" x14ac:dyDescent="0.45">
      <c r="I79" t="s">
        <v>176</v>
      </c>
      <c r="J79" t="s">
        <v>175</v>
      </c>
      <c r="K79">
        <v>1.4130024182693811E-2</v>
      </c>
      <c r="L79" t="s">
        <v>164</v>
      </c>
      <c r="N79" t="s">
        <v>209</v>
      </c>
      <c r="O79" t="s">
        <v>175</v>
      </c>
      <c r="P79">
        <v>3.2431949963643656E-3</v>
      </c>
      <c r="Q79" t="s">
        <v>164</v>
      </c>
      <c r="S79" t="s">
        <v>229</v>
      </c>
      <c r="T79" t="s">
        <v>175</v>
      </c>
      <c r="U79">
        <v>6.6418811870402952E-3</v>
      </c>
      <c r="V79" t="s">
        <v>164</v>
      </c>
      <c r="AC79" t="s">
        <v>19</v>
      </c>
      <c r="AD79" t="s">
        <v>175</v>
      </c>
      <c r="AE79">
        <v>6.8726983987506844E-3</v>
      </c>
      <c r="AK79">
        <v>2033</v>
      </c>
      <c r="AL79" t="s">
        <v>256</v>
      </c>
      <c r="AM79">
        <v>0.31359999999999999</v>
      </c>
      <c r="AN79" t="s">
        <v>253</v>
      </c>
    </row>
    <row r="80" spans="9:40" x14ac:dyDescent="0.45">
      <c r="I80" t="s">
        <v>176</v>
      </c>
      <c r="J80" t="s">
        <v>271</v>
      </c>
      <c r="K80">
        <v>9.3505375321196016E-2</v>
      </c>
      <c r="L80" t="s">
        <v>164</v>
      </c>
      <c r="N80" t="s">
        <v>209</v>
      </c>
      <c r="O80" t="s">
        <v>271</v>
      </c>
      <c r="P80">
        <v>8.8378800132319583E-3</v>
      </c>
      <c r="Q80" t="s">
        <v>164</v>
      </c>
      <c r="S80" t="s">
        <v>229</v>
      </c>
      <c r="T80" t="s">
        <v>271</v>
      </c>
      <c r="U80">
        <v>5.4191713002216396E-2</v>
      </c>
      <c r="V80" t="s">
        <v>164</v>
      </c>
      <c r="AC80" t="s">
        <v>19</v>
      </c>
      <c r="AD80" t="s">
        <v>271</v>
      </c>
      <c r="AE80">
        <v>4.1805460181066609E-2</v>
      </c>
      <c r="AK80">
        <v>2033</v>
      </c>
      <c r="AL80" t="s">
        <v>258</v>
      </c>
      <c r="AM80">
        <v>0.39044999999999996</v>
      </c>
      <c r="AN80" t="s">
        <v>253</v>
      </c>
    </row>
    <row r="81" spans="9:40" x14ac:dyDescent="0.45">
      <c r="I81" t="s">
        <v>176</v>
      </c>
      <c r="J81" t="s">
        <v>272</v>
      </c>
      <c r="K81">
        <v>7.9818386348956757E-3</v>
      </c>
      <c r="L81" t="s">
        <v>164</v>
      </c>
      <c r="N81" t="s">
        <v>209</v>
      </c>
      <c r="O81" t="s">
        <v>272</v>
      </c>
      <c r="P81">
        <v>1.2356598798133308E-3</v>
      </c>
      <c r="Q81" t="s">
        <v>164</v>
      </c>
      <c r="S81" t="s">
        <v>229</v>
      </c>
      <c r="T81" t="s">
        <v>272</v>
      </c>
      <c r="U81">
        <v>9.9179170172439546E-3</v>
      </c>
      <c r="V81" t="s">
        <v>164</v>
      </c>
      <c r="AC81" t="s">
        <v>19</v>
      </c>
      <c r="AD81" t="s">
        <v>272</v>
      </c>
      <c r="AE81">
        <v>7.0256899813123143E-3</v>
      </c>
      <c r="AK81">
        <v>2033</v>
      </c>
      <c r="AL81" t="s">
        <v>260</v>
      </c>
      <c r="AM81">
        <v>0.43969999999999998</v>
      </c>
      <c r="AN81" t="s">
        <v>253</v>
      </c>
    </row>
    <row r="82" spans="9:40" x14ac:dyDescent="0.45">
      <c r="I82" t="s">
        <v>176</v>
      </c>
      <c r="J82" t="s">
        <v>273</v>
      </c>
      <c r="K82">
        <v>4.8973593770441108E-3</v>
      </c>
      <c r="L82" t="s">
        <v>164</v>
      </c>
      <c r="N82" t="s">
        <v>209</v>
      </c>
      <c r="O82" t="s">
        <v>273</v>
      </c>
      <c r="P82">
        <v>1.665618697826849E-2</v>
      </c>
      <c r="Q82" t="s">
        <v>164</v>
      </c>
      <c r="S82" t="s">
        <v>229</v>
      </c>
      <c r="T82" t="s">
        <v>273</v>
      </c>
      <c r="U82">
        <v>4.9950365718742444E-2</v>
      </c>
      <c r="V82" t="s">
        <v>164</v>
      </c>
      <c r="AC82" t="s">
        <v>19</v>
      </c>
      <c r="AD82" t="s">
        <v>273</v>
      </c>
      <c r="AE82">
        <v>4.2125103977834769E-2</v>
      </c>
      <c r="AK82">
        <v>2033</v>
      </c>
      <c r="AL82" t="s">
        <v>261</v>
      </c>
      <c r="AM82">
        <v>0.46679999999999999</v>
      </c>
      <c r="AN82" t="s">
        <v>253</v>
      </c>
    </row>
    <row r="83" spans="9:40" x14ac:dyDescent="0.45">
      <c r="I83" t="s">
        <v>176</v>
      </c>
      <c r="J83" t="s">
        <v>274</v>
      </c>
      <c r="K83">
        <v>1.2281650904139164E-2</v>
      </c>
      <c r="L83" t="s">
        <v>164</v>
      </c>
      <c r="N83" t="s">
        <v>209</v>
      </c>
      <c r="O83" t="s">
        <v>274</v>
      </c>
      <c r="P83">
        <v>2.4418898767086281E-2</v>
      </c>
      <c r="Q83" t="s">
        <v>164</v>
      </c>
      <c r="S83" t="s">
        <v>229</v>
      </c>
      <c r="T83" t="s">
        <v>274</v>
      </c>
      <c r="U83">
        <v>5.4635527954793886E-2</v>
      </c>
      <c r="V83" t="s">
        <v>164</v>
      </c>
      <c r="AC83" t="s">
        <v>19</v>
      </c>
      <c r="AD83" t="s">
        <v>274</v>
      </c>
      <c r="AE83">
        <v>6.2459828469558762E-2</v>
      </c>
      <c r="AK83">
        <v>2034</v>
      </c>
      <c r="AL83" t="s">
        <v>152</v>
      </c>
      <c r="AM83">
        <v>0.46679999999999999</v>
      </c>
      <c r="AN83" t="s">
        <v>253</v>
      </c>
    </row>
    <row r="84" spans="9:40" x14ac:dyDescent="0.45">
      <c r="I84" t="s">
        <v>176</v>
      </c>
      <c r="J84" t="s">
        <v>275</v>
      </c>
      <c r="K84">
        <v>1.1580923507208863E-2</v>
      </c>
      <c r="L84" t="s">
        <v>164</v>
      </c>
      <c r="N84" t="s">
        <v>209</v>
      </c>
      <c r="O84" t="s">
        <v>275</v>
      </c>
      <c r="P84">
        <v>3.3804971765134116E-3</v>
      </c>
      <c r="Q84" t="s">
        <v>164</v>
      </c>
      <c r="S84" t="s">
        <v>229</v>
      </c>
      <c r="T84" t="s">
        <v>275</v>
      </c>
      <c r="U84">
        <v>7.5033833317221616E-3</v>
      </c>
      <c r="V84" t="s">
        <v>164</v>
      </c>
      <c r="AC84" t="s">
        <v>19</v>
      </c>
      <c r="AD84" t="s">
        <v>275</v>
      </c>
      <c r="AE84">
        <v>6.8552423353897803E-3</v>
      </c>
      <c r="AK84">
        <v>2034</v>
      </c>
      <c r="AL84" t="s">
        <v>156</v>
      </c>
      <c r="AM84">
        <v>0.4168</v>
      </c>
      <c r="AN84" t="s">
        <v>253</v>
      </c>
    </row>
    <row r="85" spans="9:40" x14ac:dyDescent="0.45">
      <c r="I85" t="s">
        <v>176</v>
      </c>
      <c r="J85" t="s">
        <v>276</v>
      </c>
      <c r="K85">
        <v>1.4475736960822539E-2</v>
      </c>
      <c r="L85" t="s">
        <v>164</v>
      </c>
      <c r="N85" t="s">
        <v>209</v>
      </c>
      <c r="O85" t="s">
        <v>276</v>
      </c>
      <c r="P85">
        <v>2.9450214423601493E-3</v>
      </c>
      <c r="Q85" t="s">
        <v>164</v>
      </c>
      <c r="S85" t="s">
        <v>229</v>
      </c>
      <c r="T85" t="s">
        <v>276</v>
      </c>
      <c r="U85">
        <v>8.5231845365330103E-3</v>
      </c>
      <c r="V85" t="s">
        <v>164</v>
      </c>
      <c r="AC85" t="s">
        <v>19</v>
      </c>
      <c r="AD85" t="s">
        <v>276</v>
      </c>
      <c r="AE85">
        <v>6.8685156519404491E-3</v>
      </c>
      <c r="AK85">
        <v>2034</v>
      </c>
      <c r="AL85" t="s">
        <v>158</v>
      </c>
      <c r="AM85">
        <v>0.4173</v>
      </c>
      <c r="AN85" t="s">
        <v>253</v>
      </c>
    </row>
    <row r="86" spans="9:40" x14ac:dyDescent="0.45">
      <c r="I86" t="s">
        <v>176</v>
      </c>
      <c r="J86" t="s">
        <v>277</v>
      </c>
      <c r="K86">
        <v>9.7192174473157242E-2</v>
      </c>
      <c r="L86" t="s">
        <v>164</v>
      </c>
      <c r="N86" t="s">
        <v>209</v>
      </c>
      <c r="O86" t="s">
        <v>277</v>
      </c>
      <c r="P86">
        <v>1.0213265654795059E-2</v>
      </c>
      <c r="Q86" t="s">
        <v>164</v>
      </c>
      <c r="S86" t="s">
        <v>229</v>
      </c>
      <c r="T86" t="s">
        <v>277</v>
      </c>
      <c r="U86">
        <v>7.0502263555603489E-2</v>
      </c>
      <c r="V86" t="s">
        <v>164</v>
      </c>
      <c r="AC86" t="s">
        <v>19</v>
      </c>
      <c r="AD86" t="s">
        <v>277</v>
      </c>
      <c r="AE86">
        <v>4.1799829817587432E-2</v>
      </c>
      <c r="AK86">
        <v>2034</v>
      </c>
      <c r="AL86" t="s">
        <v>160</v>
      </c>
      <c r="AM86">
        <v>0.36059999999999998</v>
      </c>
      <c r="AN86" t="s">
        <v>253</v>
      </c>
    </row>
    <row r="87" spans="9:40" x14ac:dyDescent="0.45">
      <c r="I87" t="s">
        <v>176</v>
      </c>
      <c r="J87" t="s">
        <v>278</v>
      </c>
      <c r="K87">
        <v>8.3891140559131192E-3</v>
      </c>
      <c r="L87" t="s">
        <v>164</v>
      </c>
      <c r="N87" t="s">
        <v>209</v>
      </c>
      <c r="O87" t="s">
        <v>278</v>
      </c>
      <c r="P87">
        <v>1.1440891834163928E-3</v>
      </c>
      <c r="Q87" t="s">
        <v>164</v>
      </c>
      <c r="S87" t="s">
        <v>229</v>
      </c>
      <c r="T87" t="s">
        <v>278</v>
      </c>
      <c r="U87">
        <v>1.3377975998889508E-2</v>
      </c>
      <c r="V87" t="s">
        <v>164</v>
      </c>
      <c r="AC87" t="s">
        <v>19</v>
      </c>
      <c r="AD87" t="s">
        <v>278</v>
      </c>
      <c r="AE87">
        <v>7.0320283521896855E-3</v>
      </c>
      <c r="AK87">
        <v>2034</v>
      </c>
      <c r="AL87" t="s">
        <v>256</v>
      </c>
      <c r="AM87">
        <v>0.31464999999999999</v>
      </c>
      <c r="AN87" t="s">
        <v>253</v>
      </c>
    </row>
    <row r="88" spans="9:40" x14ac:dyDescent="0.45">
      <c r="I88" t="s">
        <v>176</v>
      </c>
      <c r="J88" t="s">
        <v>279</v>
      </c>
      <c r="K88">
        <v>5.2855911633910586E-3</v>
      </c>
      <c r="L88" t="s">
        <v>164</v>
      </c>
      <c r="N88" t="s">
        <v>209</v>
      </c>
      <c r="O88" t="s">
        <v>279</v>
      </c>
      <c r="P88">
        <v>9.3795575057359776E-3</v>
      </c>
      <c r="Q88" t="s">
        <v>164</v>
      </c>
      <c r="S88" t="s">
        <v>229</v>
      </c>
      <c r="T88" t="s">
        <v>279</v>
      </c>
      <c r="U88">
        <v>6.3744478203646357E-2</v>
      </c>
      <c r="V88" t="s">
        <v>164</v>
      </c>
      <c r="AC88" t="s">
        <v>19</v>
      </c>
      <c r="AD88" t="s">
        <v>279</v>
      </c>
      <c r="AE88">
        <v>4.2158932399750028E-2</v>
      </c>
      <c r="AK88">
        <v>2034</v>
      </c>
      <c r="AL88" t="s">
        <v>258</v>
      </c>
      <c r="AM88">
        <v>0.36614999999999998</v>
      </c>
      <c r="AN88" t="s">
        <v>253</v>
      </c>
    </row>
    <row r="89" spans="9:40" x14ac:dyDescent="0.45">
      <c r="I89" t="s">
        <v>176</v>
      </c>
      <c r="J89" t="s">
        <v>280</v>
      </c>
      <c r="K89">
        <v>1.8061853728552228E-2</v>
      </c>
      <c r="L89" t="s">
        <v>164</v>
      </c>
      <c r="N89" t="s">
        <v>209</v>
      </c>
      <c r="O89" t="s">
        <v>280</v>
      </c>
      <c r="P89">
        <v>1.5227472411856464E-2</v>
      </c>
      <c r="Q89" t="s">
        <v>164</v>
      </c>
      <c r="S89" t="s">
        <v>229</v>
      </c>
      <c r="T89" t="s">
        <v>280</v>
      </c>
      <c r="U89">
        <v>2.9981903842609611E-2</v>
      </c>
      <c r="V89" t="s">
        <v>164</v>
      </c>
      <c r="AC89" t="s">
        <v>19</v>
      </c>
      <c r="AD89" t="s">
        <v>280</v>
      </c>
      <c r="AE89">
        <v>6.2452296454343983E-2</v>
      </c>
      <c r="AK89">
        <v>2034</v>
      </c>
      <c r="AL89" t="s">
        <v>260</v>
      </c>
      <c r="AM89">
        <v>0.43510000000000004</v>
      </c>
      <c r="AN89" t="s">
        <v>253</v>
      </c>
    </row>
    <row r="90" spans="9:40" x14ac:dyDescent="0.45">
      <c r="I90" t="s">
        <v>176</v>
      </c>
      <c r="J90" t="s">
        <v>281</v>
      </c>
      <c r="K90">
        <v>1.5741736181100936E-2</v>
      </c>
      <c r="L90" t="s">
        <v>164</v>
      </c>
      <c r="N90" t="s">
        <v>209</v>
      </c>
      <c r="O90" t="s">
        <v>281</v>
      </c>
      <c r="P90">
        <v>1.5141078988849979E-3</v>
      </c>
      <c r="Q90" t="s">
        <v>164</v>
      </c>
      <c r="S90" t="s">
        <v>229</v>
      </c>
      <c r="T90" t="s">
        <v>281</v>
      </c>
      <c r="U90">
        <v>3.2728755894917199E-3</v>
      </c>
      <c r="V90" t="s">
        <v>164</v>
      </c>
      <c r="AC90" t="s">
        <v>19</v>
      </c>
      <c r="AD90" t="s">
        <v>281</v>
      </c>
      <c r="AE90">
        <v>6.8546766910259913E-3</v>
      </c>
      <c r="AK90">
        <v>2034</v>
      </c>
      <c r="AL90" t="s">
        <v>261</v>
      </c>
      <c r="AM90">
        <v>0.45419999999999999</v>
      </c>
      <c r="AN90" t="s">
        <v>253</v>
      </c>
    </row>
    <row r="91" spans="9:40" x14ac:dyDescent="0.45">
      <c r="I91" t="s">
        <v>176</v>
      </c>
      <c r="J91" t="s">
        <v>282</v>
      </c>
      <c r="K91">
        <v>1.8789864655587608E-2</v>
      </c>
      <c r="L91" t="s">
        <v>164</v>
      </c>
      <c r="N91" t="s">
        <v>209</v>
      </c>
      <c r="O91" t="s">
        <v>282</v>
      </c>
      <c r="P91">
        <v>1.5492197452305397E-3</v>
      </c>
      <c r="Q91" t="s">
        <v>164</v>
      </c>
      <c r="S91" t="s">
        <v>229</v>
      </c>
      <c r="T91" t="s">
        <v>282</v>
      </c>
      <c r="U91">
        <v>3.6631658826923601E-3</v>
      </c>
      <c r="V91" t="s">
        <v>164</v>
      </c>
      <c r="AC91" t="s">
        <v>19</v>
      </c>
      <c r="AD91" t="s">
        <v>282</v>
      </c>
      <c r="AE91">
        <v>6.8605083275999831E-3</v>
      </c>
      <c r="AK91">
        <v>2035</v>
      </c>
      <c r="AL91" t="s">
        <v>152</v>
      </c>
      <c r="AM91">
        <v>0.40210000000000001</v>
      </c>
      <c r="AN91" t="s">
        <v>253</v>
      </c>
    </row>
    <row r="92" spans="9:40" x14ac:dyDescent="0.45">
      <c r="I92" t="s">
        <v>176</v>
      </c>
      <c r="J92" t="s">
        <v>283</v>
      </c>
      <c r="K92">
        <v>0.11215790533918552</v>
      </c>
      <c r="L92" t="s">
        <v>164</v>
      </c>
      <c r="N92" t="s">
        <v>209</v>
      </c>
      <c r="O92" t="s">
        <v>283</v>
      </c>
      <c r="P92">
        <v>8.0005438463332992E-3</v>
      </c>
      <c r="Q92" t="s">
        <v>164</v>
      </c>
      <c r="S92" t="s">
        <v>229</v>
      </c>
      <c r="T92" t="s">
        <v>283</v>
      </c>
      <c r="U92">
        <v>3.6166210032379131E-2</v>
      </c>
      <c r="V92" t="s">
        <v>164</v>
      </c>
      <c r="AC92" t="s">
        <v>19</v>
      </c>
      <c r="AD92" t="s">
        <v>283</v>
      </c>
      <c r="AE92">
        <v>4.1798446738709631E-2</v>
      </c>
      <c r="AK92">
        <v>2035</v>
      </c>
      <c r="AL92" t="s">
        <v>156</v>
      </c>
      <c r="AM92">
        <v>0.43930000000000002</v>
      </c>
      <c r="AN92" t="s">
        <v>253</v>
      </c>
    </row>
    <row r="93" spans="9:40" x14ac:dyDescent="0.45">
      <c r="I93" t="s">
        <v>176</v>
      </c>
      <c r="J93" t="s">
        <v>284</v>
      </c>
      <c r="K93">
        <v>1.0356572985225408E-2</v>
      </c>
      <c r="L93" t="s">
        <v>164</v>
      </c>
      <c r="N93" t="s">
        <v>209</v>
      </c>
      <c r="O93" t="s">
        <v>284</v>
      </c>
      <c r="P93">
        <v>8.9777618379663934E-4</v>
      </c>
      <c r="Q93" t="s">
        <v>164</v>
      </c>
      <c r="S93" t="s">
        <v>229</v>
      </c>
      <c r="T93" t="s">
        <v>284</v>
      </c>
      <c r="U93">
        <v>6.7767789820462115E-3</v>
      </c>
      <c r="V93" t="s">
        <v>164</v>
      </c>
      <c r="AC93" t="s">
        <v>19</v>
      </c>
      <c r="AD93" t="s">
        <v>284</v>
      </c>
      <c r="AE93">
        <v>7.0526561939860859E-3</v>
      </c>
      <c r="AK93">
        <v>2035</v>
      </c>
      <c r="AL93" t="s">
        <v>158</v>
      </c>
      <c r="AM93">
        <v>0.37380000000000002</v>
      </c>
      <c r="AN93" t="s">
        <v>253</v>
      </c>
    </row>
    <row r="94" spans="9:40" x14ac:dyDescent="0.45">
      <c r="I94" t="s">
        <v>176</v>
      </c>
      <c r="J94" t="s">
        <v>285</v>
      </c>
      <c r="K94">
        <v>6.8474614809592785E-3</v>
      </c>
      <c r="L94" t="s">
        <v>164</v>
      </c>
      <c r="N94" t="s">
        <v>209</v>
      </c>
      <c r="O94" t="s">
        <v>285</v>
      </c>
      <c r="P94">
        <v>8.1447254889450201E-3</v>
      </c>
      <c r="Q94" t="s">
        <v>164</v>
      </c>
      <c r="S94" t="s">
        <v>229</v>
      </c>
      <c r="T94" t="s">
        <v>285</v>
      </c>
      <c r="U94">
        <v>3.6135828191358119E-2</v>
      </c>
      <c r="V94" t="s">
        <v>164</v>
      </c>
      <c r="AC94" t="s">
        <v>19</v>
      </c>
      <c r="AD94" t="s">
        <v>285</v>
      </c>
      <c r="AE94">
        <v>4.2231951985051606E-2</v>
      </c>
      <c r="AK94">
        <v>2035</v>
      </c>
      <c r="AL94" t="s">
        <v>160</v>
      </c>
      <c r="AM94">
        <v>0.35509999999999997</v>
      </c>
      <c r="AN94" t="s">
        <v>253</v>
      </c>
    </row>
    <row r="95" spans="9:40" x14ac:dyDescent="0.45">
      <c r="I95" t="s">
        <v>176</v>
      </c>
      <c r="J95" t="s">
        <v>286</v>
      </c>
      <c r="K95">
        <v>2.0407565453274702E-2</v>
      </c>
      <c r="L95" t="s">
        <v>164</v>
      </c>
      <c r="N95" t="s">
        <v>209</v>
      </c>
      <c r="O95" t="s">
        <v>286</v>
      </c>
      <c r="P95">
        <v>5.1317293969554513E-2</v>
      </c>
      <c r="Q95" t="s">
        <v>164</v>
      </c>
      <c r="S95" t="s">
        <v>229</v>
      </c>
      <c r="T95" t="s">
        <v>286</v>
      </c>
      <c r="U95">
        <v>2.2214940288560213E-2</v>
      </c>
      <c r="V95" t="s">
        <v>164</v>
      </c>
      <c r="AC95" t="s">
        <v>19</v>
      </c>
      <c r="AD95" t="s">
        <v>286</v>
      </c>
      <c r="AE95">
        <v>6.2488904241954295E-2</v>
      </c>
      <c r="AK95">
        <v>2035</v>
      </c>
      <c r="AL95" t="s">
        <v>256</v>
      </c>
      <c r="AM95">
        <v>0.31125000000000003</v>
      </c>
      <c r="AN95" t="s">
        <v>253</v>
      </c>
    </row>
    <row r="96" spans="9:40" x14ac:dyDescent="0.45">
      <c r="I96" t="s">
        <v>176</v>
      </c>
      <c r="J96" t="s">
        <v>287</v>
      </c>
      <c r="K96">
        <v>1.7676916540985906E-2</v>
      </c>
      <c r="L96" t="s">
        <v>164</v>
      </c>
      <c r="N96" t="s">
        <v>209</v>
      </c>
      <c r="O96" t="s">
        <v>287</v>
      </c>
      <c r="P96">
        <v>7.5797063836525467E-3</v>
      </c>
      <c r="Q96" t="s">
        <v>164</v>
      </c>
      <c r="S96" t="s">
        <v>229</v>
      </c>
      <c r="T96" t="s">
        <v>287</v>
      </c>
      <c r="U96">
        <v>2.7820659203888747E-3</v>
      </c>
      <c r="V96" t="s">
        <v>164</v>
      </c>
      <c r="AC96" t="s">
        <v>19</v>
      </c>
      <c r="AD96" t="s">
        <v>287</v>
      </c>
      <c r="AE96">
        <v>6.8655787009503193E-3</v>
      </c>
      <c r="AK96">
        <v>2035</v>
      </c>
      <c r="AL96" t="s">
        <v>258</v>
      </c>
      <c r="AM96">
        <v>0.35289999999999999</v>
      </c>
      <c r="AN96" t="s">
        <v>253</v>
      </c>
    </row>
    <row r="97" spans="9:40" x14ac:dyDescent="0.45">
      <c r="I97" t="s">
        <v>176</v>
      </c>
      <c r="J97" t="s">
        <v>288</v>
      </c>
      <c r="K97">
        <v>1.9803709148277948E-2</v>
      </c>
      <c r="L97" t="s">
        <v>164</v>
      </c>
      <c r="N97" t="s">
        <v>209</v>
      </c>
      <c r="O97" t="s">
        <v>288</v>
      </c>
      <c r="P97">
        <v>6.5696013488181909E-3</v>
      </c>
      <c r="Q97" t="s">
        <v>164</v>
      </c>
      <c r="S97" t="s">
        <v>229</v>
      </c>
      <c r="T97" t="s">
        <v>288</v>
      </c>
      <c r="U97">
        <v>3.175806343360153E-3</v>
      </c>
      <c r="V97" t="s">
        <v>164</v>
      </c>
      <c r="AC97" t="s">
        <v>19</v>
      </c>
      <c r="AD97" t="s">
        <v>288</v>
      </c>
      <c r="AE97">
        <v>6.8808211048231481E-3</v>
      </c>
      <c r="AK97">
        <v>2035</v>
      </c>
      <c r="AL97" t="s">
        <v>260</v>
      </c>
      <c r="AM97">
        <v>0.43369999999999997</v>
      </c>
      <c r="AN97" t="s">
        <v>253</v>
      </c>
    </row>
    <row r="98" spans="9:40" x14ac:dyDescent="0.45">
      <c r="I98" t="s">
        <v>176</v>
      </c>
      <c r="J98" t="s">
        <v>289</v>
      </c>
      <c r="K98">
        <v>0.11402746316866996</v>
      </c>
      <c r="L98" t="s">
        <v>164</v>
      </c>
      <c r="N98" t="s">
        <v>209</v>
      </c>
      <c r="O98" t="s">
        <v>289</v>
      </c>
      <c r="P98">
        <v>1.8887581921889093E-2</v>
      </c>
      <c r="Q98" t="s">
        <v>164</v>
      </c>
      <c r="S98" t="s">
        <v>229</v>
      </c>
      <c r="T98" t="s">
        <v>289</v>
      </c>
      <c r="U98">
        <v>3.2229178128310464E-2</v>
      </c>
      <c r="V98" t="s">
        <v>164</v>
      </c>
      <c r="AC98" t="s">
        <v>19</v>
      </c>
      <c r="AD98" t="s">
        <v>289</v>
      </c>
      <c r="AE98">
        <v>4.1790738938631035E-2</v>
      </c>
      <c r="AK98">
        <v>2035</v>
      </c>
      <c r="AL98" t="s">
        <v>261</v>
      </c>
      <c r="AM98">
        <v>0.45929999999999999</v>
      </c>
      <c r="AN98" t="s">
        <v>253</v>
      </c>
    </row>
    <row r="99" spans="9:40" x14ac:dyDescent="0.45">
      <c r="I99" t="s">
        <v>176</v>
      </c>
      <c r="J99" t="s">
        <v>290</v>
      </c>
      <c r="K99">
        <v>9.5688694698753685E-3</v>
      </c>
      <c r="L99" t="s">
        <v>164</v>
      </c>
      <c r="N99" t="s">
        <v>209</v>
      </c>
      <c r="O99" t="s">
        <v>290</v>
      </c>
      <c r="P99">
        <v>2.57179606493945E-3</v>
      </c>
      <c r="Q99" t="s">
        <v>164</v>
      </c>
      <c r="S99" t="s">
        <v>229</v>
      </c>
      <c r="T99" t="s">
        <v>290</v>
      </c>
      <c r="U99">
        <v>6.0550671072911923E-3</v>
      </c>
      <c r="V99" t="s">
        <v>164</v>
      </c>
      <c r="AC99" t="s">
        <v>19</v>
      </c>
      <c r="AD99" t="s">
        <v>290</v>
      </c>
      <c r="AE99">
        <v>7.0195131271902555E-3</v>
      </c>
      <c r="AK99">
        <v>2036</v>
      </c>
      <c r="AL99" t="s">
        <v>152</v>
      </c>
      <c r="AM99">
        <v>0.39729999999999999</v>
      </c>
      <c r="AN99" t="s">
        <v>253</v>
      </c>
    </row>
    <row r="100" spans="9:40" x14ac:dyDescent="0.45">
      <c r="I100" t="s">
        <v>176</v>
      </c>
      <c r="J100" t="s">
        <v>291</v>
      </c>
      <c r="K100">
        <v>5.8711319808458437E-3</v>
      </c>
      <c r="L100" t="s">
        <v>164</v>
      </c>
      <c r="N100" t="s">
        <v>209</v>
      </c>
      <c r="O100" t="s">
        <v>291</v>
      </c>
      <c r="P100">
        <v>2.4431177950205097E-2</v>
      </c>
      <c r="Q100" t="s">
        <v>164</v>
      </c>
      <c r="S100" t="s">
        <v>229</v>
      </c>
      <c r="T100" t="s">
        <v>291</v>
      </c>
      <c r="U100">
        <v>3.0084249953303575E-2</v>
      </c>
      <c r="V100" t="s">
        <v>164</v>
      </c>
      <c r="AC100" t="s">
        <v>19</v>
      </c>
      <c r="AD100" t="s">
        <v>291</v>
      </c>
      <c r="AE100">
        <v>4.2091145614532526E-2</v>
      </c>
      <c r="AK100">
        <v>2036</v>
      </c>
      <c r="AL100" t="s">
        <v>156</v>
      </c>
      <c r="AM100">
        <v>0.45619999999999999</v>
      </c>
      <c r="AN100" t="s">
        <v>253</v>
      </c>
    </row>
    <row r="101" spans="9:40" x14ac:dyDescent="0.45">
      <c r="I101" t="s">
        <v>176</v>
      </c>
      <c r="J101" t="s">
        <v>292</v>
      </c>
      <c r="K101">
        <v>5.8291990156141924E-3</v>
      </c>
      <c r="L101" t="s">
        <v>164</v>
      </c>
      <c r="N101" t="s">
        <v>209</v>
      </c>
      <c r="O101" t="s">
        <v>292</v>
      </c>
      <c r="P101">
        <v>8.803778219134234E-2</v>
      </c>
      <c r="Q101" t="s">
        <v>164</v>
      </c>
      <c r="S101" t="s">
        <v>229</v>
      </c>
      <c r="T101" t="s">
        <v>292</v>
      </c>
      <c r="U101">
        <v>1.8527114458203917E-2</v>
      </c>
      <c r="V101" t="s">
        <v>164</v>
      </c>
      <c r="AC101" t="s">
        <v>19</v>
      </c>
      <c r="AD101" t="s">
        <v>292</v>
      </c>
      <c r="AE101">
        <v>3.1788961287971255E-2</v>
      </c>
      <c r="AK101">
        <v>2036</v>
      </c>
      <c r="AL101" t="s">
        <v>158</v>
      </c>
      <c r="AM101">
        <v>0.39100000000000001</v>
      </c>
      <c r="AN101" t="s">
        <v>253</v>
      </c>
    </row>
    <row r="102" spans="9:40" x14ac:dyDescent="0.45">
      <c r="I102" t="s">
        <v>176</v>
      </c>
      <c r="J102" t="s">
        <v>293</v>
      </c>
      <c r="K102">
        <v>6.5893442495195114E-3</v>
      </c>
      <c r="L102" t="s">
        <v>164</v>
      </c>
      <c r="N102" t="s">
        <v>209</v>
      </c>
      <c r="O102" t="s">
        <v>293</v>
      </c>
      <c r="P102">
        <v>1.3969845835607562E-2</v>
      </c>
      <c r="Q102" t="s">
        <v>164</v>
      </c>
      <c r="S102" t="s">
        <v>229</v>
      </c>
      <c r="T102" t="s">
        <v>293</v>
      </c>
      <c r="U102">
        <v>2.6819353967577971E-3</v>
      </c>
      <c r="V102" t="s">
        <v>164</v>
      </c>
      <c r="AC102" t="s">
        <v>19</v>
      </c>
      <c r="AD102" t="s">
        <v>293</v>
      </c>
      <c r="AE102">
        <v>3.499829138362782E-3</v>
      </c>
      <c r="AK102">
        <v>2036</v>
      </c>
      <c r="AL102" t="s">
        <v>160</v>
      </c>
      <c r="AM102">
        <v>0.33750000000000002</v>
      </c>
      <c r="AN102" t="s">
        <v>253</v>
      </c>
    </row>
    <row r="103" spans="9:40" x14ac:dyDescent="0.45">
      <c r="I103" t="s">
        <v>176</v>
      </c>
      <c r="J103" t="s">
        <v>294</v>
      </c>
      <c r="K103">
        <v>7.762711452947501E-3</v>
      </c>
      <c r="L103" t="s">
        <v>164</v>
      </c>
      <c r="N103" t="s">
        <v>209</v>
      </c>
      <c r="O103" t="s">
        <v>294</v>
      </c>
      <c r="P103">
        <v>1.3271465147077997E-2</v>
      </c>
      <c r="Q103" t="s">
        <v>164</v>
      </c>
      <c r="S103" t="s">
        <v>229</v>
      </c>
      <c r="T103" t="s">
        <v>294</v>
      </c>
      <c r="U103">
        <v>3.2645690082032789E-3</v>
      </c>
      <c r="V103" t="s">
        <v>164</v>
      </c>
      <c r="AC103" t="s">
        <v>19</v>
      </c>
      <c r="AD103" t="s">
        <v>294</v>
      </c>
      <c r="AE103">
        <v>3.5125285500657863E-3</v>
      </c>
      <c r="AK103">
        <v>2036</v>
      </c>
      <c r="AL103" t="s">
        <v>256</v>
      </c>
      <c r="AM103">
        <v>0.32735000000000003</v>
      </c>
      <c r="AN103" t="s">
        <v>253</v>
      </c>
    </row>
    <row r="104" spans="9:40" x14ac:dyDescent="0.45">
      <c r="I104" t="s">
        <v>176</v>
      </c>
      <c r="J104" t="s">
        <v>295</v>
      </c>
      <c r="K104">
        <v>4.9556222364950352E-2</v>
      </c>
      <c r="L104" t="s">
        <v>164</v>
      </c>
      <c r="N104" t="s">
        <v>209</v>
      </c>
      <c r="O104" t="s">
        <v>295</v>
      </c>
      <c r="P104">
        <v>5.1950345830922867E-2</v>
      </c>
      <c r="Q104" t="s">
        <v>164</v>
      </c>
      <c r="S104" t="s">
        <v>229</v>
      </c>
      <c r="T104" t="s">
        <v>295</v>
      </c>
      <c r="U104">
        <v>2.7992572997410422E-2</v>
      </c>
      <c r="V104" t="s">
        <v>164</v>
      </c>
      <c r="AC104" t="s">
        <v>19</v>
      </c>
      <c r="AD104" t="s">
        <v>295</v>
      </c>
      <c r="AE104">
        <v>2.1236452698175878E-2</v>
      </c>
      <c r="AK104">
        <v>2036</v>
      </c>
      <c r="AL104" t="s">
        <v>258</v>
      </c>
      <c r="AM104">
        <v>0.36995</v>
      </c>
      <c r="AN104" t="s">
        <v>253</v>
      </c>
    </row>
    <row r="105" spans="9:40" x14ac:dyDescent="0.45">
      <c r="I105" t="s">
        <v>176</v>
      </c>
      <c r="J105" t="s">
        <v>296</v>
      </c>
      <c r="K105">
        <v>5.074178030892218E-3</v>
      </c>
      <c r="L105" t="s">
        <v>164</v>
      </c>
      <c r="N105" t="s">
        <v>209</v>
      </c>
      <c r="O105" t="s">
        <v>296</v>
      </c>
      <c r="P105">
        <v>5.3636934707297391E-3</v>
      </c>
      <c r="Q105" t="s">
        <v>164</v>
      </c>
      <c r="S105" t="s">
        <v>229</v>
      </c>
      <c r="T105" t="s">
        <v>296</v>
      </c>
      <c r="U105">
        <v>4.2472402353639516E-3</v>
      </c>
      <c r="V105" t="s">
        <v>164</v>
      </c>
      <c r="AC105" t="s">
        <v>19</v>
      </c>
      <c r="AD105" t="s">
        <v>296</v>
      </c>
      <c r="AE105">
        <v>3.5419277447005901E-3</v>
      </c>
      <c r="AK105">
        <v>2036</v>
      </c>
      <c r="AL105" t="s">
        <v>260</v>
      </c>
      <c r="AM105">
        <v>0.43879999999999997</v>
      </c>
      <c r="AN105" t="s">
        <v>253</v>
      </c>
    </row>
    <row r="106" spans="9:40" x14ac:dyDescent="0.45">
      <c r="I106" t="s">
        <v>176</v>
      </c>
      <c r="J106" t="s">
        <v>297</v>
      </c>
      <c r="K106">
        <v>3.2385462961741513E-3</v>
      </c>
      <c r="L106" t="s">
        <v>164</v>
      </c>
      <c r="N106" t="s">
        <v>209</v>
      </c>
      <c r="O106" t="s">
        <v>297</v>
      </c>
      <c r="P106">
        <v>4.421172256143413E-2</v>
      </c>
      <c r="Q106" t="s">
        <v>164</v>
      </c>
      <c r="S106" t="s">
        <v>229</v>
      </c>
      <c r="T106" t="s">
        <v>297</v>
      </c>
      <c r="U106">
        <v>2.1652278447803951E-2</v>
      </c>
      <c r="V106" t="s">
        <v>164</v>
      </c>
      <c r="AC106" t="s">
        <v>19</v>
      </c>
      <c r="AD106" t="s">
        <v>297</v>
      </c>
      <c r="AE106">
        <v>2.1286966926460905E-2</v>
      </c>
      <c r="AK106">
        <v>2036</v>
      </c>
      <c r="AL106" t="s">
        <v>261</v>
      </c>
      <c r="AM106">
        <v>0.43340000000000001</v>
      </c>
      <c r="AN106" t="s">
        <v>253</v>
      </c>
    </row>
    <row r="107" spans="9:40" x14ac:dyDescent="0.45">
      <c r="I107" t="s">
        <v>177</v>
      </c>
      <c r="J107" t="s">
        <v>163</v>
      </c>
      <c r="K107">
        <v>1.0781493327347329E-2</v>
      </c>
      <c r="L107" t="s">
        <v>164</v>
      </c>
      <c r="N107" t="s">
        <v>210</v>
      </c>
      <c r="O107" t="s">
        <v>163</v>
      </c>
      <c r="P107">
        <v>5.104206078217436E-2</v>
      </c>
      <c r="Q107" t="s">
        <v>164</v>
      </c>
      <c r="S107" t="s">
        <v>230</v>
      </c>
      <c r="T107" t="s">
        <v>163</v>
      </c>
      <c r="U107">
        <v>4.1531367276676411E-2</v>
      </c>
      <c r="V107" t="s">
        <v>164</v>
      </c>
      <c r="AK107">
        <v>2037</v>
      </c>
      <c r="AL107" t="s">
        <v>152</v>
      </c>
      <c r="AM107">
        <v>0.39879999999999999</v>
      </c>
      <c r="AN107" t="s">
        <v>253</v>
      </c>
    </row>
    <row r="108" spans="9:40" x14ac:dyDescent="0.45">
      <c r="I108" t="s">
        <v>177</v>
      </c>
      <c r="J108" t="s">
        <v>165</v>
      </c>
      <c r="K108">
        <v>9.5872921380670603E-3</v>
      </c>
      <c r="L108" t="s">
        <v>164</v>
      </c>
      <c r="N108" t="s">
        <v>210</v>
      </c>
      <c r="O108" t="s">
        <v>165</v>
      </c>
      <c r="P108">
        <v>4.0804427954573104E-3</v>
      </c>
      <c r="Q108" t="s">
        <v>164</v>
      </c>
      <c r="S108" t="s">
        <v>230</v>
      </c>
      <c r="T108" t="s">
        <v>165</v>
      </c>
      <c r="U108">
        <v>4.6736780237560949E-3</v>
      </c>
      <c r="V108" t="s">
        <v>164</v>
      </c>
      <c r="AK108">
        <v>2037</v>
      </c>
      <c r="AL108" t="s">
        <v>156</v>
      </c>
      <c r="AM108">
        <v>0.42880000000000001</v>
      </c>
      <c r="AN108" t="s">
        <v>253</v>
      </c>
    </row>
    <row r="109" spans="9:40" x14ac:dyDescent="0.45">
      <c r="I109" t="s">
        <v>177</v>
      </c>
      <c r="J109" t="s">
        <v>166</v>
      </c>
      <c r="K109">
        <v>1.0809140400167725E-2</v>
      </c>
      <c r="L109" t="s">
        <v>164</v>
      </c>
      <c r="N109" t="s">
        <v>210</v>
      </c>
      <c r="O109" t="s">
        <v>166</v>
      </c>
      <c r="P109">
        <v>4.1674061493200965E-3</v>
      </c>
      <c r="Q109" t="s">
        <v>164</v>
      </c>
      <c r="S109" t="s">
        <v>230</v>
      </c>
      <c r="T109" t="s">
        <v>166</v>
      </c>
      <c r="U109">
        <v>4.8442849571112175E-3</v>
      </c>
      <c r="V109" t="s">
        <v>164</v>
      </c>
      <c r="AK109">
        <v>2037</v>
      </c>
      <c r="AL109" t="s">
        <v>158</v>
      </c>
      <c r="AM109">
        <v>0.38419999999999999</v>
      </c>
      <c r="AN109" t="s">
        <v>253</v>
      </c>
    </row>
    <row r="110" spans="9:40" x14ac:dyDescent="0.45">
      <c r="I110" t="s">
        <v>177</v>
      </c>
      <c r="J110" t="s">
        <v>262</v>
      </c>
      <c r="K110">
        <v>5.9393590143691923E-2</v>
      </c>
      <c r="L110" t="s">
        <v>164</v>
      </c>
      <c r="N110" t="s">
        <v>210</v>
      </c>
      <c r="O110" t="s">
        <v>262</v>
      </c>
      <c r="P110">
        <v>3.7479858645513488E-2</v>
      </c>
      <c r="Q110" t="s">
        <v>164</v>
      </c>
      <c r="S110" t="s">
        <v>230</v>
      </c>
      <c r="T110" t="s">
        <v>262</v>
      </c>
      <c r="U110">
        <v>3.0471978329704542E-2</v>
      </c>
      <c r="V110" t="s">
        <v>164</v>
      </c>
      <c r="AK110">
        <v>2037</v>
      </c>
      <c r="AL110" t="s">
        <v>160</v>
      </c>
      <c r="AM110">
        <v>0.33925</v>
      </c>
      <c r="AN110" t="s">
        <v>253</v>
      </c>
    </row>
    <row r="111" spans="9:40" x14ac:dyDescent="0.45">
      <c r="I111" t="s">
        <v>177</v>
      </c>
      <c r="J111" t="s">
        <v>263</v>
      </c>
      <c r="K111">
        <v>5.9096900195279266E-3</v>
      </c>
      <c r="L111" t="s">
        <v>164</v>
      </c>
      <c r="N111" t="s">
        <v>210</v>
      </c>
      <c r="O111" t="s">
        <v>263</v>
      </c>
      <c r="P111">
        <v>7.8871111106830483E-3</v>
      </c>
      <c r="Q111" t="s">
        <v>164</v>
      </c>
      <c r="S111" t="s">
        <v>230</v>
      </c>
      <c r="T111" t="s">
        <v>263</v>
      </c>
      <c r="U111">
        <v>4.8911026269038817E-3</v>
      </c>
      <c r="V111" t="s">
        <v>164</v>
      </c>
      <c r="AK111">
        <v>2037</v>
      </c>
      <c r="AL111" t="s">
        <v>256</v>
      </c>
      <c r="AM111">
        <v>0.30785000000000001</v>
      </c>
      <c r="AN111" t="s">
        <v>253</v>
      </c>
    </row>
    <row r="112" spans="9:40" x14ac:dyDescent="0.45">
      <c r="I112" t="s">
        <v>177</v>
      </c>
      <c r="J112" t="s">
        <v>264</v>
      </c>
      <c r="K112">
        <v>4.3561243005724934E-3</v>
      </c>
      <c r="L112" t="s">
        <v>164</v>
      </c>
      <c r="N112" t="s">
        <v>210</v>
      </c>
      <c r="O112" t="s">
        <v>264</v>
      </c>
      <c r="P112">
        <v>4.9433957158325083E-2</v>
      </c>
      <c r="Q112" t="s">
        <v>164</v>
      </c>
      <c r="S112" t="s">
        <v>230</v>
      </c>
      <c r="T112" t="s">
        <v>264</v>
      </c>
      <c r="U112">
        <v>3.065428067843257E-2</v>
      </c>
      <c r="V112" t="s">
        <v>164</v>
      </c>
      <c r="AK112">
        <v>2037</v>
      </c>
      <c r="AL112" t="s">
        <v>258</v>
      </c>
      <c r="AM112">
        <v>0.35819999999999996</v>
      </c>
      <c r="AN112" t="s">
        <v>253</v>
      </c>
    </row>
    <row r="113" spans="9:40" x14ac:dyDescent="0.45">
      <c r="I113" t="s">
        <v>177</v>
      </c>
      <c r="J113" t="s">
        <v>167</v>
      </c>
      <c r="K113">
        <v>5.0675870721684953E-3</v>
      </c>
      <c r="L113" t="s">
        <v>164</v>
      </c>
      <c r="N113" t="s">
        <v>210</v>
      </c>
      <c r="O113" t="s">
        <v>167</v>
      </c>
      <c r="P113">
        <v>4.0922461694662855E-2</v>
      </c>
      <c r="Q113" t="s">
        <v>164</v>
      </c>
      <c r="S113" t="s">
        <v>230</v>
      </c>
      <c r="T113" t="s">
        <v>167</v>
      </c>
      <c r="U113">
        <v>3.487415892059708E-2</v>
      </c>
      <c r="V113" t="s">
        <v>164</v>
      </c>
      <c r="AK113">
        <v>2037</v>
      </c>
      <c r="AL113" t="s">
        <v>260</v>
      </c>
      <c r="AM113">
        <v>0.43384999999999996</v>
      </c>
      <c r="AN113" t="s">
        <v>253</v>
      </c>
    </row>
    <row r="114" spans="9:40" x14ac:dyDescent="0.45">
      <c r="I114" t="s">
        <v>177</v>
      </c>
      <c r="J114" t="s">
        <v>168</v>
      </c>
      <c r="K114">
        <v>5.3243509580932595E-3</v>
      </c>
      <c r="L114" t="s">
        <v>164</v>
      </c>
      <c r="N114" t="s">
        <v>210</v>
      </c>
      <c r="O114" t="s">
        <v>168</v>
      </c>
      <c r="P114">
        <v>2.7905110564520499E-3</v>
      </c>
      <c r="Q114" t="s">
        <v>164</v>
      </c>
      <c r="S114" t="s">
        <v>230</v>
      </c>
      <c r="T114" t="s">
        <v>168</v>
      </c>
      <c r="U114">
        <v>3.8004674325713924E-3</v>
      </c>
      <c r="V114" t="s">
        <v>164</v>
      </c>
      <c r="AK114">
        <v>2037</v>
      </c>
      <c r="AL114" t="s">
        <v>261</v>
      </c>
      <c r="AM114">
        <v>0.41539999999999999</v>
      </c>
      <c r="AN114" t="s">
        <v>253</v>
      </c>
    </row>
    <row r="115" spans="9:40" x14ac:dyDescent="0.45">
      <c r="I115" t="s">
        <v>177</v>
      </c>
      <c r="J115" t="s">
        <v>169</v>
      </c>
      <c r="K115">
        <v>6.8208532293840343E-3</v>
      </c>
      <c r="L115" t="s">
        <v>164</v>
      </c>
      <c r="N115" t="s">
        <v>210</v>
      </c>
      <c r="O115" t="s">
        <v>169</v>
      </c>
      <c r="P115">
        <v>2.857738518929444E-3</v>
      </c>
      <c r="Q115" t="s">
        <v>164</v>
      </c>
      <c r="S115" t="s">
        <v>230</v>
      </c>
      <c r="T115" t="s">
        <v>169</v>
      </c>
      <c r="U115">
        <v>3.9291681910693993E-3</v>
      </c>
      <c r="V115" t="s">
        <v>164</v>
      </c>
      <c r="AK115">
        <v>2038</v>
      </c>
      <c r="AL115" t="s">
        <v>152</v>
      </c>
      <c r="AM115">
        <v>0.44450000000000001</v>
      </c>
      <c r="AN115" t="s">
        <v>253</v>
      </c>
    </row>
    <row r="116" spans="9:40" x14ac:dyDescent="0.45">
      <c r="I116" t="s">
        <v>177</v>
      </c>
      <c r="J116" t="s">
        <v>265</v>
      </c>
      <c r="K116">
        <v>4.2346752388019639E-2</v>
      </c>
      <c r="L116" t="s">
        <v>164</v>
      </c>
      <c r="N116" t="s">
        <v>210</v>
      </c>
      <c r="O116" t="s">
        <v>265</v>
      </c>
      <c r="P116">
        <v>2.9531844162696955E-2</v>
      </c>
      <c r="Q116" t="s">
        <v>164</v>
      </c>
      <c r="S116" t="s">
        <v>230</v>
      </c>
      <c r="T116" t="s">
        <v>265</v>
      </c>
      <c r="U116">
        <v>2.5020713912446556E-2</v>
      </c>
      <c r="V116" t="s">
        <v>164</v>
      </c>
      <c r="AK116">
        <v>2038</v>
      </c>
      <c r="AL116" t="s">
        <v>156</v>
      </c>
      <c r="AM116">
        <v>0.40160000000000001</v>
      </c>
      <c r="AN116" t="s">
        <v>253</v>
      </c>
    </row>
    <row r="117" spans="9:40" x14ac:dyDescent="0.45">
      <c r="I117" t="s">
        <v>177</v>
      </c>
      <c r="J117" t="s">
        <v>266</v>
      </c>
      <c r="K117">
        <v>4.4692101259932691E-3</v>
      </c>
      <c r="L117" t="s">
        <v>164</v>
      </c>
      <c r="N117" t="s">
        <v>210</v>
      </c>
      <c r="O117" t="s">
        <v>266</v>
      </c>
      <c r="P117">
        <v>6.7516999331348809E-3</v>
      </c>
      <c r="Q117" t="s">
        <v>164</v>
      </c>
      <c r="S117" t="s">
        <v>230</v>
      </c>
      <c r="T117" t="s">
        <v>266</v>
      </c>
      <c r="U117">
        <v>4.2952078231468255E-3</v>
      </c>
      <c r="V117" t="s">
        <v>164</v>
      </c>
      <c r="AK117">
        <v>2038</v>
      </c>
      <c r="AL117" t="s">
        <v>158</v>
      </c>
      <c r="AM117">
        <v>0.38119999999999998</v>
      </c>
      <c r="AN117" t="s">
        <v>253</v>
      </c>
    </row>
    <row r="118" spans="9:40" x14ac:dyDescent="0.45">
      <c r="I118" t="s">
        <v>177</v>
      </c>
      <c r="J118" t="s">
        <v>267</v>
      </c>
      <c r="K118">
        <v>2.9163749342771416E-3</v>
      </c>
      <c r="L118" t="s">
        <v>164</v>
      </c>
      <c r="N118" t="s">
        <v>210</v>
      </c>
      <c r="O118" t="s">
        <v>267</v>
      </c>
      <c r="P118">
        <v>4.1616146590899114E-2</v>
      </c>
      <c r="Q118" t="s">
        <v>164</v>
      </c>
      <c r="S118" t="s">
        <v>230</v>
      </c>
      <c r="T118" t="s">
        <v>267</v>
      </c>
      <c r="U118">
        <v>2.6074109799755336E-2</v>
      </c>
      <c r="V118" t="s">
        <v>164</v>
      </c>
      <c r="AK118">
        <v>2038</v>
      </c>
      <c r="AL118" t="s">
        <v>160</v>
      </c>
      <c r="AM118">
        <v>0.34965000000000002</v>
      </c>
      <c r="AN118" t="s">
        <v>253</v>
      </c>
    </row>
    <row r="119" spans="9:40" x14ac:dyDescent="0.45">
      <c r="I119" t="s">
        <v>177</v>
      </c>
      <c r="J119" t="s">
        <v>170</v>
      </c>
      <c r="K119">
        <v>1.0684826253028823E-2</v>
      </c>
      <c r="L119" t="s">
        <v>164</v>
      </c>
      <c r="N119" t="s">
        <v>210</v>
      </c>
      <c r="O119" t="s">
        <v>170</v>
      </c>
      <c r="P119">
        <v>4.3939005208555842E-2</v>
      </c>
      <c r="Q119" t="s">
        <v>164</v>
      </c>
      <c r="S119" t="s">
        <v>230</v>
      </c>
      <c r="T119" t="s">
        <v>170</v>
      </c>
      <c r="U119">
        <v>3.6386067500119947E-2</v>
      </c>
      <c r="V119" t="s">
        <v>164</v>
      </c>
      <c r="AK119">
        <v>2038</v>
      </c>
      <c r="AL119" t="s">
        <v>256</v>
      </c>
      <c r="AM119">
        <v>0.31759999999999999</v>
      </c>
      <c r="AN119" t="s">
        <v>253</v>
      </c>
    </row>
    <row r="120" spans="9:40" x14ac:dyDescent="0.45">
      <c r="I120" t="s">
        <v>177</v>
      </c>
      <c r="J120" t="s">
        <v>171</v>
      </c>
      <c r="K120">
        <v>9.1093021635685403E-3</v>
      </c>
      <c r="L120" t="s">
        <v>164</v>
      </c>
      <c r="N120" t="s">
        <v>210</v>
      </c>
      <c r="O120" t="s">
        <v>171</v>
      </c>
      <c r="P120">
        <v>3.3866490262256955E-3</v>
      </c>
      <c r="Q120" t="s">
        <v>164</v>
      </c>
      <c r="S120" t="s">
        <v>230</v>
      </c>
      <c r="T120" t="s">
        <v>171</v>
      </c>
      <c r="U120">
        <v>4.2823866638535294E-3</v>
      </c>
      <c r="V120" t="s">
        <v>164</v>
      </c>
      <c r="AK120">
        <v>2038</v>
      </c>
      <c r="AL120" t="s">
        <v>258</v>
      </c>
      <c r="AM120">
        <v>0.38695000000000002</v>
      </c>
      <c r="AN120" t="s">
        <v>253</v>
      </c>
    </row>
    <row r="121" spans="9:40" x14ac:dyDescent="0.45">
      <c r="I121" t="s">
        <v>177</v>
      </c>
      <c r="J121" t="s">
        <v>172</v>
      </c>
      <c r="K121">
        <v>1.0406582516328717E-2</v>
      </c>
      <c r="L121" t="s">
        <v>164</v>
      </c>
      <c r="N121" t="s">
        <v>210</v>
      </c>
      <c r="O121" t="s">
        <v>172</v>
      </c>
      <c r="P121">
        <v>3.1697902138245375E-3</v>
      </c>
      <c r="Q121" t="s">
        <v>164</v>
      </c>
      <c r="S121" t="s">
        <v>230</v>
      </c>
      <c r="T121" t="s">
        <v>172</v>
      </c>
      <c r="U121">
        <v>4.2529630807095044E-3</v>
      </c>
      <c r="V121" t="s">
        <v>164</v>
      </c>
      <c r="AK121">
        <v>2038</v>
      </c>
      <c r="AL121" t="s">
        <v>260</v>
      </c>
      <c r="AM121">
        <v>0.42469999999999997</v>
      </c>
      <c r="AN121" t="s">
        <v>253</v>
      </c>
    </row>
    <row r="122" spans="9:40" x14ac:dyDescent="0.45">
      <c r="I122" t="s">
        <v>177</v>
      </c>
      <c r="J122" t="s">
        <v>268</v>
      </c>
      <c r="K122">
        <v>6.0298619824082446E-2</v>
      </c>
      <c r="L122" t="s">
        <v>164</v>
      </c>
      <c r="N122" t="s">
        <v>210</v>
      </c>
      <c r="O122" t="s">
        <v>268</v>
      </c>
      <c r="P122">
        <v>2.9218043554072752E-2</v>
      </c>
      <c r="Q122" t="s">
        <v>164</v>
      </c>
      <c r="S122" t="s">
        <v>230</v>
      </c>
      <c r="T122" t="s">
        <v>268</v>
      </c>
      <c r="U122">
        <v>2.5158100330845579E-2</v>
      </c>
      <c r="V122" t="s">
        <v>164</v>
      </c>
      <c r="AK122">
        <v>2038</v>
      </c>
      <c r="AL122" t="s">
        <v>261</v>
      </c>
      <c r="AM122">
        <v>0.41870000000000002</v>
      </c>
      <c r="AN122" t="s">
        <v>253</v>
      </c>
    </row>
    <row r="123" spans="9:40" x14ac:dyDescent="0.45">
      <c r="I123" t="s">
        <v>177</v>
      </c>
      <c r="J123" t="s">
        <v>269</v>
      </c>
      <c r="K123">
        <v>6.5594957683699625E-3</v>
      </c>
      <c r="L123" t="s">
        <v>164</v>
      </c>
      <c r="N123" t="s">
        <v>210</v>
      </c>
      <c r="O123" t="s">
        <v>269</v>
      </c>
      <c r="P123">
        <v>6.2452534333426171E-3</v>
      </c>
      <c r="Q123" t="s">
        <v>164</v>
      </c>
      <c r="S123" t="s">
        <v>230</v>
      </c>
      <c r="T123" t="s">
        <v>269</v>
      </c>
      <c r="U123">
        <v>4.4630077471581424E-3</v>
      </c>
      <c r="V123" t="s">
        <v>164</v>
      </c>
      <c r="AK123">
        <v>2039</v>
      </c>
      <c r="AL123" t="s">
        <v>152</v>
      </c>
      <c r="AM123">
        <v>0.46879999999999999</v>
      </c>
      <c r="AN123" t="s">
        <v>253</v>
      </c>
    </row>
    <row r="124" spans="9:40" x14ac:dyDescent="0.45">
      <c r="I124" t="s">
        <v>177</v>
      </c>
      <c r="J124" t="s">
        <v>270</v>
      </c>
      <c r="K124">
        <v>4.3824448499438489E-3</v>
      </c>
      <c r="L124" t="s">
        <v>164</v>
      </c>
      <c r="N124" t="s">
        <v>210</v>
      </c>
      <c r="O124" t="s">
        <v>270</v>
      </c>
      <c r="P124">
        <v>4.1821497131015475E-2</v>
      </c>
      <c r="Q124" t="s">
        <v>164</v>
      </c>
      <c r="S124" t="s">
        <v>230</v>
      </c>
      <c r="T124" t="s">
        <v>270</v>
      </c>
      <c r="U124">
        <v>2.6887733950572035E-2</v>
      </c>
      <c r="V124" t="s">
        <v>164</v>
      </c>
      <c r="AK124">
        <v>2039</v>
      </c>
      <c r="AL124" t="s">
        <v>156</v>
      </c>
      <c r="AM124">
        <v>0.39479999999999998</v>
      </c>
      <c r="AN124" t="s">
        <v>253</v>
      </c>
    </row>
    <row r="125" spans="9:40" x14ac:dyDescent="0.45">
      <c r="I125" t="s">
        <v>177</v>
      </c>
      <c r="J125" t="s">
        <v>173</v>
      </c>
      <c r="K125">
        <v>1.3261102838409256E-2</v>
      </c>
      <c r="L125" t="s">
        <v>164</v>
      </c>
      <c r="N125" t="s">
        <v>210</v>
      </c>
      <c r="O125" t="s">
        <v>173</v>
      </c>
      <c r="P125">
        <v>5.9091678588584239E-2</v>
      </c>
      <c r="Q125" t="s">
        <v>164</v>
      </c>
      <c r="S125" t="s">
        <v>230</v>
      </c>
      <c r="T125" t="s">
        <v>173</v>
      </c>
      <c r="U125">
        <v>6.8527937721428567E-2</v>
      </c>
      <c r="V125" t="s">
        <v>164</v>
      </c>
      <c r="AK125">
        <v>2039</v>
      </c>
      <c r="AL125" t="s">
        <v>158</v>
      </c>
      <c r="AM125">
        <v>0.37919999999999998</v>
      </c>
      <c r="AN125" t="s">
        <v>253</v>
      </c>
    </row>
    <row r="126" spans="9:40" x14ac:dyDescent="0.45">
      <c r="I126" t="s">
        <v>177</v>
      </c>
      <c r="J126" t="s">
        <v>174</v>
      </c>
      <c r="K126">
        <v>1.1795909989598936E-2</v>
      </c>
      <c r="L126" t="s">
        <v>164</v>
      </c>
      <c r="N126" t="s">
        <v>210</v>
      </c>
      <c r="O126" t="s">
        <v>174</v>
      </c>
      <c r="P126">
        <v>2.7875069166770059E-3</v>
      </c>
      <c r="Q126" t="s">
        <v>164</v>
      </c>
      <c r="S126" t="s">
        <v>230</v>
      </c>
      <c r="T126" t="s">
        <v>174</v>
      </c>
      <c r="U126">
        <v>7.2249079931844236E-3</v>
      </c>
      <c r="V126" t="s">
        <v>164</v>
      </c>
      <c r="AK126">
        <v>2039</v>
      </c>
      <c r="AL126" t="s">
        <v>160</v>
      </c>
      <c r="AM126">
        <v>0.3453</v>
      </c>
      <c r="AN126" t="s">
        <v>253</v>
      </c>
    </row>
    <row r="127" spans="9:40" x14ac:dyDescent="0.45">
      <c r="I127" t="s">
        <v>177</v>
      </c>
      <c r="J127" t="s">
        <v>175</v>
      </c>
      <c r="K127">
        <v>1.4288627647652496E-2</v>
      </c>
      <c r="L127" t="s">
        <v>164</v>
      </c>
      <c r="N127" t="s">
        <v>210</v>
      </c>
      <c r="O127" t="s">
        <v>175</v>
      </c>
      <c r="P127">
        <v>2.5510746586468128E-3</v>
      </c>
      <c r="Q127" t="s">
        <v>164</v>
      </c>
      <c r="S127" t="s">
        <v>230</v>
      </c>
      <c r="T127" t="s">
        <v>175</v>
      </c>
      <c r="U127">
        <v>6.9462754468832197E-3</v>
      </c>
      <c r="V127" t="s">
        <v>164</v>
      </c>
      <c r="AK127">
        <v>2039</v>
      </c>
      <c r="AL127" t="s">
        <v>256</v>
      </c>
      <c r="AM127">
        <v>0.31220000000000003</v>
      </c>
      <c r="AN127" t="s">
        <v>253</v>
      </c>
    </row>
    <row r="128" spans="9:40" x14ac:dyDescent="0.45">
      <c r="I128" t="s">
        <v>177</v>
      </c>
      <c r="J128" t="s">
        <v>271</v>
      </c>
      <c r="K128">
        <v>8.9109062353852783E-2</v>
      </c>
      <c r="L128" t="s">
        <v>164</v>
      </c>
      <c r="N128" t="s">
        <v>210</v>
      </c>
      <c r="O128" t="s">
        <v>271</v>
      </c>
      <c r="P128">
        <v>2.985205123741274E-2</v>
      </c>
      <c r="Q128" t="s">
        <v>164</v>
      </c>
      <c r="S128" t="s">
        <v>230</v>
      </c>
      <c r="T128" t="s">
        <v>271</v>
      </c>
      <c r="U128">
        <v>4.0977007228010814E-2</v>
      </c>
      <c r="V128" t="s">
        <v>164</v>
      </c>
      <c r="AK128">
        <v>2039</v>
      </c>
      <c r="AL128" t="s">
        <v>258</v>
      </c>
      <c r="AM128">
        <v>0.41265000000000002</v>
      </c>
      <c r="AN128" t="s">
        <v>253</v>
      </c>
    </row>
    <row r="129" spans="9:40" x14ac:dyDescent="0.45">
      <c r="I129" t="s">
        <v>177</v>
      </c>
      <c r="J129" t="s">
        <v>272</v>
      </c>
      <c r="K129">
        <v>7.7491791042779007E-3</v>
      </c>
      <c r="L129" t="s">
        <v>164</v>
      </c>
      <c r="N129" t="s">
        <v>210</v>
      </c>
      <c r="O129" t="s">
        <v>272</v>
      </c>
      <c r="P129">
        <v>7.9288808497475355E-3</v>
      </c>
      <c r="Q129" t="s">
        <v>164</v>
      </c>
      <c r="S129" t="s">
        <v>230</v>
      </c>
      <c r="T129" t="s">
        <v>272</v>
      </c>
      <c r="U129">
        <v>7.807955745678088E-3</v>
      </c>
      <c r="V129" t="s">
        <v>164</v>
      </c>
      <c r="AK129">
        <v>2039</v>
      </c>
      <c r="AL129" t="s">
        <v>260</v>
      </c>
      <c r="AM129">
        <v>0.44205</v>
      </c>
      <c r="AN129" t="s">
        <v>253</v>
      </c>
    </row>
    <row r="130" spans="9:40" x14ac:dyDescent="0.45">
      <c r="I130" t="s">
        <v>177</v>
      </c>
      <c r="J130" t="s">
        <v>273</v>
      </c>
      <c r="K130">
        <v>4.5775576847388302E-3</v>
      </c>
      <c r="L130" t="s">
        <v>164</v>
      </c>
      <c r="N130" t="s">
        <v>210</v>
      </c>
      <c r="O130" t="s">
        <v>273</v>
      </c>
      <c r="P130">
        <v>5.7825201300324133E-2</v>
      </c>
      <c r="Q130" t="s">
        <v>164</v>
      </c>
      <c r="S130" t="s">
        <v>230</v>
      </c>
      <c r="T130" t="s">
        <v>273</v>
      </c>
      <c r="U130">
        <v>4.8207499816951362E-2</v>
      </c>
      <c r="V130" t="s">
        <v>164</v>
      </c>
      <c r="AK130">
        <v>2039</v>
      </c>
      <c r="AL130" t="s">
        <v>261</v>
      </c>
      <c r="AM130">
        <v>0.3947</v>
      </c>
      <c r="AN130" t="s">
        <v>253</v>
      </c>
    </row>
    <row r="131" spans="9:40" x14ac:dyDescent="0.45">
      <c r="I131" t="s">
        <v>177</v>
      </c>
      <c r="J131" t="s">
        <v>274</v>
      </c>
      <c r="K131">
        <v>1.2166168196040513E-2</v>
      </c>
      <c r="L131" t="s">
        <v>164</v>
      </c>
      <c r="N131" t="s">
        <v>210</v>
      </c>
      <c r="O131" t="s">
        <v>274</v>
      </c>
      <c r="P131">
        <v>5.8991476593345672E-2</v>
      </c>
      <c r="Q131" t="s">
        <v>164</v>
      </c>
      <c r="S131" t="s">
        <v>230</v>
      </c>
      <c r="T131" t="s">
        <v>274</v>
      </c>
      <c r="U131">
        <v>8.5984379716346135E-2</v>
      </c>
      <c r="V131" t="s">
        <v>164</v>
      </c>
      <c r="AK131">
        <v>2040</v>
      </c>
      <c r="AL131" t="s">
        <v>152</v>
      </c>
      <c r="AM131">
        <v>0.44080000000000003</v>
      </c>
      <c r="AN131" t="s">
        <v>253</v>
      </c>
    </row>
    <row r="132" spans="9:40" x14ac:dyDescent="0.45">
      <c r="I132" t="s">
        <v>177</v>
      </c>
      <c r="J132" t="s">
        <v>275</v>
      </c>
      <c r="K132">
        <v>1.1178034544742149E-2</v>
      </c>
      <c r="L132" t="s">
        <v>164</v>
      </c>
      <c r="N132" t="s">
        <v>210</v>
      </c>
      <c r="O132" t="s">
        <v>275</v>
      </c>
      <c r="P132">
        <v>3.1115940113838965E-3</v>
      </c>
      <c r="Q132" t="s">
        <v>164</v>
      </c>
      <c r="S132" t="s">
        <v>230</v>
      </c>
      <c r="T132" t="s">
        <v>275</v>
      </c>
      <c r="U132">
        <v>8.9288050707530091E-3</v>
      </c>
      <c r="V132" t="s">
        <v>164</v>
      </c>
      <c r="AK132">
        <v>2040</v>
      </c>
      <c r="AL132" t="s">
        <v>156</v>
      </c>
      <c r="AM132">
        <v>0.47649999999999998</v>
      </c>
      <c r="AN132" t="s">
        <v>253</v>
      </c>
    </row>
    <row r="133" spans="9:40" x14ac:dyDescent="0.45">
      <c r="I133" t="s">
        <v>177</v>
      </c>
      <c r="J133" t="s">
        <v>276</v>
      </c>
      <c r="K133">
        <v>1.385272732107669E-2</v>
      </c>
      <c r="L133" t="s">
        <v>164</v>
      </c>
      <c r="N133" t="s">
        <v>210</v>
      </c>
      <c r="O133" t="s">
        <v>276</v>
      </c>
      <c r="P133">
        <v>2.8321771940429726E-3</v>
      </c>
      <c r="Q133" t="s">
        <v>164</v>
      </c>
      <c r="S133" t="s">
        <v>230</v>
      </c>
      <c r="T133" t="s">
        <v>276</v>
      </c>
      <c r="U133">
        <v>8.757130769945675E-3</v>
      </c>
      <c r="V133" t="s">
        <v>164</v>
      </c>
      <c r="AK133">
        <v>2040</v>
      </c>
      <c r="AL133" t="s">
        <v>158</v>
      </c>
      <c r="AM133">
        <v>0.37319999999999998</v>
      </c>
      <c r="AN133" t="s">
        <v>253</v>
      </c>
    </row>
    <row r="134" spans="9:40" x14ac:dyDescent="0.45">
      <c r="I134" t="s">
        <v>177</v>
      </c>
      <c r="J134" t="s">
        <v>277</v>
      </c>
      <c r="K134">
        <v>9.1064356988992359E-2</v>
      </c>
      <c r="L134" t="s">
        <v>164</v>
      </c>
      <c r="N134" t="s">
        <v>210</v>
      </c>
      <c r="O134" t="s">
        <v>277</v>
      </c>
      <c r="P134">
        <v>3.4109282648353639E-2</v>
      </c>
      <c r="Q134" t="s">
        <v>164</v>
      </c>
      <c r="S134" t="s">
        <v>230</v>
      </c>
      <c r="T134" t="s">
        <v>277</v>
      </c>
      <c r="U134">
        <v>5.0909666587028418E-2</v>
      </c>
      <c r="V134" t="s">
        <v>164</v>
      </c>
      <c r="AK134">
        <v>2040</v>
      </c>
      <c r="AL134" t="s">
        <v>160</v>
      </c>
      <c r="AM134">
        <v>0.31279999999999997</v>
      </c>
      <c r="AN134" t="s">
        <v>253</v>
      </c>
    </row>
    <row r="135" spans="9:40" x14ac:dyDescent="0.45">
      <c r="I135" t="s">
        <v>177</v>
      </c>
      <c r="J135" t="s">
        <v>278</v>
      </c>
      <c r="K135">
        <v>8.8427453607779292E-3</v>
      </c>
      <c r="L135" t="s">
        <v>164</v>
      </c>
      <c r="N135" t="s">
        <v>210</v>
      </c>
      <c r="O135" t="s">
        <v>278</v>
      </c>
      <c r="P135">
        <v>8.5525442869070142E-3</v>
      </c>
      <c r="Q135" t="s">
        <v>164</v>
      </c>
      <c r="S135" t="s">
        <v>230</v>
      </c>
      <c r="T135" t="s">
        <v>278</v>
      </c>
      <c r="U135">
        <v>9.1137631883957231E-3</v>
      </c>
      <c r="V135" t="s">
        <v>164</v>
      </c>
      <c r="AK135">
        <v>2040</v>
      </c>
      <c r="AL135" t="s">
        <v>256</v>
      </c>
      <c r="AM135">
        <v>0.31200000000000006</v>
      </c>
      <c r="AN135" t="s">
        <v>253</v>
      </c>
    </row>
    <row r="136" spans="9:40" x14ac:dyDescent="0.45">
      <c r="I136" t="s">
        <v>177</v>
      </c>
      <c r="J136" t="s">
        <v>279</v>
      </c>
      <c r="K136">
        <v>5.8222177212992783E-3</v>
      </c>
      <c r="L136" t="s">
        <v>164</v>
      </c>
      <c r="N136" t="s">
        <v>210</v>
      </c>
      <c r="O136" t="s">
        <v>279</v>
      </c>
      <c r="P136">
        <v>6.0410416246551961E-2</v>
      </c>
      <c r="Q136" t="s">
        <v>164</v>
      </c>
      <c r="S136" t="s">
        <v>230</v>
      </c>
      <c r="T136" t="s">
        <v>279</v>
      </c>
      <c r="U136">
        <v>5.7601250495948886E-2</v>
      </c>
      <c r="V136" t="s">
        <v>164</v>
      </c>
      <c r="AK136">
        <v>2040</v>
      </c>
      <c r="AL136" t="s">
        <v>258</v>
      </c>
      <c r="AM136">
        <v>0.35585</v>
      </c>
      <c r="AN136" t="s">
        <v>253</v>
      </c>
    </row>
    <row r="137" spans="9:40" x14ac:dyDescent="0.45">
      <c r="I137" t="s">
        <v>177</v>
      </c>
      <c r="J137" t="s">
        <v>280</v>
      </c>
      <c r="K137">
        <v>1.7309892464763815E-2</v>
      </c>
      <c r="L137" t="s">
        <v>164</v>
      </c>
      <c r="N137" t="s">
        <v>210</v>
      </c>
      <c r="O137" t="s">
        <v>280</v>
      </c>
      <c r="P137">
        <v>2.7594019823967111E-2</v>
      </c>
      <c r="Q137" t="s">
        <v>164</v>
      </c>
      <c r="S137" t="s">
        <v>230</v>
      </c>
      <c r="T137" t="s">
        <v>280</v>
      </c>
      <c r="U137">
        <v>3.9517450593763132E-2</v>
      </c>
      <c r="V137" t="s">
        <v>164</v>
      </c>
      <c r="AK137">
        <v>2040</v>
      </c>
      <c r="AL137" t="s">
        <v>260</v>
      </c>
      <c r="AM137">
        <v>0.44555</v>
      </c>
      <c r="AN137" t="s">
        <v>253</v>
      </c>
    </row>
    <row r="138" spans="9:40" x14ac:dyDescent="0.45">
      <c r="I138" t="s">
        <v>177</v>
      </c>
      <c r="J138" t="s">
        <v>281</v>
      </c>
      <c r="K138">
        <v>1.5364069300892324E-2</v>
      </c>
      <c r="L138" t="s">
        <v>164</v>
      </c>
      <c r="N138" t="s">
        <v>210</v>
      </c>
      <c r="O138" t="s">
        <v>281</v>
      </c>
      <c r="P138">
        <v>1.34714894569533E-3</v>
      </c>
      <c r="Q138" t="s">
        <v>164</v>
      </c>
      <c r="S138" t="s">
        <v>230</v>
      </c>
      <c r="T138" t="s">
        <v>281</v>
      </c>
      <c r="U138">
        <v>3.8937956184375237E-3</v>
      </c>
      <c r="V138" t="s">
        <v>164</v>
      </c>
      <c r="AK138">
        <v>2040</v>
      </c>
      <c r="AL138" t="s">
        <v>261</v>
      </c>
      <c r="AM138">
        <v>0.44130000000000003</v>
      </c>
      <c r="AN138" t="s">
        <v>253</v>
      </c>
    </row>
    <row r="139" spans="9:40" x14ac:dyDescent="0.45">
      <c r="I139" t="s">
        <v>177</v>
      </c>
      <c r="J139" t="s">
        <v>282</v>
      </c>
      <c r="K139">
        <v>1.7914614331769073E-2</v>
      </c>
      <c r="L139" t="s">
        <v>164</v>
      </c>
      <c r="N139" t="s">
        <v>210</v>
      </c>
      <c r="O139" t="s">
        <v>282</v>
      </c>
      <c r="P139">
        <v>1.2633763643388105E-3</v>
      </c>
      <c r="Q139" t="s">
        <v>164</v>
      </c>
      <c r="S139" t="s">
        <v>230</v>
      </c>
      <c r="T139" t="s">
        <v>282</v>
      </c>
      <c r="U139">
        <v>3.7775192084694444E-3</v>
      </c>
      <c r="V139" t="s">
        <v>164</v>
      </c>
      <c r="AK139">
        <v>2041</v>
      </c>
      <c r="AL139" t="s">
        <v>152</v>
      </c>
      <c r="AM139">
        <v>0.4491</v>
      </c>
      <c r="AN139" t="s">
        <v>253</v>
      </c>
    </row>
    <row r="140" spans="9:40" x14ac:dyDescent="0.45">
      <c r="I140" t="s">
        <v>177</v>
      </c>
      <c r="J140" t="s">
        <v>283</v>
      </c>
      <c r="K140">
        <v>0.1056657854095914</v>
      </c>
      <c r="L140" t="s">
        <v>164</v>
      </c>
      <c r="N140" t="s">
        <v>210</v>
      </c>
      <c r="O140" t="s">
        <v>283</v>
      </c>
      <c r="P140">
        <v>1.272719748845004E-2</v>
      </c>
      <c r="Q140" t="s">
        <v>164</v>
      </c>
      <c r="S140" t="s">
        <v>230</v>
      </c>
      <c r="T140" t="s">
        <v>283</v>
      </c>
      <c r="U140">
        <v>2.0424090664791752E-2</v>
      </c>
      <c r="V140" t="s">
        <v>164</v>
      </c>
      <c r="AK140">
        <v>2041</v>
      </c>
      <c r="AL140" t="s">
        <v>156</v>
      </c>
      <c r="AM140">
        <v>0.45069999999999999</v>
      </c>
      <c r="AN140" t="s">
        <v>253</v>
      </c>
    </row>
    <row r="141" spans="9:40" x14ac:dyDescent="0.45">
      <c r="I141" t="s">
        <v>177</v>
      </c>
      <c r="J141" t="s">
        <v>284</v>
      </c>
      <c r="K141">
        <v>1.0240441691489343E-2</v>
      </c>
      <c r="L141" t="s">
        <v>164</v>
      </c>
      <c r="N141" t="s">
        <v>210</v>
      </c>
      <c r="O141" t="s">
        <v>284</v>
      </c>
      <c r="P141">
        <v>3.5864633769070783E-3</v>
      </c>
      <c r="Q141" t="s">
        <v>164</v>
      </c>
      <c r="S141" t="s">
        <v>230</v>
      </c>
      <c r="T141" t="s">
        <v>284</v>
      </c>
      <c r="U141">
        <v>3.9177898333130727E-3</v>
      </c>
      <c r="V141" t="s">
        <v>164</v>
      </c>
      <c r="AK141">
        <v>2041</v>
      </c>
      <c r="AL141" t="s">
        <v>158</v>
      </c>
      <c r="AM141">
        <v>0.37630000000000002</v>
      </c>
      <c r="AN141" t="s">
        <v>253</v>
      </c>
    </row>
    <row r="142" spans="9:40" x14ac:dyDescent="0.45">
      <c r="I142" t="s">
        <v>177</v>
      </c>
      <c r="J142" t="s">
        <v>285</v>
      </c>
      <c r="K142">
        <v>6.6529931788890592E-3</v>
      </c>
      <c r="L142" t="s">
        <v>164</v>
      </c>
      <c r="N142" t="s">
        <v>210</v>
      </c>
      <c r="O142" t="s">
        <v>285</v>
      </c>
      <c r="P142">
        <v>2.975522624717851E-2</v>
      </c>
      <c r="Q142" t="s">
        <v>164</v>
      </c>
      <c r="S142" t="s">
        <v>230</v>
      </c>
      <c r="T142" t="s">
        <v>285</v>
      </c>
      <c r="U142">
        <v>2.7953622875653329E-2</v>
      </c>
      <c r="V142" t="s">
        <v>164</v>
      </c>
      <c r="AK142">
        <v>2041</v>
      </c>
      <c r="AL142" t="s">
        <v>160</v>
      </c>
      <c r="AM142">
        <v>0.35299999999999998</v>
      </c>
      <c r="AN142" t="s">
        <v>253</v>
      </c>
    </row>
    <row r="143" spans="9:40" x14ac:dyDescent="0.45">
      <c r="I143" t="s">
        <v>177</v>
      </c>
      <c r="J143" t="s">
        <v>286</v>
      </c>
      <c r="K143">
        <v>2.2253066239820801E-2</v>
      </c>
      <c r="L143" t="s">
        <v>164</v>
      </c>
      <c r="N143" t="s">
        <v>210</v>
      </c>
      <c r="O143" t="s">
        <v>286</v>
      </c>
      <c r="P143">
        <v>2.804267850676332E-2</v>
      </c>
      <c r="Q143" t="s">
        <v>164</v>
      </c>
      <c r="S143" t="s">
        <v>230</v>
      </c>
      <c r="T143" t="s">
        <v>286</v>
      </c>
      <c r="U143">
        <v>3.3344013478116261E-2</v>
      </c>
      <c r="V143" t="s">
        <v>164</v>
      </c>
      <c r="AK143">
        <v>2041</v>
      </c>
      <c r="AL143" t="s">
        <v>256</v>
      </c>
      <c r="AM143">
        <v>0.31459999999999999</v>
      </c>
      <c r="AN143" t="s">
        <v>253</v>
      </c>
    </row>
    <row r="144" spans="9:40" x14ac:dyDescent="0.45">
      <c r="I144" t="s">
        <v>177</v>
      </c>
      <c r="J144" t="s">
        <v>287</v>
      </c>
      <c r="K144">
        <v>1.8376659633022915E-2</v>
      </c>
      <c r="L144" t="s">
        <v>164</v>
      </c>
      <c r="N144" t="s">
        <v>210</v>
      </c>
      <c r="O144" t="s">
        <v>287</v>
      </c>
      <c r="P144">
        <v>1.1216335565019844E-3</v>
      </c>
      <c r="Q144" t="s">
        <v>164</v>
      </c>
      <c r="S144" t="s">
        <v>230</v>
      </c>
      <c r="T144" t="s">
        <v>287</v>
      </c>
      <c r="U144">
        <v>3.512299110426496E-3</v>
      </c>
      <c r="V144" t="s">
        <v>164</v>
      </c>
      <c r="AK144">
        <v>2041</v>
      </c>
      <c r="AL144" t="s">
        <v>258</v>
      </c>
      <c r="AM144">
        <v>0.3911</v>
      </c>
      <c r="AN144" t="s">
        <v>253</v>
      </c>
    </row>
    <row r="145" spans="9:40" x14ac:dyDescent="0.45">
      <c r="I145" t="s">
        <v>177</v>
      </c>
      <c r="J145" t="s">
        <v>288</v>
      </c>
      <c r="K145">
        <v>2.0568021804688297E-2</v>
      </c>
      <c r="L145" t="s">
        <v>164</v>
      </c>
      <c r="N145" t="s">
        <v>210</v>
      </c>
      <c r="O145" t="s">
        <v>288</v>
      </c>
      <c r="P145">
        <v>1.072261119657694E-3</v>
      </c>
      <c r="Q145" t="s">
        <v>164</v>
      </c>
      <c r="S145" t="s">
        <v>230</v>
      </c>
      <c r="T145" t="s">
        <v>288</v>
      </c>
      <c r="U145">
        <v>3.2988361054131095E-3</v>
      </c>
      <c r="V145" t="s">
        <v>164</v>
      </c>
      <c r="AK145">
        <v>2041</v>
      </c>
      <c r="AL145" t="s">
        <v>260</v>
      </c>
      <c r="AM145">
        <v>0.44899999999999995</v>
      </c>
      <c r="AN145" t="s">
        <v>253</v>
      </c>
    </row>
    <row r="146" spans="9:40" x14ac:dyDescent="0.45">
      <c r="I146" t="s">
        <v>177</v>
      </c>
      <c r="J146" t="s">
        <v>289</v>
      </c>
      <c r="K146">
        <v>0.10994528173426871</v>
      </c>
      <c r="L146" t="s">
        <v>164</v>
      </c>
      <c r="N146" t="s">
        <v>210</v>
      </c>
      <c r="O146" t="s">
        <v>289</v>
      </c>
      <c r="P146">
        <v>1.3558106035141997E-2</v>
      </c>
      <c r="Q146" t="s">
        <v>164</v>
      </c>
      <c r="S146" t="s">
        <v>230</v>
      </c>
      <c r="T146" t="s">
        <v>289</v>
      </c>
      <c r="U146">
        <v>1.9061256172652016E-2</v>
      </c>
      <c r="V146" t="s">
        <v>164</v>
      </c>
      <c r="AK146">
        <v>2041</v>
      </c>
      <c r="AL146" t="s">
        <v>261</v>
      </c>
      <c r="AM146">
        <v>0.40310000000000001</v>
      </c>
      <c r="AN146" t="s">
        <v>253</v>
      </c>
    </row>
    <row r="147" spans="9:40" x14ac:dyDescent="0.45">
      <c r="I147" t="s">
        <v>177</v>
      </c>
      <c r="J147" t="s">
        <v>290</v>
      </c>
      <c r="K147">
        <v>9.7712737274208393E-3</v>
      </c>
      <c r="L147" t="s">
        <v>164</v>
      </c>
      <c r="N147" t="s">
        <v>210</v>
      </c>
      <c r="O147" t="s">
        <v>290</v>
      </c>
      <c r="P147">
        <v>3.8417390707415722E-3</v>
      </c>
      <c r="Q147" t="s">
        <v>164</v>
      </c>
      <c r="S147" t="s">
        <v>230</v>
      </c>
      <c r="T147" t="s">
        <v>290</v>
      </c>
      <c r="U147">
        <v>3.6174497666006419E-3</v>
      </c>
      <c r="V147" t="s">
        <v>164</v>
      </c>
      <c r="AK147">
        <v>2042</v>
      </c>
      <c r="AL147" t="s">
        <v>152</v>
      </c>
      <c r="AM147">
        <v>0.4194</v>
      </c>
      <c r="AN147" t="s">
        <v>253</v>
      </c>
    </row>
    <row r="148" spans="9:40" x14ac:dyDescent="0.45">
      <c r="I148" t="s">
        <v>177</v>
      </c>
      <c r="J148" t="s">
        <v>291</v>
      </c>
      <c r="K148">
        <v>6.1252768308250449E-3</v>
      </c>
      <c r="L148" t="s">
        <v>164</v>
      </c>
      <c r="N148" t="s">
        <v>210</v>
      </c>
      <c r="O148" t="s">
        <v>291</v>
      </c>
      <c r="P148">
        <v>3.5184701389988374E-2</v>
      </c>
      <c r="Q148" t="s">
        <v>164</v>
      </c>
      <c r="S148" t="s">
        <v>230</v>
      </c>
      <c r="T148" t="s">
        <v>291</v>
      </c>
      <c r="U148">
        <v>2.7774565911795498E-2</v>
      </c>
      <c r="V148" t="s">
        <v>164</v>
      </c>
      <c r="AK148">
        <v>2042</v>
      </c>
      <c r="AL148" t="s">
        <v>156</v>
      </c>
      <c r="AM148">
        <v>0.46820000000000001</v>
      </c>
      <c r="AN148" t="s">
        <v>253</v>
      </c>
    </row>
    <row r="149" spans="9:40" x14ac:dyDescent="0.45">
      <c r="I149" t="s">
        <v>177</v>
      </c>
      <c r="J149" t="s">
        <v>292</v>
      </c>
      <c r="K149">
        <v>9.4231315069750014E-3</v>
      </c>
      <c r="L149" t="s">
        <v>164</v>
      </c>
      <c r="N149" t="s">
        <v>210</v>
      </c>
      <c r="O149" t="s">
        <v>292</v>
      </c>
      <c r="P149">
        <v>3.205590045420225E-2</v>
      </c>
      <c r="Q149" t="s">
        <v>164</v>
      </c>
      <c r="S149" t="s">
        <v>230</v>
      </c>
      <c r="T149" t="s">
        <v>292</v>
      </c>
      <c r="U149">
        <v>3.1299459327691917E-2</v>
      </c>
      <c r="V149" t="s">
        <v>164</v>
      </c>
      <c r="AK149">
        <v>2042</v>
      </c>
      <c r="AL149" t="s">
        <v>158</v>
      </c>
      <c r="AM149">
        <v>0.40920000000000001</v>
      </c>
      <c r="AN149" t="s">
        <v>253</v>
      </c>
    </row>
    <row r="150" spans="9:40" x14ac:dyDescent="0.45">
      <c r="I150" t="s">
        <v>177</v>
      </c>
      <c r="J150" t="s">
        <v>293</v>
      </c>
      <c r="K150">
        <v>8.3718664413236794E-3</v>
      </c>
      <c r="L150" t="s">
        <v>164</v>
      </c>
      <c r="N150" t="s">
        <v>210</v>
      </c>
      <c r="O150" t="s">
        <v>293</v>
      </c>
      <c r="P150">
        <v>2.4052676151572047E-3</v>
      </c>
      <c r="Q150" t="s">
        <v>164</v>
      </c>
      <c r="S150" t="s">
        <v>230</v>
      </c>
      <c r="T150" t="s">
        <v>293</v>
      </c>
      <c r="U150">
        <v>3.5761151785594532E-3</v>
      </c>
      <c r="V150" t="s">
        <v>164</v>
      </c>
      <c r="AK150">
        <v>2042</v>
      </c>
      <c r="AL150" t="s">
        <v>160</v>
      </c>
      <c r="AM150">
        <v>0.32245000000000001</v>
      </c>
      <c r="AN150" t="s">
        <v>253</v>
      </c>
    </row>
    <row r="151" spans="9:40" x14ac:dyDescent="0.45">
      <c r="I151" t="s">
        <v>177</v>
      </c>
      <c r="J151" t="s">
        <v>294</v>
      </c>
      <c r="K151">
        <v>9.3408638164250799E-3</v>
      </c>
      <c r="L151" t="s">
        <v>164</v>
      </c>
      <c r="N151" t="s">
        <v>210</v>
      </c>
      <c r="O151" t="s">
        <v>294</v>
      </c>
      <c r="P151">
        <v>2.5595576965364727E-3</v>
      </c>
      <c r="Q151" t="s">
        <v>164</v>
      </c>
      <c r="S151" t="s">
        <v>230</v>
      </c>
      <c r="T151" t="s">
        <v>294</v>
      </c>
      <c r="U151">
        <v>3.6670283272427283E-3</v>
      </c>
      <c r="V151" t="s">
        <v>164</v>
      </c>
      <c r="AK151">
        <v>2042</v>
      </c>
      <c r="AL151" t="s">
        <v>256</v>
      </c>
      <c r="AM151">
        <v>0.31610000000000005</v>
      </c>
      <c r="AN151" t="s">
        <v>253</v>
      </c>
    </row>
    <row r="152" spans="9:40" x14ac:dyDescent="0.45">
      <c r="I152" t="s">
        <v>177</v>
      </c>
      <c r="J152" t="s">
        <v>295</v>
      </c>
      <c r="K152">
        <v>5.1269220848689963E-2</v>
      </c>
      <c r="L152" t="s">
        <v>164</v>
      </c>
      <c r="N152" t="s">
        <v>210</v>
      </c>
      <c r="O152" t="s">
        <v>295</v>
      </c>
      <c r="P152">
        <v>2.5777996390759172E-2</v>
      </c>
      <c r="Q152" t="s">
        <v>164</v>
      </c>
      <c r="S152" t="s">
        <v>230</v>
      </c>
      <c r="T152" t="s">
        <v>295</v>
      </c>
      <c r="U152">
        <v>2.3625403389818844E-2</v>
      </c>
      <c r="V152" t="s">
        <v>164</v>
      </c>
      <c r="AK152">
        <v>2042</v>
      </c>
      <c r="AL152" t="s">
        <v>258</v>
      </c>
      <c r="AM152">
        <v>0.36424999999999996</v>
      </c>
      <c r="AN152" t="s">
        <v>253</v>
      </c>
    </row>
    <row r="153" spans="9:40" x14ac:dyDescent="0.45">
      <c r="I153" t="s">
        <v>177</v>
      </c>
      <c r="J153" t="s">
        <v>296</v>
      </c>
      <c r="K153">
        <v>4.9855408719727155E-3</v>
      </c>
      <c r="L153" t="s">
        <v>164</v>
      </c>
      <c r="N153" t="s">
        <v>210</v>
      </c>
      <c r="O153" t="s">
        <v>296</v>
      </c>
      <c r="P153">
        <v>5.5238480073587053E-3</v>
      </c>
      <c r="Q153" t="s">
        <v>164</v>
      </c>
      <c r="S153" t="s">
        <v>230</v>
      </c>
      <c r="T153" t="s">
        <v>296</v>
      </c>
      <c r="U153">
        <v>4.0861381048960489E-3</v>
      </c>
      <c r="V153" t="s">
        <v>164</v>
      </c>
      <c r="AK153">
        <v>2042</v>
      </c>
      <c r="AL153" t="s">
        <v>260</v>
      </c>
      <c r="AM153">
        <v>0.42604999999999998</v>
      </c>
      <c r="AN153" t="s">
        <v>253</v>
      </c>
    </row>
    <row r="154" spans="9:40" x14ac:dyDescent="0.45">
      <c r="I154" t="s">
        <v>177</v>
      </c>
      <c r="J154" t="s">
        <v>297</v>
      </c>
      <c r="K154">
        <v>3.4905800030810841E-3</v>
      </c>
      <c r="L154" t="s">
        <v>164</v>
      </c>
      <c r="N154" t="s">
        <v>210</v>
      </c>
      <c r="O154" t="s">
        <v>297</v>
      </c>
      <c r="P154">
        <v>3.819751621339422E-2</v>
      </c>
      <c r="Q154" t="s">
        <v>164</v>
      </c>
      <c r="S154" t="s">
        <v>230</v>
      </c>
      <c r="T154" t="s">
        <v>297</v>
      </c>
      <c r="U154">
        <v>2.6175809306374968E-2</v>
      </c>
      <c r="V154" t="s">
        <v>164</v>
      </c>
      <c r="AK154">
        <v>2042</v>
      </c>
      <c r="AL154" t="s">
        <v>261</v>
      </c>
      <c r="AM154">
        <v>0.45279999999999998</v>
      </c>
      <c r="AN154" t="s">
        <v>253</v>
      </c>
    </row>
    <row r="155" spans="9:40" x14ac:dyDescent="0.45">
      <c r="I155" t="s">
        <v>178</v>
      </c>
      <c r="J155" t="s">
        <v>163</v>
      </c>
      <c r="K155">
        <v>5.1594921229323118E-3</v>
      </c>
      <c r="L155" t="s">
        <v>164</v>
      </c>
      <c r="N155" t="s">
        <v>211</v>
      </c>
      <c r="O155" t="s">
        <v>163</v>
      </c>
      <c r="P155">
        <v>8.237460963629066E-2</v>
      </c>
      <c r="Q155" t="s">
        <v>164</v>
      </c>
      <c r="S155" t="s">
        <v>231</v>
      </c>
      <c r="T155" t="s">
        <v>163</v>
      </c>
      <c r="U155">
        <v>3.6627530696593885E-2</v>
      </c>
      <c r="V155" t="s">
        <v>164</v>
      </c>
      <c r="AK155">
        <v>2043</v>
      </c>
      <c r="AL155" t="s">
        <v>152</v>
      </c>
      <c r="AM155">
        <v>0.39629999999999999</v>
      </c>
      <c r="AN155" t="s">
        <v>253</v>
      </c>
    </row>
    <row r="156" spans="9:40" x14ac:dyDescent="0.45">
      <c r="I156" t="s">
        <v>178</v>
      </c>
      <c r="J156" t="s">
        <v>165</v>
      </c>
      <c r="K156">
        <v>7.7202635006441396E-3</v>
      </c>
      <c r="L156" t="s">
        <v>164</v>
      </c>
      <c r="N156" t="s">
        <v>211</v>
      </c>
      <c r="O156" t="s">
        <v>165</v>
      </c>
      <c r="P156">
        <v>4.5912874502702147E-3</v>
      </c>
      <c r="Q156" t="s">
        <v>164</v>
      </c>
      <c r="S156" t="s">
        <v>231</v>
      </c>
      <c r="T156" t="s">
        <v>165</v>
      </c>
      <c r="U156">
        <v>3.7326700454182269E-3</v>
      </c>
      <c r="V156" t="s">
        <v>164</v>
      </c>
      <c r="AK156">
        <v>2043</v>
      </c>
      <c r="AL156" t="s">
        <v>156</v>
      </c>
      <c r="AM156">
        <v>0.438</v>
      </c>
      <c r="AN156" t="s">
        <v>253</v>
      </c>
    </row>
    <row r="157" spans="9:40" x14ac:dyDescent="0.45">
      <c r="I157" t="s">
        <v>178</v>
      </c>
      <c r="J157" t="s">
        <v>166</v>
      </c>
      <c r="K157">
        <v>8.8654269535161437E-3</v>
      </c>
      <c r="L157" t="s">
        <v>164</v>
      </c>
      <c r="N157" t="s">
        <v>211</v>
      </c>
      <c r="O157" t="s">
        <v>166</v>
      </c>
      <c r="P157">
        <v>3.5597251836197667E-3</v>
      </c>
      <c r="Q157" t="s">
        <v>164</v>
      </c>
      <c r="S157" t="s">
        <v>231</v>
      </c>
      <c r="T157" t="s">
        <v>166</v>
      </c>
      <c r="U157">
        <v>3.7549532180900418E-3</v>
      </c>
      <c r="V157" t="s">
        <v>164</v>
      </c>
      <c r="AK157">
        <v>2043</v>
      </c>
      <c r="AL157" t="s">
        <v>158</v>
      </c>
      <c r="AM157">
        <v>0.36720000000000003</v>
      </c>
      <c r="AN157" t="s">
        <v>253</v>
      </c>
    </row>
    <row r="158" spans="9:40" x14ac:dyDescent="0.45">
      <c r="I158" t="s">
        <v>178</v>
      </c>
      <c r="J158" t="s">
        <v>262</v>
      </c>
      <c r="K158">
        <v>5.376949260497435E-2</v>
      </c>
      <c r="L158" t="s">
        <v>164</v>
      </c>
      <c r="N158" t="s">
        <v>211</v>
      </c>
      <c r="O158" t="s">
        <v>262</v>
      </c>
      <c r="P158">
        <v>2.1993430908433954E-2</v>
      </c>
      <c r="Q158" t="s">
        <v>164</v>
      </c>
      <c r="S158" t="s">
        <v>231</v>
      </c>
      <c r="T158" t="s">
        <v>262</v>
      </c>
      <c r="U158">
        <v>2.2682523601143798E-2</v>
      </c>
      <c r="V158" t="s">
        <v>164</v>
      </c>
      <c r="AK158">
        <v>2043</v>
      </c>
      <c r="AL158" t="s">
        <v>160</v>
      </c>
      <c r="AM158">
        <v>0.33255000000000001</v>
      </c>
      <c r="AN158" t="s">
        <v>253</v>
      </c>
    </row>
    <row r="159" spans="9:40" x14ac:dyDescent="0.45">
      <c r="I159" t="s">
        <v>178</v>
      </c>
      <c r="J159" t="s">
        <v>263</v>
      </c>
      <c r="K159">
        <v>6.5437250511251478E-3</v>
      </c>
      <c r="L159" t="s">
        <v>164</v>
      </c>
      <c r="N159" t="s">
        <v>211</v>
      </c>
      <c r="O159" t="s">
        <v>263</v>
      </c>
      <c r="P159">
        <v>7.6449500168706058E-3</v>
      </c>
      <c r="Q159" t="s">
        <v>164</v>
      </c>
      <c r="S159" t="s">
        <v>231</v>
      </c>
      <c r="T159" t="s">
        <v>263</v>
      </c>
      <c r="U159">
        <v>3.9516970013758366E-3</v>
      </c>
      <c r="V159" t="s">
        <v>164</v>
      </c>
      <c r="AK159">
        <v>2043</v>
      </c>
      <c r="AL159" t="s">
        <v>256</v>
      </c>
      <c r="AM159">
        <v>0.32294999999999996</v>
      </c>
      <c r="AN159" t="s">
        <v>253</v>
      </c>
    </row>
    <row r="160" spans="9:40" x14ac:dyDescent="0.45">
      <c r="I160" t="s">
        <v>178</v>
      </c>
      <c r="J160" t="s">
        <v>264</v>
      </c>
      <c r="K160">
        <v>4.6087425009210328E-3</v>
      </c>
      <c r="L160" t="s">
        <v>164</v>
      </c>
      <c r="N160" t="s">
        <v>211</v>
      </c>
      <c r="O160" t="s">
        <v>264</v>
      </c>
      <c r="P160">
        <v>7.919774903453862E-2</v>
      </c>
      <c r="Q160" t="s">
        <v>164</v>
      </c>
      <c r="S160" t="s">
        <v>231</v>
      </c>
      <c r="T160" t="s">
        <v>264</v>
      </c>
      <c r="U160">
        <v>2.7523880321676096E-2</v>
      </c>
      <c r="V160" t="s">
        <v>164</v>
      </c>
      <c r="AK160">
        <v>2043</v>
      </c>
      <c r="AL160" t="s">
        <v>258</v>
      </c>
      <c r="AM160">
        <v>0.36904999999999999</v>
      </c>
      <c r="AN160" t="s">
        <v>253</v>
      </c>
    </row>
    <row r="161" spans="9:40" x14ac:dyDescent="0.45">
      <c r="I161" t="s">
        <v>178</v>
      </c>
      <c r="J161" t="s">
        <v>167</v>
      </c>
      <c r="K161">
        <v>4.0229554641554458E-3</v>
      </c>
      <c r="L161" t="s">
        <v>164</v>
      </c>
      <c r="N161" t="s">
        <v>211</v>
      </c>
      <c r="O161" t="s">
        <v>167</v>
      </c>
      <c r="P161">
        <v>6.4936874678595713E-2</v>
      </c>
      <c r="Q161" t="s">
        <v>164</v>
      </c>
      <c r="S161" t="s">
        <v>231</v>
      </c>
      <c r="T161" t="s">
        <v>167</v>
      </c>
      <c r="U161">
        <v>3.5176085972327076E-2</v>
      </c>
      <c r="V161" t="s">
        <v>164</v>
      </c>
      <c r="AK161">
        <v>2043</v>
      </c>
      <c r="AL161" t="s">
        <v>260</v>
      </c>
      <c r="AM161">
        <v>0.40410000000000001</v>
      </c>
      <c r="AN161" t="s">
        <v>253</v>
      </c>
    </row>
    <row r="162" spans="9:40" x14ac:dyDescent="0.45">
      <c r="I162" t="s">
        <v>178</v>
      </c>
      <c r="J162" t="s">
        <v>168</v>
      </c>
      <c r="K162">
        <v>6.0218678256415718E-3</v>
      </c>
      <c r="L162" t="s">
        <v>164</v>
      </c>
      <c r="N162" t="s">
        <v>211</v>
      </c>
      <c r="O162" t="s">
        <v>168</v>
      </c>
      <c r="P162">
        <v>3.5932583922298673E-3</v>
      </c>
      <c r="Q162" t="s">
        <v>164</v>
      </c>
      <c r="S162" t="s">
        <v>231</v>
      </c>
      <c r="T162" t="s">
        <v>168</v>
      </c>
      <c r="U162">
        <v>3.91593231410355E-3</v>
      </c>
      <c r="V162" t="s">
        <v>164</v>
      </c>
      <c r="AK162">
        <v>2043</v>
      </c>
      <c r="AL162" t="s">
        <v>261</v>
      </c>
      <c r="AM162">
        <v>0.41710000000000003</v>
      </c>
      <c r="AN162" t="s">
        <v>253</v>
      </c>
    </row>
    <row r="163" spans="9:40" x14ac:dyDescent="0.45">
      <c r="I163" t="s">
        <v>178</v>
      </c>
      <c r="J163" t="s">
        <v>169</v>
      </c>
      <c r="K163">
        <v>7.5322187770833294E-3</v>
      </c>
      <c r="L163" t="s">
        <v>164</v>
      </c>
      <c r="N163" t="s">
        <v>211</v>
      </c>
      <c r="O163" t="s">
        <v>169</v>
      </c>
      <c r="P163">
        <v>2.8065744016081157E-3</v>
      </c>
      <c r="Q163" t="s">
        <v>164</v>
      </c>
      <c r="S163" t="s">
        <v>231</v>
      </c>
      <c r="T163" t="s">
        <v>169</v>
      </c>
      <c r="U163">
        <v>3.9846676767768411E-3</v>
      </c>
      <c r="V163" t="s">
        <v>164</v>
      </c>
      <c r="AK163">
        <v>2044</v>
      </c>
      <c r="AL163" t="s">
        <v>152</v>
      </c>
      <c r="AM163">
        <v>0.40820000000000001</v>
      </c>
      <c r="AN163" t="s">
        <v>253</v>
      </c>
    </row>
    <row r="164" spans="9:40" x14ac:dyDescent="0.45">
      <c r="I164" t="s">
        <v>178</v>
      </c>
      <c r="J164" t="s">
        <v>265</v>
      </c>
      <c r="K164">
        <v>4.7718401914444833E-2</v>
      </c>
      <c r="L164" t="s">
        <v>164</v>
      </c>
      <c r="N164" t="s">
        <v>211</v>
      </c>
      <c r="O164" t="s">
        <v>265</v>
      </c>
      <c r="P164">
        <v>1.9299015549091084E-2</v>
      </c>
      <c r="Q164" t="s">
        <v>164</v>
      </c>
      <c r="S164" t="s">
        <v>231</v>
      </c>
      <c r="T164" t="s">
        <v>265</v>
      </c>
      <c r="U164">
        <v>2.3644601960283843E-2</v>
      </c>
      <c r="V164" t="s">
        <v>164</v>
      </c>
      <c r="AK164">
        <v>2044</v>
      </c>
      <c r="AL164" t="s">
        <v>156</v>
      </c>
      <c r="AM164">
        <v>0.47349999999999998</v>
      </c>
      <c r="AN164" t="s">
        <v>253</v>
      </c>
    </row>
    <row r="165" spans="9:40" x14ac:dyDescent="0.45">
      <c r="I165" t="s">
        <v>178</v>
      </c>
      <c r="J165" t="s">
        <v>266</v>
      </c>
      <c r="K165">
        <v>5.7434080163688821E-3</v>
      </c>
      <c r="L165" t="s">
        <v>164</v>
      </c>
      <c r="N165" t="s">
        <v>211</v>
      </c>
      <c r="O165" t="s">
        <v>266</v>
      </c>
      <c r="P165">
        <v>4.9812725854717511E-3</v>
      </c>
      <c r="Q165" t="s">
        <v>164</v>
      </c>
      <c r="S165" t="s">
        <v>231</v>
      </c>
      <c r="T165" t="s">
        <v>266</v>
      </c>
      <c r="U165">
        <v>3.8727017516559338E-3</v>
      </c>
      <c r="V165" t="s">
        <v>164</v>
      </c>
      <c r="AK165">
        <v>2044</v>
      </c>
      <c r="AL165" t="s">
        <v>158</v>
      </c>
      <c r="AM165">
        <v>0.4</v>
      </c>
      <c r="AN165" t="s">
        <v>253</v>
      </c>
    </row>
    <row r="166" spans="9:40" x14ac:dyDescent="0.45">
      <c r="I166" t="s">
        <v>178</v>
      </c>
      <c r="J166" t="s">
        <v>267</v>
      </c>
      <c r="K166">
        <v>3.8934343317658495E-3</v>
      </c>
      <c r="L166" t="s">
        <v>164</v>
      </c>
      <c r="N166" t="s">
        <v>211</v>
      </c>
      <c r="O166" t="s">
        <v>267</v>
      </c>
      <c r="P166">
        <v>5.3166126980851658E-2</v>
      </c>
      <c r="Q166" t="s">
        <v>164</v>
      </c>
      <c r="S166" t="s">
        <v>231</v>
      </c>
      <c r="T166" t="s">
        <v>267</v>
      </c>
      <c r="U166">
        <v>2.5174995682022392E-2</v>
      </c>
      <c r="V166" t="s">
        <v>164</v>
      </c>
      <c r="AK166">
        <v>2044</v>
      </c>
      <c r="AL166" t="s">
        <v>160</v>
      </c>
      <c r="AM166">
        <v>0.34824999999999995</v>
      </c>
      <c r="AN166" t="s">
        <v>253</v>
      </c>
    </row>
    <row r="167" spans="9:40" x14ac:dyDescent="0.45">
      <c r="I167" t="s">
        <v>178</v>
      </c>
      <c r="J167" t="s">
        <v>170</v>
      </c>
      <c r="K167">
        <v>9.3270936177441213E-3</v>
      </c>
      <c r="L167" t="s">
        <v>164</v>
      </c>
      <c r="N167" t="s">
        <v>211</v>
      </c>
      <c r="O167" t="s">
        <v>170</v>
      </c>
      <c r="P167">
        <v>6.5704352792524748E-2</v>
      </c>
      <c r="Q167" t="s">
        <v>164</v>
      </c>
      <c r="S167" t="s">
        <v>231</v>
      </c>
      <c r="T167" t="s">
        <v>170</v>
      </c>
      <c r="U167">
        <v>3.936269378605492E-2</v>
      </c>
      <c r="V167" t="s">
        <v>164</v>
      </c>
      <c r="AK167">
        <v>2044</v>
      </c>
      <c r="AL167" t="s">
        <v>256</v>
      </c>
      <c r="AM167">
        <v>0.3206</v>
      </c>
      <c r="AN167" t="s">
        <v>253</v>
      </c>
    </row>
    <row r="168" spans="9:40" x14ac:dyDescent="0.45">
      <c r="I168" t="s">
        <v>178</v>
      </c>
      <c r="J168" t="s">
        <v>171</v>
      </c>
      <c r="K168">
        <v>8.6846941620203847E-3</v>
      </c>
      <c r="L168" t="s">
        <v>164</v>
      </c>
      <c r="N168" t="s">
        <v>211</v>
      </c>
      <c r="O168" t="s">
        <v>171</v>
      </c>
      <c r="P168">
        <v>3.8700571973966516E-3</v>
      </c>
      <c r="Q168" t="s">
        <v>164</v>
      </c>
      <c r="S168" t="s">
        <v>231</v>
      </c>
      <c r="T168" t="s">
        <v>171</v>
      </c>
      <c r="U168">
        <v>4.2094302388760302E-3</v>
      </c>
      <c r="V168" t="s">
        <v>164</v>
      </c>
      <c r="AK168">
        <v>2044</v>
      </c>
      <c r="AL168" t="s">
        <v>258</v>
      </c>
      <c r="AM168">
        <v>0.34060000000000001</v>
      </c>
      <c r="AN168" t="s">
        <v>253</v>
      </c>
    </row>
    <row r="169" spans="9:40" x14ac:dyDescent="0.45">
      <c r="I169" t="s">
        <v>178</v>
      </c>
      <c r="J169" t="s">
        <v>172</v>
      </c>
      <c r="K169">
        <v>1.0058593609568478E-2</v>
      </c>
      <c r="L169" t="s">
        <v>164</v>
      </c>
      <c r="N169" t="s">
        <v>211</v>
      </c>
      <c r="O169" t="s">
        <v>172</v>
      </c>
      <c r="P169">
        <v>2.9827081362787259E-3</v>
      </c>
      <c r="Q169" t="s">
        <v>164</v>
      </c>
      <c r="S169" t="s">
        <v>231</v>
      </c>
      <c r="T169" t="s">
        <v>172</v>
      </c>
      <c r="U169">
        <v>4.336786872921999E-3</v>
      </c>
      <c r="V169" t="s">
        <v>164</v>
      </c>
      <c r="AK169">
        <v>2044</v>
      </c>
      <c r="AL169" t="s">
        <v>260</v>
      </c>
      <c r="AM169">
        <v>0.47125</v>
      </c>
      <c r="AN169" t="s">
        <v>253</v>
      </c>
    </row>
    <row r="170" spans="9:40" x14ac:dyDescent="0.45">
      <c r="I170" t="s">
        <v>178</v>
      </c>
      <c r="J170" t="s">
        <v>268</v>
      </c>
      <c r="K170">
        <v>6.4535678303849361E-2</v>
      </c>
      <c r="L170" t="s">
        <v>164</v>
      </c>
      <c r="N170" t="s">
        <v>211</v>
      </c>
      <c r="O170" t="s">
        <v>268</v>
      </c>
      <c r="P170">
        <v>1.8056493628133052E-2</v>
      </c>
      <c r="Q170" t="s">
        <v>164</v>
      </c>
      <c r="S170" t="s">
        <v>231</v>
      </c>
      <c r="T170" t="s">
        <v>268</v>
      </c>
      <c r="U170">
        <v>2.719369066206994E-2</v>
      </c>
      <c r="V170" t="s">
        <v>164</v>
      </c>
      <c r="AK170">
        <v>2044</v>
      </c>
      <c r="AL170" t="s">
        <v>261</v>
      </c>
      <c r="AM170">
        <v>0.40629999999999999</v>
      </c>
      <c r="AN170" t="s">
        <v>253</v>
      </c>
    </row>
    <row r="171" spans="9:40" x14ac:dyDescent="0.45">
      <c r="I171" t="s">
        <v>178</v>
      </c>
      <c r="J171" t="s">
        <v>269</v>
      </c>
      <c r="K171">
        <v>7.8958963367364576E-3</v>
      </c>
      <c r="L171" t="s">
        <v>164</v>
      </c>
      <c r="N171" t="s">
        <v>211</v>
      </c>
      <c r="O171" t="s">
        <v>269</v>
      </c>
      <c r="P171">
        <v>4.5248280425758238E-3</v>
      </c>
      <c r="Q171" t="s">
        <v>164</v>
      </c>
      <c r="S171" t="s">
        <v>231</v>
      </c>
      <c r="T171" t="s">
        <v>269</v>
      </c>
      <c r="U171">
        <v>4.6230665821852673E-3</v>
      </c>
      <c r="V171" t="s">
        <v>164</v>
      </c>
      <c r="AK171">
        <v>2045</v>
      </c>
      <c r="AL171" t="s">
        <v>152</v>
      </c>
      <c r="AM171">
        <v>0.47760000000000002</v>
      </c>
      <c r="AN171" t="s">
        <v>253</v>
      </c>
    </row>
    <row r="172" spans="9:40" x14ac:dyDescent="0.45">
      <c r="I172" t="s">
        <v>178</v>
      </c>
      <c r="J172" t="s">
        <v>270</v>
      </c>
      <c r="K172">
        <v>5.5775488229682785E-3</v>
      </c>
      <c r="L172" t="s">
        <v>164</v>
      </c>
      <c r="N172" t="s">
        <v>211</v>
      </c>
      <c r="O172" t="s">
        <v>270</v>
      </c>
      <c r="P172">
        <v>6.1173617597964393E-2</v>
      </c>
      <c r="Q172" t="s">
        <v>164</v>
      </c>
      <c r="S172" t="s">
        <v>231</v>
      </c>
      <c r="T172" t="s">
        <v>270</v>
      </c>
      <c r="U172">
        <v>3.0437684090600083E-2</v>
      </c>
      <c r="V172" t="s">
        <v>164</v>
      </c>
      <c r="AK172">
        <v>2045</v>
      </c>
      <c r="AL172" t="s">
        <v>156</v>
      </c>
      <c r="AM172">
        <v>0.43880000000000002</v>
      </c>
      <c r="AN172" t="s">
        <v>253</v>
      </c>
    </row>
    <row r="173" spans="9:40" x14ac:dyDescent="0.45">
      <c r="I173" t="s">
        <v>178</v>
      </c>
      <c r="J173" t="s">
        <v>173</v>
      </c>
      <c r="K173">
        <v>1.3052814164576244E-2</v>
      </c>
      <c r="L173" t="s">
        <v>164</v>
      </c>
      <c r="N173" t="s">
        <v>211</v>
      </c>
      <c r="O173" t="s">
        <v>173</v>
      </c>
      <c r="P173">
        <v>6.3488692310837522E-2</v>
      </c>
      <c r="Q173" t="s">
        <v>164</v>
      </c>
      <c r="S173" t="s">
        <v>231</v>
      </c>
      <c r="T173" t="s">
        <v>173</v>
      </c>
      <c r="U173">
        <v>6.2890797562962411E-2</v>
      </c>
      <c r="V173" t="s">
        <v>164</v>
      </c>
      <c r="AK173">
        <v>2045</v>
      </c>
      <c r="AL173" t="s">
        <v>158</v>
      </c>
      <c r="AM173">
        <v>0.4037</v>
      </c>
      <c r="AN173" t="s">
        <v>253</v>
      </c>
    </row>
    <row r="174" spans="9:40" x14ac:dyDescent="0.45">
      <c r="I174" t="s">
        <v>178</v>
      </c>
      <c r="J174" t="s">
        <v>174</v>
      </c>
      <c r="K174">
        <v>1.1858845825280609E-2</v>
      </c>
      <c r="L174" t="s">
        <v>164</v>
      </c>
      <c r="N174" t="s">
        <v>211</v>
      </c>
      <c r="O174" t="s">
        <v>174</v>
      </c>
      <c r="P174">
        <v>2.2890021143126145E-3</v>
      </c>
      <c r="Q174" t="s">
        <v>164</v>
      </c>
      <c r="S174" t="s">
        <v>231</v>
      </c>
      <c r="T174" t="s">
        <v>174</v>
      </c>
      <c r="U174">
        <v>6.3908819137218041E-3</v>
      </c>
      <c r="V174" t="s">
        <v>164</v>
      </c>
      <c r="AK174">
        <v>2045</v>
      </c>
      <c r="AL174" t="s">
        <v>160</v>
      </c>
      <c r="AM174">
        <v>0.34884999999999999</v>
      </c>
      <c r="AN174" t="s">
        <v>253</v>
      </c>
    </row>
    <row r="175" spans="9:40" x14ac:dyDescent="0.45">
      <c r="I175" t="s">
        <v>178</v>
      </c>
      <c r="J175" t="s">
        <v>175</v>
      </c>
      <c r="K175">
        <v>1.4160104462811098E-2</v>
      </c>
      <c r="L175" t="s">
        <v>164</v>
      </c>
      <c r="N175" t="s">
        <v>211</v>
      </c>
      <c r="O175" t="s">
        <v>175</v>
      </c>
      <c r="P175">
        <v>1.677448693641709E-3</v>
      </c>
      <c r="Q175" t="s">
        <v>164</v>
      </c>
      <c r="S175" t="s">
        <v>231</v>
      </c>
      <c r="T175" t="s">
        <v>175</v>
      </c>
      <c r="U175">
        <v>6.5519763843927296E-3</v>
      </c>
      <c r="V175" t="s">
        <v>164</v>
      </c>
      <c r="AK175">
        <v>2045</v>
      </c>
      <c r="AL175" t="s">
        <v>256</v>
      </c>
      <c r="AM175">
        <v>0.32369999999999999</v>
      </c>
      <c r="AN175" t="s">
        <v>253</v>
      </c>
    </row>
    <row r="176" spans="9:40" x14ac:dyDescent="0.45">
      <c r="I176" t="s">
        <v>178</v>
      </c>
      <c r="J176" t="s">
        <v>271</v>
      </c>
      <c r="K176">
        <v>9.633952034854934E-2</v>
      </c>
      <c r="L176" t="s">
        <v>164</v>
      </c>
      <c r="N176" t="s">
        <v>211</v>
      </c>
      <c r="O176" t="s">
        <v>271</v>
      </c>
      <c r="P176">
        <v>1.3166882704702551E-2</v>
      </c>
      <c r="Q176" t="s">
        <v>164</v>
      </c>
      <c r="S176" t="s">
        <v>231</v>
      </c>
      <c r="T176" t="s">
        <v>271</v>
      </c>
      <c r="U176">
        <v>4.2024914233335493E-2</v>
      </c>
      <c r="V176" t="s">
        <v>164</v>
      </c>
      <c r="AK176">
        <v>2045</v>
      </c>
      <c r="AL176" t="s">
        <v>258</v>
      </c>
      <c r="AM176">
        <v>0.38040000000000002</v>
      </c>
      <c r="AN176" t="s">
        <v>253</v>
      </c>
    </row>
    <row r="177" spans="9:40" x14ac:dyDescent="0.45">
      <c r="I177" t="s">
        <v>178</v>
      </c>
      <c r="J177" t="s">
        <v>272</v>
      </c>
      <c r="K177">
        <v>1.0416522486828577E-2</v>
      </c>
      <c r="L177" t="s">
        <v>164</v>
      </c>
      <c r="N177" t="s">
        <v>211</v>
      </c>
      <c r="O177" t="s">
        <v>272</v>
      </c>
      <c r="P177">
        <v>4.1698570936032839E-3</v>
      </c>
      <c r="Q177" t="s">
        <v>164</v>
      </c>
      <c r="S177" t="s">
        <v>231</v>
      </c>
      <c r="T177" t="s">
        <v>272</v>
      </c>
      <c r="U177">
        <v>7.4437584795720079E-3</v>
      </c>
      <c r="V177" t="s">
        <v>164</v>
      </c>
      <c r="AK177">
        <v>2045</v>
      </c>
      <c r="AL177" t="s">
        <v>260</v>
      </c>
      <c r="AM177">
        <v>0.40595000000000003</v>
      </c>
      <c r="AN177" t="s">
        <v>253</v>
      </c>
    </row>
    <row r="178" spans="9:40" x14ac:dyDescent="0.45">
      <c r="I178" t="s">
        <v>178</v>
      </c>
      <c r="J178" t="s">
        <v>273</v>
      </c>
      <c r="K178">
        <v>6.374076377792433E-3</v>
      </c>
      <c r="L178" t="s">
        <v>164</v>
      </c>
      <c r="N178" t="s">
        <v>211</v>
      </c>
      <c r="O178" t="s">
        <v>273</v>
      </c>
      <c r="P178">
        <v>5.5987188303834264E-2</v>
      </c>
      <c r="Q178" t="s">
        <v>164</v>
      </c>
      <c r="S178" t="s">
        <v>231</v>
      </c>
      <c r="T178" t="s">
        <v>273</v>
      </c>
      <c r="U178">
        <v>4.9107934539124723E-2</v>
      </c>
      <c r="V178" t="s">
        <v>164</v>
      </c>
      <c r="AK178">
        <v>2045</v>
      </c>
      <c r="AL178" t="s">
        <v>261</v>
      </c>
      <c r="AM178">
        <v>0.45960000000000001</v>
      </c>
      <c r="AN178" t="s">
        <v>253</v>
      </c>
    </row>
    <row r="179" spans="9:40" x14ac:dyDescent="0.45">
      <c r="I179" t="s">
        <v>178</v>
      </c>
      <c r="J179" t="s">
        <v>274</v>
      </c>
      <c r="K179">
        <v>1.0672446080469817E-2</v>
      </c>
      <c r="L179" t="s">
        <v>164</v>
      </c>
      <c r="N179" t="s">
        <v>211</v>
      </c>
      <c r="O179" t="s">
        <v>274</v>
      </c>
      <c r="P179">
        <v>3.2677741044451092E-2</v>
      </c>
      <c r="Q179" t="s">
        <v>164</v>
      </c>
      <c r="S179" t="s">
        <v>231</v>
      </c>
      <c r="T179" t="s">
        <v>274</v>
      </c>
      <c r="U179">
        <v>7.3151694972847126E-2</v>
      </c>
      <c r="V179" t="s">
        <v>164</v>
      </c>
      <c r="AK179">
        <v>2046</v>
      </c>
      <c r="AL179" t="s">
        <v>152</v>
      </c>
      <c r="AM179">
        <v>0.43190000000000001</v>
      </c>
      <c r="AN179" t="s">
        <v>253</v>
      </c>
    </row>
    <row r="180" spans="9:40" x14ac:dyDescent="0.45">
      <c r="I180" t="s">
        <v>178</v>
      </c>
      <c r="J180" t="s">
        <v>275</v>
      </c>
      <c r="K180">
        <v>1.0478514080118679E-2</v>
      </c>
      <c r="L180" t="s">
        <v>164</v>
      </c>
      <c r="N180" t="s">
        <v>211</v>
      </c>
      <c r="O180" t="s">
        <v>275</v>
      </c>
      <c r="P180">
        <v>5.1574952528443772E-4</v>
      </c>
      <c r="Q180" t="s">
        <v>164</v>
      </c>
      <c r="S180" t="s">
        <v>231</v>
      </c>
      <c r="T180" t="s">
        <v>275</v>
      </c>
      <c r="U180">
        <v>7.0123471386686724E-3</v>
      </c>
      <c r="V180" t="s">
        <v>164</v>
      </c>
      <c r="AK180">
        <v>2046</v>
      </c>
      <c r="AL180" t="s">
        <v>156</v>
      </c>
      <c r="AM180">
        <v>0.45240000000000002</v>
      </c>
      <c r="AN180" t="s">
        <v>253</v>
      </c>
    </row>
    <row r="181" spans="9:40" x14ac:dyDescent="0.45">
      <c r="I181" t="s">
        <v>178</v>
      </c>
      <c r="J181" t="s">
        <v>276</v>
      </c>
      <c r="K181">
        <v>1.340141526062991E-2</v>
      </c>
      <c r="L181" t="s">
        <v>164</v>
      </c>
      <c r="N181" t="s">
        <v>211</v>
      </c>
      <c r="O181" t="s">
        <v>276</v>
      </c>
      <c r="P181">
        <v>3.8467516324212025E-4</v>
      </c>
      <c r="Q181" t="s">
        <v>164</v>
      </c>
      <c r="S181" t="s">
        <v>231</v>
      </c>
      <c r="T181" t="s">
        <v>276</v>
      </c>
      <c r="U181">
        <v>7.23616888500213E-3</v>
      </c>
      <c r="V181" t="s">
        <v>164</v>
      </c>
      <c r="AK181">
        <v>2046</v>
      </c>
      <c r="AL181" t="s">
        <v>158</v>
      </c>
      <c r="AM181">
        <v>0.40079999999999999</v>
      </c>
      <c r="AN181" t="s">
        <v>253</v>
      </c>
    </row>
    <row r="182" spans="9:40" x14ac:dyDescent="0.45">
      <c r="I182" t="s">
        <v>178</v>
      </c>
      <c r="J182" t="s">
        <v>277</v>
      </c>
      <c r="K182">
        <v>9.4758022974402376E-2</v>
      </c>
      <c r="L182" t="s">
        <v>164</v>
      </c>
      <c r="N182" t="s">
        <v>211</v>
      </c>
      <c r="O182" t="s">
        <v>277</v>
      </c>
      <c r="P182">
        <v>6.4582072769886548E-3</v>
      </c>
      <c r="Q182" t="s">
        <v>164</v>
      </c>
      <c r="S182" t="s">
        <v>231</v>
      </c>
      <c r="T182" t="s">
        <v>277</v>
      </c>
      <c r="U182">
        <v>4.6746330232899896E-2</v>
      </c>
      <c r="V182" t="s">
        <v>164</v>
      </c>
      <c r="AK182">
        <v>2046</v>
      </c>
      <c r="AL182" t="s">
        <v>160</v>
      </c>
      <c r="AM182">
        <v>0.32525000000000004</v>
      </c>
      <c r="AN182" t="s">
        <v>253</v>
      </c>
    </row>
    <row r="183" spans="9:40" x14ac:dyDescent="0.45">
      <c r="I183" t="s">
        <v>178</v>
      </c>
      <c r="J183" t="s">
        <v>278</v>
      </c>
      <c r="K183">
        <v>1.0337764111456604E-2</v>
      </c>
      <c r="L183" t="s">
        <v>164</v>
      </c>
      <c r="N183" t="s">
        <v>211</v>
      </c>
      <c r="O183" t="s">
        <v>278</v>
      </c>
      <c r="P183">
        <v>3.3248322344466316E-3</v>
      </c>
      <c r="Q183" t="s">
        <v>164</v>
      </c>
      <c r="S183" t="s">
        <v>231</v>
      </c>
      <c r="T183" t="s">
        <v>278</v>
      </c>
      <c r="U183">
        <v>8.9282891213229871E-3</v>
      </c>
      <c r="V183" t="s">
        <v>164</v>
      </c>
      <c r="AK183">
        <v>2046</v>
      </c>
      <c r="AL183" t="s">
        <v>256</v>
      </c>
      <c r="AM183">
        <v>0.31245000000000001</v>
      </c>
      <c r="AN183" t="s">
        <v>253</v>
      </c>
    </row>
    <row r="184" spans="9:40" x14ac:dyDescent="0.45">
      <c r="I184" t="s">
        <v>178</v>
      </c>
      <c r="J184" t="s">
        <v>279</v>
      </c>
      <c r="K184">
        <v>6.7557283902197089E-3</v>
      </c>
      <c r="L184" t="s">
        <v>164</v>
      </c>
      <c r="N184" t="s">
        <v>211</v>
      </c>
      <c r="O184" t="s">
        <v>279</v>
      </c>
      <c r="P184">
        <v>4.9435814843317744E-2</v>
      </c>
      <c r="Q184" t="s">
        <v>164</v>
      </c>
      <c r="S184" t="s">
        <v>231</v>
      </c>
      <c r="T184" t="s">
        <v>279</v>
      </c>
      <c r="U184">
        <v>5.6643128746516537E-2</v>
      </c>
      <c r="V184" t="s">
        <v>164</v>
      </c>
      <c r="AK184">
        <v>2046</v>
      </c>
      <c r="AL184" t="s">
        <v>258</v>
      </c>
      <c r="AM184">
        <v>0.37495000000000001</v>
      </c>
      <c r="AN184" t="s">
        <v>253</v>
      </c>
    </row>
    <row r="185" spans="9:40" x14ac:dyDescent="0.45">
      <c r="I185" t="s">
        <v>178</v>
      </c>
      <c r="J185" t="s">
        <v>280</v>
      </c>
      <c r="K185">
        <v>1.4001606930296666E-2</v>
      </c>
      <c r="L185" t="s">
        <v>164</v>
      </c>
      <c r="N185" t="s">
        <v>211</v>
      </c>
      <c r="O185" t="s">
        <v>280</v>
      </c>
      <c r="P185">
        <v>2.4866657610437628E-2</v>
      </c>
      <c r="Q185" t="s">
        <v>164</v>
      </c>
      <c r="S185" t="s">
        <v>231</v>
      </c>
      <c r="T185" t="s">
        <v>280</v>
      </c>
      <c r="U185">
        <v>4.6553669250723823E-2</v>
      </c>
      <c r="V185" t="s">
        <v>164</v>
      </c>
      <c r="AK185">
        <v>2046</v>
      </c>
      <c r="AL185" t="s">
        <v>260</v>
      </c>
      <c r="AM185">
        <v>0.40670000000000001</v>
      </c>
      <c r="AN185" t="s">
        <v>253</v>
      </c>
    </row>
    <row r="186" spans="9:40" x14ac:dyDescent="0.45">
      <c r="I186" t="s">
        <v>178</v>
      </c>
      <c r="J186" t="s">
        <v>281</v>
      </c>
      <c r="K186">
        <v>1.2719965236334924E-2</v>
      </c>
      <c r="L186" t="s">
        <v>164</v>
      </c>
      <c r="N186" t="s">
        <v>211</v>
      </c>
      <c r="O186" t="s">
        <v>281</v>
      </c>
      <c r="P186">
        <v>8.3131987777972473E-4</v>
      </c>
      <c r="Q186" t="s">
        <v>164</v>
      </c>
      <c r="S186" t="s">
        <v>231</v>
      </c>
      <c r="T186" t="s">
        <v>281</v>
      </c>
      <c r="U186">
        <v>4.236752173322391E-3</v>
      </c>
      <c r="V186" t="s">
        <v>164</v>
      </c>
      <c r="AK186">
        <v>2046</v>
      </c>
      <c r="AL186" t="s">
        <v>261</v>
      </c>
      <c r="AM186">
        <v>0.40689999999999998</v>
      </c>
      <c r="AN186" t="s">
        <v>253</v>
      </c>
    </row>
    <row r="187" spans="9:40" x14ac:dyDescent="0.45">
      <c r="I187" t="s">
        <v>178</v>
      </c>
      <c r="J187" t="s">
        <v>282</v>
      </c>
      <c r="K187">
        <v>1.5762902998859067E-2</v>
      </c>
      <c r="L187" t="s">
        <v>164</v>
      </c>
      <c r="N187" t="s">
        <v>211</v>
      </c>
      <c r="O187" t="s">
        <v>282</v>
      </c>
      <c r="P187">
        <v>6.3259497207375146E-4</v>
      </c>
      <c r="Q187" t="s">
        <v>164</v>
      </c>
      <c r="S187" t="s">
        <v>231</v>
      </c>
      <c r="T187" t="s">
        <v>282</v>
      </c>
      <c r="U187">
        <v>4.1988650561865584E-3</v>
      </c>
      <c r="V187" t="s">
        <v>164</v>
      </c>
      <c r="AK187">
        <v>2047</v>
      </c>
      <c r="AL187" t="s">
        <v>152</v>
      </c>
      <c r="AM187">
        <v>0.40400000000000003</v>
      </c>
      <c r="AN187" t="s">
        <v>253</v>
      </c>
    </row>
    <row r="188" spans="9:40" x14ac:dyDescent="0.45">
      <c r="I188" t="s">
        <v>178</v>
      </c>
      <c r="J188" t="s">
        <v>283</v>
      </c>
      <c r="K188">
        <v>0.10766413115782698</v>
      </c>
      <c r="L188" t="s">
        <v>164</v>
      </c>
      <c r="N188" t="s">
        <v>211</v>
      </c>
      <c r="O188" t="s">
        <v>283</v>
      </c>
      <c r="P188">
        <v>4.7168296317759749E-3</v>
      </c>
      <c r="Q188" t="s">
        <v>164</v>
      </c>
      <c r="S188" t="s">
        <v>231</v>
      </c>
      <c r="T188" t="s">
        <v>283</v>
      </c>
      <c r="U188">
        <v>2.7392806573196749E-2</v>
      </c>
      <c r="V188" t="s">
        <v>164</v>
      </c>
      <c r="AK188">
        <v>2047</v>
      </c>
      <c r="AL188" t="s">
        <v>156</v>
      </c>
      <c r="AM188">
        <v>0.42159999999999997</v>
      </c>
      <c r="AN188" t="s">
        <v>253</v>
      </c>
    </row>
    <row r="189" spans="9:40" x14ac:dyDescent="0.45">
      <c r="I189" t="s">
        <v>178</v>
      </c>
      <c r="J189" t="s">
        <v>284</v>
      </c>
      <c r="K189">
        <v>1.1776857223751023E-2</v>
      </c>
      <c r="L189" t="s">
        <v>164</v>
      </c>
      <c r="N189" t="s">
        <v>211</v>
      </c>
      <c r="O189" t="s">
        <v>284</v>
      </c>
      <c r="P189">
        <v>2.0768967093343447E-3</v>
      </c>
      <c r="Q189" t="s">
        <v>164</v>
      </c>
      <c r="S189" t="s">
        <v>231</v>
      </c>
      <c r="T189" t="s">
        <v>284</v>
      </c>
      <c r="U189">
        <v>5.4245149860199784E-3</v>
      </c>
      <c r="V189" t="s">
        <v>164</v>
      </c>
      <c r="AK189">
        <v>2047</v>
      </c>
      <c r="AL189" t="s">
        <v>158</v>
      </c>
      <c r="AM189">
        <v>0.37740000000000001</v>
      </c>
      <c r="AN189" t="s">
        <v>253</v>
      </c>
    </row>
    <row r="190" spans="9:40" x14ac:dyDescent="0.45">
      <c r="I190" t="s">
        <v>178</v>
      </c>
      <c r="J190" t="s">
        <v>285</v>
      </c>
      <c r="K190">
        <v>7.3324793856827976E-3</v>
      </c>
      <c r="L190" t="s">
        <v>164</v>
      </c>
      <c r="N190" t="s">
        <v>211</v>
      </c>
      <c r="O190" t="s">
        <v>285</v>
      </c>
      <c r="P190">
        <v>3.4413138681249296E-2</v>
      </c>
      <c r="Q190" t="s">
        <v>164</v>
      </c>
      <c r="S190" t="s">
        <v>231</v>
      </c>
      <c r="T190" t="s">
        <v>285</v>
      </c>
      <c r="U190">
        <v>3.6201483060555727E-2</v>
      </c>
      <c r="V190" t="s">
        <v>164</v>
      </c>
      <c r="AK190">
        <v>2047</v>
      </c>
      <c r="AL190" t="s">
        <v>160</v>
      </c>
      <c r="AM190">
        <v>0.33650000000000002</v>
      </c>
      <c r="AN190" t="s">
        <v>253</v>
      </c>
    </row>
    <row r="191" spans="9:40" x14ac:dyDescent="0.45">
      <c r="I191" t="s">
        <v>178</v>
      </c>
      <c r="J191" t="s">
        <v>286</v>
      </c>
      <c r="K191">
        <v>1.8775583712988066E-2</v>
      </c>
      <c r="L191" t="s">
        <v>164</v>
      </c>
      <c r="N191" t="s">
        <v>211</v>
      </c>
      <c r="O191" t="s">
        <v>286</v>
      </c>
      <c r="P191">
        <v>3.3817492202260546E-2</v>
      </c>
      <c r="Q191" t="s">
        <v>164</v>
      </c>
      <c r="S191" t="s">
        <v>231</v>
      </c>
      <c r="T191" t="s">
        <v>286</v>
      </c>
      <c r="U191">
        <v>4.0500362299035399E-2</v>
      </c>
      <c r="V191" t="s">
        <v>164</v>
      </c>
      <c r="AK191">
        <v>2047</v>
      </c>
      <c r="AL191" t="s">
        <v>256</v>
      </c>
      <c r="AM191">
        <v>0.32305</v>
      </c>
      <c r="AN191" t="s">
        <v>253</v>
      </c>
    </row>
    <row r="192" spans="9:40" x14ac:dyDescent="0.45">
      <c r="I192" t="s">
        <v>178</v>
      </c>
      <c r="J192" t="s">
        <v>287</v>
      </c>
      <c r="K192">
        <v>1.5775049931610566E-2</v>
      </c>
      <c r="L192" t="s">
        <v>164</v>
      </c>
      <c r="N192" t="s">
        <v>211</v>
      </c>
      <c r="O192" t="s">
        <v>287</v>
      </c>
      <c r="P192">
        <v>9.7662846417322308E-4</v>
      </c>
      <c r="Q192" t="s">
        <v>164</v>
      </c>
      <c r="S192" t="s">
        <v>231</v>
      </c>
      <c r="T192" t="s">
        <v>287</v>
      </c>
      <c r="U192">
        <v>3.6895355897647079E-3</v>
      </c>
      <c r="V192" t="s">
        <v>164</v>
      </c>
      <c r="AK192">
        <v>2047</v>
      </c>
      <c r="AL192" t="s">
        <v>258</v>
      </c>
      <c r="AM192">
        <v>0.35589999999999999</v>
      </c>
      <c r="AN192" t="s">
        <v>253</v>
      </c>
    </row>
    <row r="193" spans="9:40" x14ac:dyDescent="0.45">
      <c r="I193" t="s">
        <v>178</v>
      </c>
      <c r="J193" t="s">
        <v>288</v>
      </c>
      <c r="K193">
        <v>1.7961642771968676E-2</v>
      </c>
      <c r="L193" t="s">
        <v>164</v>
      </c>
      <c r="N193" t="s">
        <v>211</v>
      </c>
      <c r="O193" t="s">
        <v>288</v>
      </c>
      <c r="P193">
        <v>9.314314271529103E-4</v>
      </c>
      <c r="Q193" t="s">
        <v>164</v>
      </c>
      <c r="S193" t="s">
        <v>231</v>
      </c>
      <c r="T193" t="s">
        <v>288</v>
      </c>
      <c r="U193">
        <v>3.7517864887926548E-3</v>
      </c>
      <c r="V193" t="s">
        <v>164</v>
      </c>
      <c r="AK193">
        <v>2047</v>
      </c>
      <c r="AL193" t="s">
        <v>260</v>
      </c>
      <c r="AM193">
        <v>0.40490000000000004</v>
      </c>
      <c r="AN193" t="s">
        <v>253</v>
      </c>
    </row>
    <row r="194" spans="9:40" x14ac:dyDescent="0.45">
      <c r="I194" t="s">
        <v>178</v>
      </c>
      <c r="J194" t="s">
        <v>289</v>
      </c>
      <c r="K194">
        <v>0.1135915719696665</v>
      </c>
      <c r="L194" t="s">
        <v>164</v>
      </c>
      <c r="N194" t="s">
        <v>211</v>
      </c>
      <c r="O194" t="s">
        <v>289</v>
      </c>
      <c r="P194">
        <v>8.7344759952005697E-3</v>
      </c>
      <c r="Q194" t="s">
        <v>164</v>
      </c>
      <c r="S194" t="s">
        <v>231</v>
      </c>
      <c r="T194" t="s">
        <v>289</v>
      </c>
      <c r="U194">
        <v>2.4571368576699667E-2</v>
      </c>
      <c r="V194" t="s">
        <v>164</v>
      </c>
      <c r="AK194">
        <v>2047</v>
      </c>
      <c r="AL194" t="s">
        <v>261</v>
      </c>
      <c r="AM194">
        <v>0.4264</v>
      </c>
      <c r="AN194" t="s">
        <v>253</v>
      </c>
    </row>
    <row r="195" spans="9:40" x14ac:dyDescent="0.45">
      <c r="I195" t="s">
        <v>178</v>
      </c>
      <c r="J195" t="s">
        <v>290</v>
      </c>
      <c r="K195">
        <v>1.2384628890749261E-2</v>
      </c>
      <c r="L195" t="s">
        <v>164</v>
      </c>
      <c r="N195" t="s">
        <v>211</v>
      </c>
      <c r="O195" t="s">
        <v>290</v>
      </c>
      <c r="P195">
        <v>3.4588648215169862E-3</v>
      </c>
      <c r="Q195" t="s">
        <v>164</v>
      </c>
      <c r="S195" t="s">
        <v>231</v>
      </c>
      <c r="T195" t="s">
        <v>290</v>
      </c>
      <c r="U195">
        <v>5.0979835638385474E-3</v>
      </c>
      <c r="V195" t="s">
        <v>164</v>
      </c>
      <c r="AK195">
        <v>2048</v>
      </c>
      <c r="AL195" t="s">
        <v>152</v>
      </c>
      <c r="AM195">
        <v>0.43340000000000001</v>
      </c>
      <c r="AN195" t="s">
        <v>253</v>
      </c>
    </row>
    <row r="196" spans="9:40" x14ac:dyDescent="0.45">
      <c r="I196" t="s">
        <v>178</v>
      </c>
      <c r="J196" t="s">
        <v>291</v>
      </c>
      <c r="K196">
        <v>7.0922611387823683E-3</v>
      </c>
      <c r="L196" t="s">
        <v>164</v>
      </c>
      <c r="N196" t="s">
        <v>211</v>
      </c>
      <c r="O196" t="s">
        <v>291</v>
      </c>
      <c r="P196">
        <v>3.9858067033651107E-2</v>
      </c>
      <c r="Q196" t="s">
        <v>164</v>
      </c>
      <c r="S196" t="s">
        <v>231</v>
      </c>
      <c r="T196" t="s">
        <v>291</v>
      </c>
      <c r="U196">
        <v>3.3981879002060934E-2</v>
      </c>
      <c r="V196" t="s">
        <v>164</v>
      </c>
      <c r="AK196">
        <v>2048</v>
      </c>
      <c r="AL196" t="s">
        <v>156</v>
      </c>
      <c r="AM196">
        <v>0.44690000000000002</v>
      </c>
      <c r="AN196" t="s">
        <v>253</v>
      </c>
    </row>
    <row r="197" spans="9:40" x14ac:dyDescent="0.45">
      <c r="I197" t="s">
        <v>178</v>
      </c>
      <c r="J197" t="s">
        <v>292</v>
      </c>
      <c r="K197">
        <v>6.1316315547380274E-3</v>
      </c>
      <c r="L197" t="s">
        <v>164</v>
      </c>
      <c r="N197" t="s">
        <v>211</v>
      </c>
      <c r="O197" t="s">
        <v>292</v>
      </c>
      <c r="P197">
        <v>4.1429085034591764E-2</v>
      </c>
      <c r="Q197" t="s">
        <v>164</v>
      </c>
      <c r="S197" t="s">
        <v>231</v>
      </c>
      <c r="T197" t="s">
        <v>292</v>
      </c>
      <c r="U197">
        <v>3.1141120468608507E-2</v>
      </c>
      <c r="V197" t="s">
        <v>164</v>
      </c>
      <c r="AK197">
        <v>2048</v>
      </c>
      <c r="AL197" t="s">
        <v>158</v>
      </c>
      <c r="AM197">
        <v>0.43180000000000002</v>
      </c>
      <c r="AN197" t="s">
        <v>253</v>
      </c>
    </row>
    <row r="198" spans="9:40" x14ac:dyDescent="0.45">
      <c r="I198" t="s">
        <v>178</v>
      </c>
      <c r="J198" t="s">
        <v>293</v>
      </c>
      <c r="K198">
        <v>6.5163327024725798E-3</v>
      </c>
      <c r="L198" t="s">
        <v>164</v>
      </c>
      <c r="N198" t="s">
        <v>211</v>
      </c>
      <c r="O198" t="s">
        <v>293</v>
      </c>
      <c r="P198">
        <v>1.9032647062274073E-3</v>
      </c>
      <c r="Q198" t="s">
        <v>164</v>
      </c>
      <c r="S198" t="s">
        <v>231</v>
      </c>
      <c r="T198" t="s">
        <v>293</v>
      </c>
      <c r="U198">
        <v>3.1573416010449592E-3</v>
      </c>
      <c r="V198" t="s">
        <v>164</v>
      </c>
      <c r="AK198">
        <v>2048</v>
      </c>
      <c r="AL198" t="s">
        <v>160</v>
      </c>
      <c r="AM198">
        <v>0.33635000000000004</v>
      </c>
      <c r="AN198" t="s">
        <v>253</v>
      </c>
    </row>
    <row r="199" spans="9:40" x14ac:dyDescent="0.45">
      <c r="I199" t="s">
        <v>178</v>
      </c>
      <c r="J199" t="s">
        <v>294</v>
      </c>
      <c r="K199">
        <v>7.6624742818887526E-3</v>
      </c>
      <c r="L199" t="s">
        <v>164</v>
      </c>
      <c r="N199" t="s">
        <v>211</v>
      </c>
      <c r="O199" t="s">
        <v>294</v>
      </c>
      <c r="P199">
        <v>1.5489801697129626E-3</v>
      </c>
      <c r="Q199" t="s">
        <v>164</v>
      </c>
      <c r="S199" t="s">
        <v>231</v>
      </c>
      <c r="T199" t="s">
        <v>294</v>
      </c>
      <c r="U199">
        <v>3.2126565862774323E-3</v>
      </c>
      <c r="V199" t="s">
        <v>164</v>
      </c>
      <c r="AK199">
        <v>2048</v>
      </c>
      <c r="AL199" t="s">
        <v>256</v>
      </c>
      <c r="AM199">
        <v>0.33684999999999998</v>
      </c>
      <c r="AN199" t="s">
        <v>253</v>
      </c>
    </row>
    <row r="200" spans="9:40" x14ac:dyDescent="0.45">
      <c r="I200" t="s">
        <v>178</v>
      </c>
      <c r="J200" t="s">
        <v>295</v>
      </c>
      <c r="K200">
        <v>4.9297635382456559E-2</v>
      </c>
      <c r="L200" t="s">
        <v>164</v>
      </c>
      <c r="N200" t="s">
        <v>211</v>
      </c>
      <c r="O200" t="s">
        <v>295</v>
      </c>
      <c r="P200">
        <v>1.2162518253367382E-2</v>
      </c>
      <c r="Q200" t="s">
        <v>164</v>
      </c>
      <c r="S200" t="s">
        <v>231</v>
      </c>
      <c r="T200" t="s">
        <v>295</v>
      </c>
      <c r="U200">
        <v>2.0032806245637025E-2</v>
      </c>
      <c r="V200" t="s">
        <v>164</v>
      </c>
      <c r="AK200">
        <v>2048</v>
      </c>
      <c r="AL200" t="s">
        <v>258</v>
      </c>
      <c r="AM200">
        <v>0.3765</v>
      </c>
      <c r="AN200" t="s">
        <v>253</v>
      </c>
    </row>
    <row r="201" spans="9:40" x14ac:dyDescent="0.45">
      <c r="I201" t="s">
        <v>178</v>
      </c>
      <c r="J201" t="s">
        <v>296</v>
      </c>
      <c r="K201">
        <v>5.6747207493042717E-3</v>
      </c>
      <c r="L201" t="s">
        <v>164</v>
      </c>
      <c r="N201" t="s">
        <v>211</v>
      </c>
      <c r="O201" t="s">
        <v>296</v>
      </c>
      <c r="P201">
        <v>4.5203917220819354E-3</v>
      </c>
      <c r="Q201" t="s">
        <v>164</v>
      </c>
      <c r="S201" t="s">
        <v>231</v>
      </c>
      <c r="T201" t="s">
        <v>296</v>
      </c>
      <c r="U201">
        <v>3.6120191708770358E-3</v>
      </c>
      <c r="V201" t="s">
        <v>164</v>
      </c>
      <c r="AK201">
        <v>2048</v>
      </c>
      <c r="AL201" t="s">
        <v>260</v>
      </c>
      <c r="AM201">
        <v>0.43110000000000004</v>
      </c>
      <c r="AN201" t="s">
        <v>253</v>
      </c>
    </row>
    <row r="202" spans="9:40" x14ac:dyDescent="0.45">
      <c r="I202" t="s">
        <v>178</v>
      </c>
      <c r="J202" t="s">
        <v>297</v>
      </c>
      <c r="K202">
        <v>3.5938155010264167E-3</v>
      </c>
      <c r="L202" t="s">
        <v>164</v>
      </c>
      <c r="N202" t="s">
        <v>211</v>
      </c>
      <c r="O202" t="s">
        <v>297</v>
      </c>
      <c r="P202">
        <v>4.5088339166008837E-2</v>
      </c>
      <c r="Q202" t="s">
        <v>164</v>
      </c>
      <c r="S202" t="s">
        <v>231</v>
      </c>
      <c r="T202" t="s">
        <v>297</v>
      </c>
      <c r="U202">
        <v>2.4909234622814261E-2</v>
      </c>
      <c r="V202" t="s">
        <v>164</v>
      </c>
      <c r="AK202">
        <v>2048</v>
      </c>
      <c r="AL202" t="s">
        <v>261</v>
      </c>
      <c r="AM202">
        <v>0.42809999999999998</v>
      </c>
      <c r="AN202" t="s">
        <v>253</v>
      </c>
    </row>
    <row r="203" spans="9:40" x14ac:dyDescent="0.45">
      <c r="I203" t="s">
        <v>179</v>
      </c>
      <c r="J203" t="s">
        <v>163</v>
      </c>
      <c r="K203">
        <v>5.0851631549796751E-3</v>
      </c>
      <c r="L203" t="s">
        <v>164</v>
      </c>
      <c r="N203" t="s">
        <v>212</v>
      </c>
      <c r="O203" t="s">
        <v>163</v>
      </c>
      <c r="P203">
        <v>2.4435999346983921E-2</v>
      </c>
      <c r="Q203" t="s">
        <v>164</v>
      </c>
      <c r="S203" t="s">
        <v>232</v>
      </c>
      <c r="T203" t="s">
        <v>163</v>
      </c>
      <c r="U203">
        <v>3.734290445297412E-2</v>
      </c>
      <c r="V203" t="s">
        <v>164</v>
      </c>
      <c r="AK203">
        <v>2049</v>
      </c>
      <c r="AL203" t="s">
        <v>152</v>
      </c>
      <c r="AM203">
        <v>0.39729999999999999</v>
      </c>
      <c r="AN203" t="s">
        <v>253</v>
      </c>
    </row>
    <row r="204" spans="9:40" x14ac:dyDescent="0.45">
      <c r="I204" t="s">
        <v>179</v>
      </c>
      <c r="J204" t="s">
        <v>165</v>
      </c>
      <c r="K204">
        <v>7.574312264008164E-3</v>
      </c>
      <c r="L204" t="s">
        <v>164</v>
      </c>
      <c r="N204" t="s">
        <v>212</v>
      </c>
      <c r="O204" t="s">
        <v>165</v>
      </c>
      <c r="P204">
        <v>2.0064178626416221E-3</v>
      </c>
      <c r="Q204" t="s">
        <v>164</v>
      </c>
      <c r="S204" t="s">
        <v>232</v>
      </c>
      <c r="T204" t="s">
        <v>165</v>
      </c>
      <c r="U204">
        <v>3.8943841307204877E-3</v>
      </c>
      <c r="V204" t="s">
        <v>164</v>
      </c>
      <c r="AK204">
        <v>2049</v>
      </c>
      <c r="AL204" t="s">
        <v>156</v>
      </c>
      <c r="AM204">
        <v>0.4032</v>
      </c>
      <c r="AN204" t="s">
        <v>253</v>
      </c>
    </row>
    <row r="205" spans="9:40" x14ac:dyDescent="0.45">
      <c r="I205" t="s">
        <v>179</v>
      </c>
      <c r="J205" t="s">
        <v>166</v>
      </c>
      <c r="K205">
        <v>8.9523934999419397E-3</v>
      </c>
      <c r="L205" t="s">
        <v>164</v>
      </c>
      <c r="N205" t="s">
        <v>212</v>
      </c>
      <c r="O205" t="s">
        <v>166</v>
      </c>
      <c r="P205">
        <v>2.5051620603532688E-3</v>
      </c>
      <c r="Q205" t="s">
        <v>164</v>
      </c>
      <c r="S205" t="s">
        <v>232</v>
      </c>
      <c r="T205" t="s">
        <v>166</v>
      </c>
      <c r="U205">
        <v>3.7692276237995962E-3</v>
      </c>
      <c r="V205" t="s">
        <v>164</v>
      </c>
      <c r="AK205">
        <v>2049</v>
      </c>
      <c r="AL205" t="s">
        <v>158</v>
      </c>
      <c r="AM205">
        <v>0.35709999999999997</v>
      </c>
      <c r="AN205" t="s">
        <v>253</v>
      </c>
    </row>
    <row r="206" spans="9:40" x14ac:dyDescent="0.45">
      <c r="I206" t="s">
        <v>179</v>
      </c>
      <c r="J206" t="s">
        <v>262</v>
      </c>
      <c r="K206">
        <v>5.3122992997464334E-2</v>
      </c>
      <c r="L206" t="s">
        <v>164</v>
      </c>
      <c r="N206" t="s">
        <v>212</v>
      </c>
      <c r="O206" t="s">
        <v>262</v>
      </c>
      <c r="P206">
        <v>4.5545495703282271E-2</v>
      </c>
      <c r="Q206" t="s">
        <v>164</v>
      </c>
      <c r="S206" t="s">
        <v>232</v>
      </c>
      <c r="T206" t="s">
        <v>262</v>
      </c>
      <c r="U206">
        <v>2.1715883368550227E-2</v>
      </c>
      <c r="V206" t="s">
        <v>164</v>
      </c>
      <c r="AK206">
        <v>2049</v>
      </c>
      <c r="AL206" t="s">
        <v>160</v>
      </c>
      <c r="AM206">
        <v>0.32314999999999999</v>
      </c>
      <c r="AN206" t="s">
        <v>253</v>
      </c>
    </row>
    <row r="207" spans="9:40" x14ac:dyDescent="0.45">
      <c r="I207" t="s">
        <v>179</v>
      </c>
      <c r="J207" t="s">
        <v>263</v>
      </c>
      <c r="K207">
        <v>5.882160184823221E-3</v>
      </c>
      <c r="L207" t="s">
        <v>164</v>
      </c>
      <c r="N207" t="s">
        <v>212</v>
      </c>
      <c r="O207" t="s">
        <v>263</v>
      </c>
      <c r="P207">
        <v>9.7405405490675091E-3</v>
      </c>
      <c r="Q207" t="s">
        <v>164</v>
      </c>
      <c r="S207" t="s">
        <v>232</v>
      </c>
      <c r="T207" t="s">
        <v>263</v>
      </c>
      <c r="U207">
        <v>3.7611230447268827E-3</v>
      </c>
      <c r="V207" t="s">
        <v>164</v>
      </c>
      <c r="AK207">
        <v>2049</v>
      </c>
      <c r="AL207" t="s">
        <v>256</v>
      </c>
      <c r="AM207">
        <v>0.33715000000000001</v>
      </c>
      <c r="AN207" t="s">
        <v>253</v>
      </c>
    </row>
    <row r="208" spans="9:40" x14ac:dyDescent="0.45">
      <c r="I208" t="s">
        <v>179</v>
      </c>
      <c r="J208" t="s">
        <v>264</v>
      </c>
      <c r="K208">
        <v>4.0701675001045753E-3</v>
      </c>
      <c r="L208" t="s">
        <v>164</v>
      </c>
      <c r="N208" t="s">
        <v>212</v>
      </c>
      <c r="O208" t="s">
        <v>264</v>
      </c>
      <c r="P208">
        <v>5.320888094761838E-2</v>
      </c>
      <c r="Q208" t="s">
        <v>164</v>
      </c>
      <c r="S208" t="s">
        <v>232</v>
      </c>
      <c r="T208" t="s">
        <v>264</v>
      </c>
      <c r="U208">
        <v>2.5646420185245284E-2</v>
      </c>
      <c r="V208" t="s">
        <v>164</v>
      </c>
      <c r="AK208">
        <v>2049</v>
      </c>
      <c r="AL208" t="s">
        <v>258</v>
      </c>
      <c r="AM208">
        <v>0.37475000000000003</v>
      </c>
      <c r="AN208" t="s">
        <v>253</v>
      </c>
    </row>
    <row r="209" spans="9:40" x14ac:dyDescent="0.45">
      <c r="I209" t="s">
        <v>179</v>
      </c>
      <c r="J209" t="s">
        <v>167</v>
      </c>
      <c r="K209">
        <v>3.3437020981609972E-3</v>
      </c>
      <c r="L209" t="s">
        <v>164</v>
      </c>
      <c r="N209" t="s">
        <v>212</v>
      </c>
      <c r="O209" t="s">
        <v>167</v>
      </c>
      <c r="P209">
        <v>3.1075297282193638E-2</v>
      </c>
      <c r="Q209" t="s">
        <v>164</v>
      </c>
      <c r="S209" t="s">
        <v>232</v>
      </c>
      <c r="T209" t="s">
        <v>167</v>
      </c>
      <c r="U209">
        <v>3.8553115465492262E-2</v>
      </c>
      <c r="V209" t="s">
        <v>164</v>
      </c>
      <c r="AK209">
        <v>2049</v>
      </c>
      <c r="AL209" t="s">
        <v>260</v>
      </c>
      <c r="AM209">
        <v>0.42695</v>
      </c>
      <c r="AN209" t="s">
        <v>253</v>
      </c>
    </row>
    <row r="210" spans="9:40" x14ac:dyDescent="0.45">
      <c r="I210" t="s">
        <v>179</v>
      </c>
      <c r="J210" t="s">
        <v>168</v>
      </c>
      <c r="K210">
        <v>5.7135746412461169E-3</v>
      </c>
      <c r="L210" t="s">
        <v>164</v>
      </c>
      <c r="N210" t="s">
        <v>212</v>
      </c>
      <c r="O210" t="s">
        <v>168</v>
      </c>
      <c r="P210">
        <v>2.2369297318010736E-3</v>
      </c>
      <c r="Q210" t="s">
        <v>164</v>
      </c>
      <c r="S210" t="s">
        <v>232</v>
      </c>
      <c r="T210" t="s">
        <v>168</v>
      </c>
      <c r="U210">
        <v>4.2459586911366221E-3</v>
      </c>
      <c r="V210" t="s">
        <v>164</v>
      </c>
      <c r="AK210">
        <v>2049</v>
      </c>
      <c r="AL210" t="s">
        <v>261</v>
      </c>
      <c r="AM210">
        <v>0.41810000000000003</v>
      </c>
      <c r="AN210" t="s">
        <v>253</v>
      </c>
    </row>
    <row r="211" spans="9:40" x14ac:dyDescent="0.45">
      <c r="I211" t="s">
        <v>179</v>
      </c>
      <c r="J211" t="s">
        <v>169</v>
      </c>
      <c r="K211">
        <v>7.5465330837365717E-3</v>
      </c>
      <c r="L211" t="s">
        <v>164</v>
      </c>
      <c r="N211" t="s">
        <v>212</v>
      </c>
      <c r="O211" t="s">
        <v>169</v>
      </c>
      <c r="P211">
        <v>2.8728235373594833E-3</v>
      </c>
      <c r="Q211" t="s">
        <v>164</v>
      </c>
      <c r="S211" t="s">
        <v>232</v>
      </c>
      <c r="T211" t="s">
        <v>169</v>
      </c>
      <c r="U211">
        <v>4.1187550976871093E-3</v>
      </c>
      <c r="V211" t="s">
        <v>164</v>
      </c>
      <c r="AK211">
        <v>2050</v>
      </c>
      <c r="AL211" t="s">
        <v>152</v>
      </c>
      <c r="AM211">
        <v>0.45440000000000003</v>
      </c>
      <c r="AN211" t="s">
        <v>253</v>
      </c>
    </row>
    <row r="212" spans="9:40" x14ac:dyDescent="0.45">
      <c r="I212" t="s">
        <v>179</v>
      </c>
      <c r="J212" t="s">
        <v>265</v>
      </c>
      <c r="K212">
        <v>4.7508132131043011E-2</v>
      </c>
      <c r="L212" t="s">
        <v>164</v>
      </c>
      <c r="N212" t="s">
        <v>212</v>
      </c>
      <c r="O212" t="s">
        <v>265</v>
      </c>
      <c r="P212">
        <v>6.0524131618130667E-2</v>
      </c>
      <c r="Q212" t="s">
        <v>164</v>
      </c>
      <c r="S212" t="s">
        <v>232</v>
      </c>
      <c r="T212" t="s">
        <v>265</v>
      </c>
      <c r="U212">
        <v>2.1885841280983337E-2</v>
      </c>
      <c r="V212" t="s">
        <v>164</v>
      </c>
      <c r="AK212">
        <v>2050</v>
      </c>
      <c r="AL212" t="s">
        <v>156</v>
      </c>
      <c r="AM212">
        <v>0.4481</v>
      </c>
      <c r="AN212" t="s">
        <v>253</v>
      </c>
    </row>
    <row r="213" spans="9:40" x14ac:dyDescent="0.45">
      <c r="I213" t="s">
        <v>179</v>
      </c>
      <c r="J213" t="s">
        <v>266</v>
      </c>
      <c r="K213">
        <v>5.4133435197691471E-3</v>
      </c>
      <c r="L213" t="s">
        <v>164</v>
      </c>
      <c r="N213" t="s">
        <v>212</v>
      </c>
      <c r="O213" t="s">
        <v>266</v>
      </c>
      <c r="P213">
        <v>1.3110247451405353E-2</v>
      </c>
      <c r="Q213" t="s">
        <v>164</v>
      </c>
      <c r="S213" t="s">
        <v>232</v>
      </c>
      <c r="T213" t="s">
        <v>266</v>
      </c>
      <c r="U213">
        <v>3.4542194810887588E-3</v>
      </c>
      <c r="V213" t="s">
        <v>164</v>
      </c>
      <c r="AK213">
        <v>2050</v>
      </c>
      <c r="AL213" t="s">
        <v>158</v>
      </c>
      <c r="AM213">
        <v>0.43049999999999999</v>
      </c>
      <c r="AN213" t="s">
        <v>253</v>
      </c>
    </row>
    <row r="214" spans="9:40" x14ac:dyDescent="0.45">
      <c r="I214" t="s">
        <v>179</v>
      </c>
      <c r="J214" t="s">
        <v>267</v>
      </c>
      <c r="K214">
        <v>3.3844431093937215E-3</v>
      </c>
      <c r="L214" t="s">
        <v>164</v>
      </c>
      <c r="N214" t="s">
        <v>212</v>
      </c>
      <c r="O214" t="s">
        <v>267</v>
      </c>
      <c r="P214">
        <v>6.2887772510851592E-2</v>
      </c>
      <c r="Q214" t="s">
        <v>164</v>
      </c>
      <c r="S214" t="s">
        <v>232</v>
      </c>
      <c r="T214" t="s">
        <v>267</v>
      </c>
      <c r="U214">
        <v>2.352133509917069E-2</v>
      </c>
      <c r="V214" t="s">
        <v>164</v>
      </c>
      <c r="AK214">
        <v>2050</v>
      </c>
      <c r="AL214" t="s">
        <v>160</v>
      </c>
      <c r="AM214">
        <v>0.31884999999999997</v>
      </c>
      <c r="AN214" t="s">
        <v>253</v>
      </c>
    </row>
    <row r="215" spans="9:40" x14ac:dyDescent="0.45">
      <c r="I215" t="s">
        <v>179</v>
      </c>
      <c r="J215" t="s">
        <v>170</v>
      </c>
      <c r="K215">
        <v>9.3182373185363813E-3</v>
      </c>
      <c r="L215" t="s">
        <v>164</v>
      </c>
      <c r="N215" t="s">
        <v>212</v>
      </c>
      <c r="O215" t="s">
        <v>170</v>
      </c>
      <c r="P215">
        <v>1.8597348421530654E-2</v>
      </c>
      <c r="Q215" t="s">
        <v>164</v>
      </c>
      <c r="S215" t="s">
        <v>232</v>
      </c>
      <c r="T215" t="s">
        <v>170</v>
      </c>
      <c r="U215">
        <v>4.5503324482188377E-2</v>
      </c>
      <c r="V215" t="s">
        <v>164</v>
      </c>
      <c r="AK215">
        <v>2050</v>
      </c>
      <c r="AL215" t="s">
        <v>256</v>
      </c>
      <c r="AM215">
        <v>0.3211</v>
      </c>
      <c r="AN215" t="s">
        <v>253</v>
      </c>
    </row>
    <row r="216" spans="9:40" x14ac:dyDescent="0.45">
      <c r="I216" t="s">
        <v>179</v>
      </c>
      <c r="J216" t="s">
        <v>171</v>
      </c>
      <c r="K216">
        <v>8.3527393147000313E-3</v>
      </c>
      <c r="L216" t="s">
        <v>164</v>
      </c>
      <c r="N216" t="s">
        <v>212</v>
      </c>
      <c r="O216" t="s">
        <v>171</v>
      </c>
      <c r="P216">
        <v>9.6064509379388183E-4</v>
      </c>
      <c r="Q216" t="s">
        <v>164</v>
      </c>
      <c r="S216" t="s">
        <v>232</v>
      </c>
      <c r="T216" t="s">
        <v>171</v>
      </c>
      <c r="U216">
        <v>4.7110073878390037E-3</v>
      </c>
      <c r="V216" t="s">
        <v>164</v>
      </c>
      <c r="AK216">
        <v>2050</v>
      </c>
      <c r="AL216" t="s">
        <v>258</v>
      </c>
      <c r="AM216">
        <v>0.37990000000000002</v>
      </c>
      <c r="AN216" t="s">
        <v>253</v>
      </c>
    </row>
    <row r="217" spans="9:40" x14ac:dyDescent="0.45">
      <c r="I217" t="s">
        <v>179</v>
      </c>
      <c r="J217" t="s">
        <v>172</v>
      </c>
      <c r="K217">
        <v>9.7246042308378813E-3</v>
      </c>
      <c r="L217" t="s">
        <v>164</v>
      </c>
      <c r="N217" t="s">
        <v>212</v>
      </c>
      <c r="O217" t="s">
        <v>172</v>
      </c>
      <c r="P217">
        <v>1.139620241424662E-3</v>
      </c>
      <c r="Q217" t="s">
        <v>164</v>
      </c>
      <c r="S217" t="s">
        <v>232</v>
      </c>
      <c r="T217" t="s">
        <v>172</v>
      </c>
      <c r="U217">
        <v>4.755675495598609E-3</v>
      </c>
      <c r="V217" t="s">
        <v>164</v>
      </c>
      <c r="AK217">
        <v>2050</v>
      </c>
      <c r="AL217" t="s">
        <v>260</v>
      </c>
      <c r="AM217">
        <v>0.44485000000000002</v>
      </c>
      <c r="AN217" t="s">
        <v>253</v>
      </c>
    </row>
    <row r="218" spans="9:40" x14ac:dyDescent="0.45">
      <c r="I218" t="s">
        <v>179</v>
      </c>
      <c r="J218" t="s">
        <v>268</v>
      </c>
      <c r="K218">
        <v>6.1866096953565548E-2</v>
      </c>
      <c r="L218" t="s">
        <v>164</v>
      </c>
      <c r="N218" t="s">
        <v>212</v>
      </c>
      <c r="O218" t="s">
        <v>268</v>
      </c>
      <c r="P218">
        <v>5.4337494079690372E-2</v>
      </c>
      <c r="Q218" t="s">
        <v>164</v>
      </c>
      <c r="S218" t="s">
        <v>232</v>
      </c>
      <c r="T218" t="s">
        <v>268</v>
      </c>
      <c r="U218">
        <v>2.7721718897554714E-2</v>
      </c>
      <c r="V218" t="s">
        <v>164</v>
      </c>
      <c r="AK218">
        <v>2050</v>
      </c>
      <c r="AL218" t="s">
        <v>261</v>
      </c>
      <c r="AM218">
        <v>0.46750000000000003</v>
      </c>
      <c r="AN218" t="s">
        <v>253</v>
      </c>
    </row>
    <row r="219" spans="9:40" x14ac:dyDescent="0.45">
      <c r="I219" t="s">
        <v>179</v>
      </c>
      <c r="J219" t="s">
        <v>269</v>
      </c>
      <c r="K219">
        <v>6.9395703115979288E-3</v>
      </c>
      <c r="L219" t="s">
        <v>164</v>
      </c>
      <c r="N219" t="s">
        <v>212</v>
      </c>
      <c r="O219" t="s">
        <v>269</v>
      </c>
      <c r="P219">
        <v>1.2905518074730038E-2</v>
      </c>
      <c r="Q219" t="s">
        <v>164</v>
      </c>
      <c r="S219" t="s">
        <v>232</v>
      </c>
      <c r="T219" t="s">
        <v>269</v>
      </c>
      <c r="U219">
        <v>4.4962896442244382E-3</v>
      </c>
      <c r="V219" t="s">
        <v>164</v>
      </c>
    </row>
    <row r="220" spans="9:40" x14ac:dyDescent="0.45">
      <c r="I220" t="s">
        <v>179</v>
      </c>
      <c r="J220" t="s">
        <v>270</v>
      </c>
      <c r="K220">
        <v>4.7348090331279496E-3</v>
      </c>
      <c r="L220" t="s">
        <v>164</v>
      </c>
      <c r="N220" t="s">
        <v>212</v>
      </c>
      <c r="O220" t="s">
        <v>270</v>
      </c>
      <c r="P220">
        <v>5.2057809877858574E-2</v>
      </c>
      <c r="Q220" t="s">
        <v>164</v>
      </c>
      <c r="S220" t="s">
        <v>232</v>
      </c>
      <c r="T220" t="s">
        <v>270</v>
      </c>
      <c r="U220">
        <v>3.1641450602292759E-2</v>
      </c>
      <c r="V220" t="s">
        <v>164</v>
      </c>
    </row>
    <row r="221" spans="9:40" x14ac:dyDescent="0.45">
      <c r="I221" t="s">
        <v>179</v>
      </c>
      <c r="J221" t="s">
        <v>173</v>
      </c>
      <c r="K221">
        <v>1.212138450119927E-2</v>
      </c>
      <c r="L221" t="s">
        <v>164</v>
      </c>
      <c r="N221" t="s">
        <v>212</v>
      </c>
      <c r="O221" t="s">
        <v>173</v>
      </c>
      <c r="P221">
        <v>9.9297130050452053E-3</v>
      </c>
      <c r="Q221" t="s">
        <v>164</v>
      </c>
      <c r="S221" t="s">
        <v>232</v>
      </c>
      <c r="T221" t="s">
        <v>173</v>
      </c>
      <c r="U221">
        <v>6.8646519389598315E-2</v>
      </c>
      <c r="V221" t="s">
        <v>164</v>
      </c>
    </row>
    <row r="222" spans="9:40" x14ac:dyDescent="0.45">
      <c r="I222" t="s">
        <v>179</v>
      </c>
      <c r="J222" t="s">
        <v>174</v>
      </c>
      <c r="K222">
        <v>1.1665136435020438E-2</v>
      </c>
      <c r="L222" t="s">
        <v>164</v>
      </c>
      <c r="N222" t="s">
        <v>212</v>
      </c>
      <c r="O222" t="s">
        <v>174</v>
      </c>
      <c r="P222">
        <v>9.5112718332361948E-4</v>
      </c>
      <c r="Q222" t="s">
        <v>164</v>
      </c>
      <c r="S222" t="s">
        <v>232</v>
      </c>
      <c r="T222" t="s">
        <v>174</v>
      </c>
      <c r="U222">
        <v>6.533369069770258E-3</v>
      </c>
      <c r="V222" t="s">
        <v>164</v>
      </c>
    </row>
    <row r="223" spans="9:40" x14ac:dyDescent="0.45">
      <c r="I223" t="s">
        <v>179</v>
      </c>
      <c r="J223" t="s">
        <v>175</v>
      </c>
      <c r="K223">
        <v>1.4263101245708013E-2</v>
      </c>
      <c r="L223" t="s">
        <v>164</v>
      </c>
      <c r="N223" t="s">
        <v>212</v>
      </c>
      <c r="O223" t="s">
        <v>175</v>
      </c>
      <c r="P223">
        <v>1.0037334788310186E-3</v>
      </c>
      <c r="Q223" t="s">
        <v>164</v>
      </c>
      <c r="S223" t="s">
        <v>232</v>
      </c>
      <c r="T223" t="s">
        <v>175</v>
      </c>
      <c r="U223">
        <v>6.520341943720003E-3</v>
      </c>
      <c r="V223" t="s">
        <v>164</v>
      </c>
    </row>
    <row r="224" spans="9:40" x14ac:dyDescent="0.45">
      <c r="I224" t="s">
        <v>179</v>
      </c>
      <c r="J224" t="s">
        <v>271</v>
      </c>
      <c r="K224">
        <v>9.693895171103134E-2</v>
      </c>
      <c r="L224" t="s">
        <v>164</v>
      </c>
      <c r="N224" t="s">
        <v>212</v>
      </c>
      <c r="O224" t="s">
        <v>271</v>
      </c>
      <c r="P224">
        <v>5.8427373997201201E-2</v>
      </c>
      <c r="Q224" t="s">
        <v>164</v>
      </c>
      <c r="S224" t="s">
        <v>232</v>
      </c>
      <c r="T224" t="s">
        <v>271</v>
      </c>
      <c r="U224">
        <v>3.975389238047855E-2</v>
      </c>
      <c r="V224" t="s">
        <v>164</v>
      </c>
    </row>
    <row r="225" spans="9:22" x14ac:dyDescent="0.45">
      <c r="I225" t="s">
        <v>179</v>
      </c>
      <c r="J225" t="s">
        <v>272</v>
      </c>
      <c r="K225">
        <v>9.464231228377095E-3</v>
      </c>
      <c r="L225" t="s">
        <v>164</v>
      </c>
      <c r="N225" t="s">
        <v>212</v>
      </c>
      <c r="O225" t="s">
        <v>272</v>
      </c>
      <c r="P225">
        <v>1.3533766696919672E-2</v>
      </c>
      <c r="Q225" t="s">
        <v>164</v>
      </c>
      <c r="S225" t="s">
        <v>232</v>
      </c>
      <c r="T225" t="s">
        <v>272</v>
      </c>
      <c r="U225">
        <v>6.8461565255014288E-3</v>
      </c>
      <c r="V225" t="s">
        <v>164</v>
      </c>
    </row>
    <row r="226" spans="9:22" x14ac:dyDescent="0.45">
      <c r="I226" t="s">
        <v>179</v>
      </c>
      <c r="J226" t="s">
        <v>273</v>
      </c>
      <c r="K226">
        <v>5.7263546697714791E-3</v>
      </c>
      <c r="L226" t="s">
        <v>164</v>
      </c>
      <c r="N226" t="s">
        <v>212</v>
      </c>
      <c r="O226" t="s">
        <v>273</v>
      </c>
      <c r="P226">
        <v>4.7855248682771148E-2</v>
      </c>
      <c r="Q226" t="s">
        <v>164</v>
      </c>
      <c r="S226" t="s">
        <v>232</v>
      </c>
      <c r="T226" t="s">
        <v>273</v>
      </c>
      <c r="U226">
        <v>4.9316766633632457E-2</v>
      </c>
      <c r="V226" t="s">
        <v>164</v>
      </c>
    </row>
    <row r="227" spans="9:22" x14ac:dyDescent="0.45">
      <c r="I227" t="s">
        <v>179</v>
      </c>
      <c r="J227" t="s">
        <v>274</v>
      </c>
      <c r="K227">
        <v>1.0061153816185773E-2</v>
      </c>
      <c r="L227" t="s">
        <v>164</v>
      </c>
      <c r="N227" t="s">
        <v>212</v>
      </c>
      <c r="O227" t="s">
        <v>274</v>
      </c>
      <c r="P227">
        <v>1.7587755426220607E-2</v>
      </c>
      <c r="Q227" t="s">
        <v>164</v>
      </c>
      <c r="S227" t="s">
        <v>232</v>
      </c>
      <c r="T227" t="s">
        <v>274</v>
      </c>
      <c r="U227">
        <v>7.1795452432722062E-2</v>
      </c>
      <c r="V227" t="s">
        <v>164</v>
      </c>
    </row>
    <row r="228" spans="9:22" x14ac:dyDescent="0.45">
      <c r="I228" t="s">
        <v>179</v>
      </c>
      <c r="J228" t="s">
        <v>275</v>
      </c>
      <c r="K228">
        <v>1.051168646899386E-2</v>
      </c>
      <c r="L228" t="s">
        <v>164</v>
      </c>
      <c r="N228" t="s">
        <v>212</v>
      </c>
      <c r="O228" t="s">
        <v>275</v>
      </c>
      <c r="P228">
        <v>1.7803510899436167E-3</v>
      </c>
      <c r="Q228" t="s">
        <v>164</v>
      </c>
      <c r="S228" t="s">
        <v>232</v>
      </c>
      <c r="T228" t="s">
        <v>275</v>
      </c>
      <c r="U228">
        <v>6.8658309972437796E-3</v>
      </c>
      <c r="V228" t="s">
        <v>164</v>
      </c>
    </row>
    <row r="229" spans="9:22" x14ac:dyDescent="0.45">
      <c r="I229" t="s">
        <v>179</v>
      </c>
      <c r="J229" t="s">
        <v>276</v>
      </c>
      <c r="K229">
        <v>1.3680471114293489E-2</v>
      </c>
      <c r="L229" t="s">
        <v>164</v>
      </c>
      <c r="N229" t="s">
        <v>212</v>
      </c>
      <c r="O229" t="s">
        <v>276</v>
      </c>
      <c r="P229">
        <v>1.6206915568978914E-3</v>
      </c>
      <c r="Q229" t="s">
        <v>164</v>
      </c>
      <c r="S229" t="s">
        <v>232</v>
      </c>
      <c r="T229" t="s">
        <v>276</v>
      </c>
      <c r="U229">
        <v>6.8109556617044825E-3</v>
      </c>
      <c r="V229" t="s">
        <v>164</v>
      </c>
    </row>
    <row r="230" spans="9:22" x14ac:dyDescent="0.45">
      <c r="I230" t="s">
        <v>179</v>
      </c>
      <c r="J230" t="s">
        <v>277</v>
      </c>
      <c r="K230">
        <v>9.8593854846797072E-2</v>
      </c>
      <c r="L230" t="s">
        <v>164</v>
      </c>
      <c r="N230" t="s">
        <v>212</v>
      </c>
      <c r="O230" t="s">
        <v>277</v>
      </c>
      <c r="P230">
        <v>3.6272201664251866E-2</v>
      </c>
      <c r="Q230" t="s">
        <v>164</v>
      </c>
      <c r="S230" t="s">
        <v>232</v>
      </c>
      <c r="T230" t="s">
        <v>277</v>
      </c>
      <c r="U230">
        <v>4.0191773423639873E-2</v>
      </c>
      <c r="V230" t="s">
        <v>164</v>
      </c>
    </row>
    <row r="231" spans="9:22" x14ac:dyDescent="0.45">
      <c r="I231" t="s">
        <v>179</v>
      </c>
      <c r="J231" t="s">
        <v>278</v>
      </c>
      <c r="K231">
        <v>9.5529444946493673E-3</v>
      </c>
      <c r="L231" t="s">
        <v>164</v>
      </c>
      <c r="N231" t="s">
        <v>212</v>
      </c>
      <c r="O231" t="s">
        <v>278</v>
      </c>
      <c r="P231">
        <v>7.8918179090912699E-3</v>
      </c>
      <c r="Q231" t="s">
        <v>164</v>
      </c>
      <c r="S231" t="s">
        <v>232</v>
      </c>
      <c r="T231" t="s">
        <v>278</v>
      </c>
      <c r="U231">
        <v>7.8218151977776859E-3</v>
      </c>
      <c r="V231" t="s">
        <v>164</v>
      </c>
    </row>
    <row r="232" spans="9:22" x14ac:dyDescent="0.45">
      <c r="I232" t="s">
        <v>179</v>
      </c>
      <c r="J232" t="s">
        <v>279</v>
      </c>
      <c r="K232">
        <v>5.9156799778214983E-3</v>
      </c>
      <c r="L232" t="s">
        <v>164</v>
      </c>
      <c r="N232" t="s">
        <v>212</v>
      </c>
      <c r="O232" t="s">
        <v>279</v>
      </c>
      <c r="P232">
        <v>3.4299465371937073E-2</v>
      </c>
      <c r="Q232" t="s">
        <v>164</v>
      </c>
      <c r="S232" t="s">
        <v>232</v>
      </c>
      <c r="T232" t="s">
        <v>279</v>
      </c>
      <c r="U232">
        <v>5.1313278183546043E-2</v>
      </c>
      <c r="V232" t="s">
        <v>164</v>
      </c>
    </row>
    <row r="233" spans="9:22" x14ac:dyDescent="0.45">
      <c r="I233" t="s">
        <v>179</v>
      </c>
      <c r="J233" t="s">
        <v>280</v>
      </c>
      <c r="K233">
        <v>1.5718754421500364E-2</v>
      </c>
      <c r="L233" t="s">
        <v>164</v>
      </c>
      <c r="N233" t="s">
        <v>212</v>
      </c>
      <c r="O233" t="s">
        <v>280</v>
      </c>
      <c r="P233">
        <v>2.4234382197507301E-2</v>
      </c>
      <c r="Q233" t="s">
        <v>164</v>
      </c>
      <c r="S233" t="s">
        <v>232</v>
      </c>
      <c r="T233" t="s">
        <v>280</v>
      </c>
      <c r="U233">
        <v>4.7934557039816472E-2</v>
      </c>
      <c r="V233" t="s">
        <v>164</v>
      </c>
    </row>
    <row r="234" spans="9:22" x14ac:dyDescent="0.45">
      <c r="I234" t="s">
        <v>179</v>
      </c>
      <c r="J234" t="s">
        <v>281</v>
      </c>
      <c r="K234">
        <v>1.3967904060939187E-2</v>
      </c>
      <c r="L234" t="s">
        <v>164</v>
      </c>
      <c r="N234" t="s">
        <v>212</v>
      </c>
      <c r="O234" t="s">
        <v>281</v>
      </c>
      <c r="P234">
        <v>4.3989903668697978E-3</v>
      </c>
      <c r="Q234" t="s">
        <v>164</v>
      </c>
      <c r="S234" t="s">
        <v>232</v>
      </c>
      <c r="T234" t="s">
        <v>281</v>
      </c>
      <c r="U234">
        <v>4.4943617251142851E-3</v>
      </c>
      <c r="V234" t="s">
        <v>164</v>
      </c>
    </row>
    <row r="235" spans="9:22" x14ac:dyDescent="0.45">
      <c r="I235" t="s">
        <v>179</v>
      </c>
      <c r="J235" t="s">
        <v>282</v>
      </c>
      <c r="K235">
        <v>1.7277066378868576E-2</v>
      </c>
      <c r="L235" t="s">
        <v>164</v>
      </c>
      <c r="N235" t="s">
        <v>212</v>
      </c>
      <c r="O235" t="s">
        <v>282</v>
      </c>
      <c r="P235">
        <v>4.0790664934175396E-3</v>
      </c>
      <c r="Q235" t="s">
        <v>164</v>
      </c>
      <c r="S235" t="s">
        <v>232</v>
      </c>
      <c r="T235" t="s">
        <v>282</v>
      </c>
      <c r="U235">
        <v>4.378931183950446E-3</v>
      </c>
      <c r="V235" t="s">
        <v>164</v>
      </c>
    </row>
    <row r="236" spans="9:22" x14ac:dyDescent="0.45">
      <c r="I236" t="s">
        <v>179</v>
      </c>
      <c r="J236" t="s">
        <v>283</v>
      </c>
      <c r="K236">
        <v>0.11415431983813898</v>
      </c>
      <c r="L236" t="s">
        <v>164</v>
      </c>
      <c r="N236" t="s">
        <v>212</v>
      </c>
      <c r="O236" t="s">
        <v>283</v>
      </c>
      <c r="P236">
        <v>2.2444438335721958E-2</v>
      </c>
      <c r="Q236" t="s">
        <v>164</v>
      </c>
      <c r="S236" t="s">
        <v>232</v>
      </c>
      <c r="T236" t="s">
        <v>283</v>
      </c>
      <c r="U236">
        <v>2.2893021946534815E-2</v>
      </c>
      <c r="V236" t="s">
        <v>164</v>
      </c>
    </row>
    <row r="237" spans="9:22" x14ac:dyDescent="0.45">
      <c r="I237" t="s">
        <v>179</v>
      </c>
      <c r="J237" t="s">
        <v>284</v>
      </c>
      <c r="K237">
        <v>1.1580957557405904E-2</v>
      </c>
      <c r="L237" t="s">
        <v>164</v>
      </c>
      <c r="N237" t="s">
        <v>212</v>
      </c>
      <c r="O237" t="s">
        <v>284</v>
      </c>
      <c r="P237">
        <v>5.7631182419647323E-3</v>
      </c>
      <c r="Q237" t="s">
        <v>164</v>
      </c>
      <c r="S237" t="s">
        <v>232</v>
      </c>
      <c r="T237" t="s">
        <v>284</v>
      </c>
      <c r="U237">
        <v>4.065828510337554E-3</v>
      </c>
      <c r="V237" t="s">
        <v>164</v>
      </c>
    </row>
    <row r="238" spans="9:22" x14ac:dyDescent="0.45">
      <c r="I238" t="s">
        <v>179</v>
      </c>
      <c r="J238" t="s">
        <v>285</v>
      </c>
      <c r="K238">
        <v>7.0798385744378816E-3</v>
      </c>
      <c r="L238" t="s">
        <v>164</v>
      </c>
      <c r="N238" t="s">
        <v>212</v>
      </c>
      <c r="O238" t="s">
        <v>285</v>
      </c>
      <c r="P238">
        <v>2.4294419376298542E-2</v>
      </c>
      <c r="Q238" t="s">
        <v>164</v>
      </c>
      <c r="S238" t="s">
        <v>232</v>
      </c>
      <c r="T238" t="s">
        <v>285</v>
      </c>
      <c r="U238">
        <v>3.1755313054269964E-2</v>
      </c>
      <c r="V238" t="s">
        <v>164</v>
      </c>
    </row>
    <row r="239" spans="9:22" x14ac:dyDescent="0.45">
      <c r="I239" t="s">
        <v>179</v>
      </c>
      <c r="J239" t="s">
        <v>286</v>
      </c>
      <c r="K239">
        <v>1.8183926132278656E-2</v>
      </c>
      <c r="L239" t="s">
        <v>164</v>
      </c>
      <c r="N239" t="s">
        <v>212</v>
      </c>
      <c r="O239" t="s">
        <v>286</v>
      </c>
      <c r="P239">
        <v>1.8721038795787064E-2</v>
      </c>
      <c r="Q239" t="s">
        <v>164</v>
      </c>
      <c r="S239" t="s">
        <v>232</v>
      </c>
      <c r="T239" t="s">
        <v>286</v>
      </c>
      <c r="U239">
        <v>4.7095993560895874E-2</v>
      </c>
      <c r="V239" t="s">
        <v>164</v>
      </c>
    </row>
    <row r="240" spans="9:22" x14ac:dyDescent="0.45">
      <c r="I240" t="s">
        <v>179</v>
      </c>
      <c r="J240" t="s">
        <v>287</v>
      </c>
      <c r="K240">
        <v>1.5948874017766294E-2</v>
      </c>
      <c r="L240" t="s">
        <v>164</v>
      </c>
      <c r="N240" t="s">
        <v>212</v>
      </c>
      <c r="O240" t="s">
        <v>287</v>
      </c>
      <c r="P240">
        <v>2.0303816794820517E-3</v>
      </c>
      <c r="Q240" t="s">
        <v>164</v>
      </c>
      <c r="S240" t="s">
        <v>232</v>
      </c>
      <c r="T240" t="s">
        <v>287</v>
      </c>
      <c r="U240">
        <v>4.439038044599687E-3</v>
      </c>
      <c r="V240" t="s">
        <v>164</v>
      </c>
    </row>
    <row r="241" spans="9:22" x14ac:dyDescent="0.45">
      <c r="I241" t="s">
        <v>179</v>
      </c>
      <c r="J241" t="s">
        <v>288</v>
      </c>
      <c r="K241">
        <v>1.8415529086162296E-2</v>
      </c>
      <c r="L241" t="s">
        <v>164</v>
      </c>
      <c r="N241" t="s">
        <v>212</v>
      </c>
      <c r="O241" t="s">
        <v>288</v>
      </c>
      <c r="P241">
        <v>2.0268664842971475E-3</v>
      </c>
      <c r="Q241" t="s">
        <v>164</v>
      </c>
      <c r="S241" t="s">
        <v>232</v>
      </c>
      <c r="T241" t="s">
        <v>288</v>
      </c>
      <c r="U241">
        <v>4.3280262619598718E-3</v>
      </c>
      <c r="V241" t="s">
        <v>164</v>
      </c>
    </row>
    <row r="242" spans="9:22" x14ac:dyDescent="0.45">
      <c r="I242" t="s">
        <v>179</v>
      </c>
      <c r="J242" t="s">
        <v>289</v>
      </c>
      <c r="K242">
        <v>0.11609952138259239</v>
      </c>
      <c r="L242" t="s">
        <v>164</v>
      </c>
      <c r="N242" t="s">
        <v>212</v>
      </c>
      <c r="O242" t="s">
        <v>289</v>
      </c>
      <c r="P242">
        <v>4.1655189590096842E-2</v>
      </c>
      <c r="Q242" t="s">
        <v>164</v>
      </c>
      <c r="S242" t="s">
        <v>232</v>
      </c>
      <c r="T242" t="s">
        <v>289</v>
      </c>
      <c r="U242">
        <v>2.5122067758080052E-2</v>
      </c>
      <c r="V242" t="s">
        <v>164</v>
      </c>
    </row>
    <row r="243" spans="9:22" x14ac:dyDescent="0.45">
      <c r="I243" t="s">
        <v>179</v>
      </c>
      <c r="J243" t="s">
        <v>290</v>
      </c>
      <c r="K243">
        <v>1.1310683492078389E-2</v>
      </c>
      <c r="L243" t="s">
        <v>164</v>
      </c>
      <c r="N243" t="s">
        <v>212</v>
      </c>
      <c r="O243" t="s">
        <v>290</v>
      </c>
      <c r="P243">
        <v>1.1189440355373443E-2</v>
      </c>
      <c r="Q243" t="s">
        <v>164</v>
      </c>
      <c r="S243" t="s">
        <v>232</v>
      </c>
      <c r="T243" t="s">
        <v>290</v>
      </c>
      <c r="U243">
        <v>4.9962766214144746E-3</v>
      </c>
      <c r="V243" t="s">
        <v>164</v>
      </c>
    </row>
    <row r="244" spans="9:22" x14ac:dyDescent="0.45">
      <c r="I244" t="s">
        <v>179</v>
      </c>
      <c r="J244" t="s">
        <v>291</v>
      </c>
      <c r="K244">
        <v>6.5750716248693308E-3</v>
      </c>
      <c r="L244" t="s">
        <v>164</v>
      </c>
      <c r="N244" t="s">
        <v>212</v>
      </c>
      <c r="O244" t="s">
        <v>291</v>
      </c>
      <c r="P244">
        <v>4.9536725896373195E-2</v>
      </c>
      <c r="Q244" t="s">
        <v>164</v>
      </c>
      <c r="S244" t="s">
        <v>232</v>
      </c>
      <c r="T244" t="s">
        <v>291</v>
      </c>
      <c r="U244">
        <v>3.5884460132527628E-2</v>
      </c>
      <c r="V244" t="s">
        <v>164</v>
      </c>
    </row>
    <row r="245" spans="9:22" x14ac:dyDescent="0.45">
      <c r="I245" t="s">
        <v>179</v>
      </c>
      <c r="J245" t="s">
        <v>292</v>
      </c>
      <c r="K245">
        <v>5.3781884509610271E-3</v>
      </c>
      <c r="L245" t="s">
        <v>164</v>
      </c>
      <c r="N245" t="s">
        <v>212</v>
      </c>
      <c r="O245" t="s">
        <v>292</v>
      </c>
      <c r="P245">
        <v>1.7410693153563538E-2</v>
      </c>
      <c r="Q245" t="s">
        <v>164</v>
      </c>
      <c r="S245" t="s">
        <v>232</v>
      </c>
      <c r="T245" t="s">
        <v>292</v>
      </c>
      <c r="U245">
        <v>3.4219357250420766E-2</v>
      </c>
      <c r="V245" t="s">
        <v>164</v>
      </c>
    </row>
    <row r="246" spans="9:22" x14ac:dyDescent="0.45">
      <c r="I246" t="s">
        <v>179</v>
      </c>
      <c r="J246" t="s">
        <v>293</v>
      </c>
      <c r="K246">
        <v>5.758342613390928E-3</v>
      </c>
      <c r="L246" t="s">
        <v>164</v>
      </c>
      <c r="N246" t="s">
        <v>212</v>
      </c>
      <c r="O246" t="s">
        <v>293</v>
      </c>
      <c r="P246">
        <v>1.8182534937388338E-3</v>
      </c>
      <c r="Q246" t="s">
        <v>164</v>
      </c>
      <c r="S246" t="s">
        <v>232</v>
      </c>
      <c r="T246" t="s">
        <v>293</v>
      </c>
      <c r="U246">
        <v>3.6311033533062975E-3</v>
      </c>
      <c r="V246" t="s">
        <v>164</v>
      </c>
    </row>
    <row r="247" spans="9:22" x14ac:dyDescent="0.45">
      <c r="I247" t="s">
        <v>179</v>
      </c>
      <c r="J247" t="s">
        <v>294</v>
      </c>
      <c r="K247">
        <v>7.3799251695391577E-3</v>
      </c>
      <c r="L247" t="s">
        <v>164</v>
      </c>
      <c r="N247" t="s">
        <v>212</v>
      </c>
      <c r="O247" t="s">
        <v>294</v>
      </c>
      <c r="P247">
        <v>2.391206629630317E-3</v>
      </c>
      <c r="Q247" t="s">
        <v>164</v>
      </c>
      <c r="S247" t="s">
        <v>232</v>
      </c>
      <c r="T247" t="s">
        <v>294</v>
      </c>
      <c r="U247">
        <v>3.4928344417995091E-3</v>
      </c>
      <c r="V247" t="s">
        <v>164</v>
      </c>
    </row>
    <row r="248" spans="9:22" x14ac:dyDescent="0.45">
      <c r="I248" t="s">
        <v>179</v>
      </c>
      <c r="J248" t="s">
        <v>295</v>
      </c>
      <c r="K248">
        <v>4.9458704391077267E-2</v>
      </c>
      <c r="L248" t="s">
        <v>164</v>
      </c>
      <c r="N248" t="s">
        <v>212</v>
      </c>
      <c r="O248" t="s">
        <v>295</v>
      </c>
      <c r="P248">
        <v>3.4466292183148728E-2</v>
      </c>
      <c r="Q248" t="s">
        <v>164</v>
      </c>
      <c r="S248" t="s">
        <v>232</v>
      </c>
      <c r="T248" t="s">
        <v>295</v>
      </c>
      <c r="U248">
        <v>1.9493661435691867E-2</v>
      </c>
      <c r="V248" t="s">
        <v>164</v>
      </c>
    </row>
    <row r="249" spans="9:22" x14ac:dyDescent="0.45">
      <c r="I249" t="s">
        <v>179</v>
      </c>
      <c r="J249" t="s">
        <v>296</v>
      </c>
      <c r="K249">
        <v>5.3910320815946048E-3</v>
      </c>
      <c r="L249" t="s">
        <v>164</v>
      </c>
      <c r="N249" t="s">
        <v>212</v>
      </c>
      <c r="O249" t="s">
        <v>296</v>
      </c>
      <c r="P249">
        <v>7.861784817140699E-3</v>
      </c>
      <c r="Q249" t="s">
        <v>164</v>
      </c>
      <c r="S249" t="s">
        <v>232</v>
      </c>
      <c r="T249" t="s">
        <v>296</v>
      </c>
      <c r="U249">
        <v>3.5097279982266335E-3</v>
      </c>
      <c r="V249" t="s">
        <v>164</v>
      </c>
    </row>
    <row r="250" spans="9:22" x14ac:dyDescent="0.45">
      <c r="I250" t="s">
        <v>179</v>
      </c>
      <c r="J250" t="s">
        <v>297</v>
      </c>
      <c r="K250">
        <v>3.2934348695132622E-3</v>
      </c>
      <c r="L250" t="s">
        <v>164</v>
      </c>
      <c r="N250" t="s">
        <v>212</v>
      </c>
      <c r="O250" t="s">
        <v>297</v>
      </c>
      <c r="P250">
        <v>4.4376331456441938E-2</v>
      </c>
      <c r="Q250" t="s">
        <v>164</v>
      </c>
      <c r="S250" t="s">
        <v>232</v>
      </c>
      <c r="T250" t="s">
        <v>297</v>
      </c>
      <c r="U250">
        <v>2.5110653410446184E-2</v>
      </c>
      <c r="V250" t="s">
        <v>164</v>
      </c>
    </row>
    <row r="251" spans="9:22" x14ac:dyDescent="0.45">
      <c r="I251" t="s">
        <v>180</v>
      </c>
      <c r="J251" t="s">
        <v>163</v>
      </c>
      <c r="K251">
        <v>6.3657004526860702E-3</v>
      </c>
      <c r="L251" t="s">
        <v>164</v>
      </c>
      <c r="N251" t="s">
        <v>213</v>
      </c>
      <c r="O251" t="s">
        <v>163</v>
      </c>
      <c r="P251">
        <v>3.5792631926847833E-2</v>
      </c>
      <c r="Q251" t="s">
        <v>164</v>
      </c>
      <c r="S251" t="s">
        <v>233</v>
      </c>
      <c r="T251" t="s">
        <v>163</v>
      </c>
      <c r="U251">
        <v>3.1545120820820408E-2</v>
      </c>
      <c r="V251" t="s">
        <v>164</v>
      </c>
    </row>
    <row r="252" spans="9:22" x14ac:dyDescent="0.45">
      <c r="I252" t="s">
        <v>180</v>
      </c>
      <c r="J252" t="s">
        <v>165</v>
      </c>
      <c r="K252">
        <v>8.0398416871732496E-3</v>
      </c>
      <c r="L252" t="s">
        <v>164</v>
      </c>
      <c r="N252" t="s">
        <v>213</v>
      </c>
      <c r="O252" t="s">
        <v>165</v>
      </c>
      <c r="P252">
        <v>3.1028598665531373E-3</v>
      </c>
      <c r="Q252" t="s">
        <v>164</v>
      </c>
      <c r="S252" t="s">
        <v>233</v>
      </c>
      <c r="T252" t="s">
        <v>165</v>
      </c>
      <c r="U252">
        <v>3.2401411182844172E-3</v>
      </c>
      <c r="V252" t="s">
        <v>164</v>
      </c>
    </row>
    <row r="253" spans="9:22" x14ac:dyDescent="0.45">
      <c r="I253" t="s">
        <v>180</v>
      </c>
      <c r="J253" t="s">
        <v>166</v>
      </c>
      <c r="K253">
        <v>9.3083141685970216E-3</v>
      </c>
      <c r="L253" t="s">
        <v>164</v>
      </c>
      <c r="N253" t="s">
        <v>213</v>
      </c>
      <c r="O253" t="s">
        <v>166</v>
      </c>
      <c r="P253">
        <v>3.5957885762577658E-3</v>
      </c>
      <c r="Q253" t="s">
        <v>164</v>
      </c>
      <c r="S253" t="s">
        <v>233</v>
      </c>
      <c r="T253" t="s">
        <v>166</v>
      </c>
      <c r="U253">
        <v>3.3076082951020384E-3</v>
      </c>
      <c r="V253" t="s">
        <v>164</v>
      </c>
    </row>
    <row r="254" spans="9:22" x14ac:dyDescent="0.45">
      <c r="I254" t="s">
        <v>180</v>
      </c>
      <c r="J254" t="s">
        <v>262</v>
      </c>
      <c r="K254">
        <v>5.6115237344373042E-2</v>
      </c>
      <c r="L254" t="s">
        <v>164</v>
      </c>
      <c r="N254" t="s">
        <v>213</v>
      </c>
      <c r="O254" t="s">
        <v>262</v>
      </c>
      <c r="P254">
        <v>2.6734261642214749E-2</v>
      </c>
      <c r="Q254" t="s">
        <v>164</v>
      </c>
      <c r="S254" t="s">
        <v>233</v>
      </c>
      <c r="T254" t="s">
        <v>262</v>
      </c>
      <c r="U254">
        <v>2.2611673807412122E-2</v>
      </c>
      <c r="V254" t="s">
        <v>164</v>
      </c>
    </row>
    <row r="255" spans="9:22" x14ac:dyDescent="0.45">
      <c r="I255" t="s">
        <v>180</v>
      </c>
      <c r="J255" t="s">
        <v>263</v>
      </c>
      <c r="K255">
        <v>6.602837472968328E-3</v>
      </c>
      <c r="L255" t="s">
        <v>164</v>
      </c>
      <c r="N255" t="s">
        <v>213</v>
      </c>
      <c r="O255" t="s">
        <v>263</v>
      </c>
      <c r="P255">
        <v>1.1050560588814189E-2</v>
      </c>
      <c r="Q255" t="s">
        <v>164</v>
      </c>
      <c r="S255" t="s">
        <v>233</v>
      </c>
      <c r="T255" t="s">
        <v>263</v>
      </c>
      <c r="U255">
        <v>4.5527725791696698E-3</v>
      </c>
      <c r="V255" t="s">
        <v>164</v>
      </c>
    </row>
    <row r="256" spans="9:22" x14ac:dyDescent="0.45">
      <c r="I256" t="s">
        <v>180</v>
      </c>
      <c r="J256" t="s">
        <v>264</v>
      </c>
      <c r="K256">
        <v>4.3712003832775586E-3</v>
      </c>
      <c r="L256" t="s">
        <v>164</v>
      </c>
      <c r="N256" t="s">
        <v>213</v>
      </c>
      <c r="O256" t="s">
        <v>264</v>
      </c>
      <c r="P256">
        <v>6.6320439423115454E-2</v>
      </c>
      <c r="Q256" t="s">
        <v>164</v>
      </c>
      <c r="S256" t="s">
        <v>233</v>
      </c>
      <c r="T256" t="s">
        <v>264</v>
      </c>
      <c r="U256">
        <v>2.7431220782746419E-2</v>
      </c>
      <c r="V256" t="s">
        <v>164</v>
      </c>
    </row>
    <row r="257" spans="9:22" x14ac:dyDescent="0.45">
      <c r="I257" t="s">
        <v>180</v>
      </c>
      <c r="J257" t="s">
        <v>167</v>
      </c>
      <c r="K257">
        <v>6.0900681660962189E-3</v>
      </c>
      <c r="L257" t="s">
        <v>164</v>
      </c>
      <c r="N257" t="s">
        <v>213</v>
      </c>
      <c r="O257" t="s">
        <v>167</v>
      </c>
      <c r="P257">
        <v>4.399098060403641E-2</v>
      </c>
      <c r="Q257" t="s">
        <v>164</v>
      </c>
      <c r="S257" t="s">
        <v>233</v>
      </c>
      <c r="T257" t="s">
        <v>167</v>
      </c>
      <c r="U257">
        <v>3.6208592664165228E-2</v>
      </c>
      <c r="V257" t="s">
        <v>164</v>
      </c>
    </row>
    <row r="258" spans="9:22" x14ac:dyDescent="0.45">
      <c r="I258" t="s">
        <v>180</v>
      </c>
      <c r="J258" t="s">
        <v>168</v>
      </c>
      <c r="K258">
        <v>7.0631793898574685E-3</v>
      </c>
      <c r="L258" t="s">
        <v>164</v>
      </c>
      <c r="N258" t="s">
        <v>213</v>
      </c>
      <c r="O258" t="s">
        <v>168</v>
      </c>
      <c r="P258">
        <v>4.1116394391168681E-3</v>
      </c>
      <c r="Q258" t="s">
        <v>164</v>
      </c>
      <c r="S258" t="s">
        <v>233</v>
      </c>
      <c r="T258" t="s">
        <v>168</v>
      </c>
      <c r="U258">
        <v>3.4367606397589351E-3</v>
      </c>
      <c r="V258" t="s">
        <v>164</v>
      </c>
    </row>
    <row r="259" spans="9:22" x14ac:dyDescent="0.45">
      <c r="I259" t="s">
        <v>180</v>
      </c>
      <c r="J259" t="s">
        <v>169</v>
      </c>
      <c r="K259">
        <v>8.2292801842012951E-3</v>
      </c>
      <c r="L259" t="s">
        <v>164</v>
      </c>
      <c r="N259" t="s">
        <v>213</v>
      </c>
      <c r="O259" t="s">
        <v>169</v>
      </c>
      <c r="P259">
        <v>4.107623911094118E-3</v>
      </c>
      <c r="Q259" t="s">
        <v>164</v>
      </c>
      <c r="S259" t="s">
        <v>233</v>
      </c>
      <c r="T259" t="s">
        <v>169</v>
      </c>
      <c r="U259">
        <v>3.4264347021749231E-3</v>
      </c>
      <c r="V259" t="s">
        <v>164</v>
      </c>
    </row>
    <row r="260" spans="9:22" x14ac:dyDescent="0.45">
      <c r="I260" t="s">
        <v>180</v>
      </c>
      <c r="J260" t="s">
        <v>265</v>
      </c>
      <c r="K260">
        <v>5.0147328687896758E-2</v>
      </c>
      <c r="L260" t="s">
        <v>164</v>
      </c>
      <c r="N260" t="s">
        <v>213</v>
      </c>
      <c r="O260" t="s">
        <v>265</v>
      </c>
      <c r="P260">
        <v>2.8320458838964977E-2</v>
      </c>
      <c r="Q260" t="s">
        <v>164</v>
      </c>
      <c r="S260" t="s">
        <v>233</v>
      </c>
      <c r="T260" t="s">
        <v>265</v>
      </c>
      <c r="U260">
        <v>2.4200983058348315E-2</v>
      </c>
      <c r="V260" t="s">
        <v>164</v>
      </c>
    </row>
    <row r="261" spans="9:22" x14ac:dyDescent="0.45">
      <c r="I261" t="s">
        <v>180</v>
      </c>
      <c r="J261" t="s">
        <v>266</v>
      </c>
      <c r="K261">
        <v>6.1306388729652807E-3</v>
      </c>
      <c r="L261" t="s">
        <v>164</v>
      </c>
      <c r="N261" t="s">
        <v>213</v>
      </c>
      <c r="O261" t="s">
        <v>266</v>
      </c>
      <c r="P261">
        <v>1.2468372853862831E-2</v>
      </c>
      <c r="Q261" t="s">
        <v>164</v>
      </c>
      <c r="S261" t="s">
        <v>233</v>
      </c>
      <c r="T261" t="s">
        <v>266</v>
      </c>
      <c r="U261">
        <v>4.5329403554177986E-3</v>
      </c>
      <c r="V261" t="s">
        <v>164</v>
      </c>
    </row>
    <row r="262" spans="9:22" x14ac:dyDescent="0.45">
      <c r="I262" t="s">
        <v>180</v>
      </c>
      <c r="J262" t="s">
        <v>267</v>
      </c>
      <c r="K262">
        <v>4.2212185009825711E-3</v>
      </c>
      <c r="L262" t="s">
        <v>164</v>
      </c>
      <c r="N262" t="s">
        <v>213</v>
      </c>
      <c r="O262" t="s">
        <v>267</v>
      </c>
      <c r="P262">
        <v>7.6626327329419916E-2</v>
      </c>
      <c r="Q262" t="s">
        <v>164</v>
      </c>
      <c r="S262" t="s">
        <v>233</v>
      </c>
      <c r="T262" t="s">
        <v>267</v>
      </c>
      <c r="U262">
        <v>2.9020185453341934E-2</v>
      </c>
      <c r="V262" t="s">
        <v>164</v>
      </c>
    </row>
    <row r="263" spans="9:22" x14ac:dyDescent="0.45">
      <c r="I263" t="s">
        <v>180</v>
      </c>
      <c r="J263" t="s">
        <v>170</v>
      </c>
      <c r="K263">
        <v>1.0440966666281415E-2</v>
      </c>
      <c r="L263" t="s">
        <v>164</v>
      </c>
      <c r="N263" t="s">
        <v>213</v>
      </c>
      <c r="O263" t="s">
        <v>170</v>
      </c>
      <c r="P263">
        <v>3.7821576713214886E-2</v>
      </c>
      <c r="Q263" t="s">
        <v>164</v>
      </c>
      <c r="S263" t="s">
        <v>233</v>
      </c>
      <c r="T263" t="s">
        <v>170</v>
      </c>
      <c r="U263">
        <v>4.7448261613529018E-2</v>
      </c>
      <c r="V263" t="s">
        <v>164</v>
      </c>
    </row>
    <row r="264" spans="9:22" x14ac:dyDescent="0.45">
      <c r="I264" t="s">
        <v>180</v>
      </c>
      <c r="J264" t="s">
        <v>171</v>
      </c>
      <c r="K264">
        <v>8.619922718423904E-3</v>
      </c>
      <c r="L264" t="s">
        <v>164</v>
      </c>
      <c r="N264" t="s">
        <v>213</v>
      </c>
      <c r="O264" t="s">
        <v>171</v>
      </c>
      <c r="P264">
        <v>3.6095221939045686E-3</v>
      </c>
      <c r="Q264" t="s">
        <v>164</v>
      </c>
      <c r="S264" t="s">
        <v>233</v>
      </c>
      <c r="T264" t="s">
        <v>171</v>
      </c>
      <c r="U264">
        <v>4.3434549610254572E-3</v>
      </c>
      <c r="V264" t="s">
        <v>164</v>
      </c>
    </row>
    <row r="265" spans="9:22" x14ac:dyDescent="0.45">
      <c r="I265" t="s">
        <v>180</v>
      </c>
      <c r="J265" t="s">
        <v>172</v>
      </c>
      <c r="K265">
        <v>9.6472393441002797E-3</v>
      </c>
      <c r="L265" t="s">
        <v>164</v>
      </c>
      <c r="N265" t="s">
        <v>213</v>
      </c>
      <c r="O265" t="s">
        <v>172</v>
      </c>
      <c r="P265">
        <v>3.3605360976654316E-3</v>
      </c>
      <c r="Q265" t="s">
        <v>164</v>
      </c>
      <c r="S265" t="s">
        <v>233</v>
      </c>
      <c r="T265" t="s">
        <v>172</v>
      </c>
      <c r="U265">
        <v>4.4878692591701621E-3</v>
      </c>
      <c r="V265" t="s">
        <v>164</v>
      </c>
    </row>
    <row r="266" spans="9:22" x14ac:dyDescent="0.45">
      <c r="I266" t="s">
        <v>180</v>
      </c>
      <c r="J266" t="s">
        <v>268</v>
      </c>
      <c r="K266">
        <v>6.064623816173538E-2</v>
      </c>
      <c r="L266" t="s">
        <v>164</v>
      </c>
      <c r="N266" t="s">
        <v>213</v>
      </c>
      <c r="O266" t="s">
        <v>268</v>
      </c>
      <c r="P266">
        <v>2.3291978974653422E-2</v>
      </c>
      <c r="Q266" t="s">
        <v>164</v>
      </c>
      <c r="S266" t="s">
        <v>233</v>
      </c>
      <c r="T266" t="s">
        <v>268</v>
      </c>
      <c r="U266">
        <v>3.3395947215178821E-2</v>
      </c>
      <c r="V266" t="s">
        <v>164</v>
      </c>
    </row>
    <row r="267" spans="9:22" x14ac:dyDescent="0.45">
      <c r="I267" t="s">
        <v>180</v>
      </c>
      <c r="J267" t="s">
        <v>269</v>
      </c>
      <c r="K267">
        <v>7.6884161081778486E-3</v>
      </c>
      <c r="L267" t="s">
        <v>164</v>
      </c>
      <c r="N267" t="s">
        <v>213</v>
      </c>
      <c r="O267" t="s">
        <v>269</v>
      </c>
      <c r="P267">
        <v>9.1717270291618146E-3</v>
      </c>
      <c r="Q267" t="s">
        <v>164</v>
      </c>
      <c r="S267" t="s">
        <v>233</v>
      </c>
      <c r="T267" t="s">
        <v>269</v>
      </c>
      <c r="U267">
        <v>6.3079170495428487E-3</v>
      </c>
      <c r="V267" t="s">
        <v>164</v>
      </c>
    </row>
    <row r="268" spans="9:22" x14ac:dyDescent="0.45">
      <c r="I268" t="s">
        <v>180</v>
      </c>
      <c r="J268" t="s">
        <v>270</v>
      </c>
      <c r="K268">
        <v>5.1526768192741192E-3</v>
      </c>
      <c r="L268" t="s">
        <v>164</v>
      </c>
      <c r="N268" t="s">
        <v>213</v>
      </c>
      <c r="O268" t="s">
        <v>270</v>
      </c>
      <c r="P268">
        <v>6.6997931639408245E-2</v>
      </c>
      <c r="Q268" t="s">
        <v>164</v>
      </c>
      <c r="S268" t="s">
        <v>233</v>
      </c>
      <c r="T268" t="s">
        <v>270</v>
      </c>
      <c r="U268">
        <v>3.9282328699099367E-2</v>
      </c>
      <c r="V268" t="s">
        <v>164</v>
      </c>
    </row>
    <row r="269" spans="9:22" x14ac:dyDescent="0.45">
      <c r="I269" t="s">
        <v>180</v>
      </c>
      <c r="J269" t="s">
        <v>173</v>
      </c>
      <c r="K269">
        <v>1.585998086033728E-2</v>
      </c>
      <c r="L269" t="s">
        <v>164</v>
      </c>
      <c r="N269" t="s">
        <v>213</v>
      </c>
      <c r="O269" t="s">
        <v>173</v>
      </c>
      <c r="P269">
        <v>4.1126694978969848E-2</v>
      </c>
      <c r="Q269" t="s">
        <v>164</v>
      </c>
      <c r="S269" t="s">
        <v>233</v>
      </c>
      <c r="T269" t="s">
        <v>173</v>
      </c>
      <c r="U269">
        <v>7.2273212399437931E-2</v>
      </c>
      <c r="V269" t="s">
        <v>164</v>
      </c>
    </row>
    <row r="270" spans="9:22" x14ac:dyDescent="0.45">
      <c r="I270" t="s">
        <v>180</v>
      </c>
      <c r="J270" t="s">
        <v>174</v>
      </c>
      <c r="K270">
        <v>1.3567138545362751E-2</v>
      </c>
      <c r="L270" t="s">
        <v>164</v>
      </c>
      <c r="N270" t="s">
        <v>213</v>
      </c>
      <c r="O270" t="s">
        <v>174</v>
      </c>
      <c r="P270">
        <v>6.5475171473137915E-3</v>
      </c>
      <c r="Q270" t="s">
        <v>164</v>
      </c>
      <c r="S270" t="s">
        <v>233</v>
      </c>
      <c r="T270" t="s">
        <v>174</v>
      </c>
      <c r="U270">
        <v>6.043904627870484E-3</v>
      </c>
      <c r="V270" t="s">
        <v>164</v>
      </c>
    </row>
    <row r="271" spans="9:22" x14ac:dyDescent="0.45">
      <c r="I271" t="s">
        <v>180</v>
      </c>
      <c r="J271" t="s">
        <v>175</v>
      </c>
      <c r="K271">
        <v>1.6034311615780419E-2</v>
      </c>
      <c r="L271" t="s">
        <v>164</v>
      </c>
      <c r="N271" t="s">
        <v>213</v>
      </c>
      <c r="O271" t="s">
        <v>175</v>
      </c>
      <c r="P271">
        <v>6.3062590320424831E-3</v>
      </c>
      <c r="Q271" t="s">
        <v>164</v>
      </c>
      <c r="S271" t="s">
        <v>233</v>
      </c>
      <c r="T271" t="s">
        <v>175</v>
      </c>
      <c r="U271">
        <v>6.2490644213654169E-3</v>
      </c>
      <c r="V271" t="s">
        <v>164</v>
      </c>
    </row>
    <row r="272" spans="9:22" x14ac:dyDescent="0.45">
      <c r="I272" t="s">
        <v>180</v>
      </c>
      <c r="J272" t="s">
        <v>271</v>
      </c>
      <c r="K272">
        <v>0.10011114855272804</v>
      </c>
      <c r="L272" t="s">
        <v>164</v>
      </c>
      <c r="N272" t="s">
        <v>213</v>
      </c>
      <c r="O272" t="s">
        <v>271</v>
      </c>
      <c r="P272">
        <v>3.0248342829196889E-2</v>
      </c>
      <c r="Q272" t="s">
        <v>164</v>
      </c>
      <c r="S272" t="s">
        <v>233</v>
      </c>
      <c r="T272" t="s">
        <v>271</v>
      </c>
      <c r="U272">
        <v>4.8978478252584078E-2</v>
      </c>
      <c r="V272" t="s">
        <v>164</v>
      </c>
    </row>
    <row r="273" spans="9:22" x14ac:dyDescent="0.45">
      <c r="I273" t="s">
        <v>180</v>
      </c>
      <c r="J273" t="s">
        <v>272</v>
      </c>
      <c r="K273">
        <v>1.0191199086143304E-2</v>
      </c>
      <c r="L273" t="s">
        <v>164</v>
      </c>
      <c r="N273" t="s">
        <v>213</v>
      </c>
      <c r="O273" t="s">
        <v>272</v>
      </c>
      <c r="P273">
        <v>9.6587432520327688E-3</v>
      </c>
      <c r="Q273" t="s">
        <v>164</v>
      </c>
      <c r="S273" t="s">
        <v>233</v>
      </c>
      <c r="T273" t="s">
        <v>272</v>
      </c>
      <c r="U273">
        <v>9.7412123645166555E-3</v>
      </c>
      <c r="V273" t="s">
        <v>164</v>
      </c>
    </row>
    <row r="274" spans="9:22" x14ac:dyDescent="0.45">
      <c r="I274" t="s">
        <v>180</v>
      </c>
      <c r="J274" t="s">
        <v>273</v>
      </c>
      <c r="K274">
        <v>6.6528434810667857E-3</v>
      </c>
      <c r="L274" t="s">
        <v>164</v>
      </c>
      <c r="N274" t="s">
        <v>213</v>
      </c>
      <c r="O274" t="s">
        <v>273</v>
      </c>
      <c r="P274">
        <v>6.9020941224633897E-2</v>
      </c>
      <c r="Q274" t="s">
        <v>164</v>
      </c>
      <c r="S274" t="s">
        <v>233</v>
      </c>
      <c r="T274" t="s">
        <v>273</v>
      </c>
      <c r="U274">
        <v>6.360842502048937E-2</v>
      </c>
      <c r="V274" t="s">
        <v>164</v>
      </c>
    </row>
    <row r="275" spans="9:22" x14ac:dyDescent="0.45">
      <c r="I275" t="s">
        <v>180</v>
      </c>
      <c r="J275" t="s">
        <v>274</v>
      </c>
      <c r="K275">
        <v>1.2944650934657636E-2</v>
      </c>
      <c r="L275" t="s">
        <v>164</v>
      </c>
      <c r="N275" t="s">
        <v>213</v>
      </c>
      <c r="O275" t="s">
        <v>274</v>
      </c>
      <c r="P275">
        <v>2.1097552048954062E-2</v>
      </c>
      <c r="Q275" t="s">
        <v>164</v>
      </c>
      <c r="S275" t="s">
        <v>233</v>
      </c>
      <c r="T275" t="s">
        <v>274</v>
      </c>
      <c r="U275">
        <v>5.5169910844025866E-2</v>
      </c>
      <c r="V275" t="s">
        <v>164</v>
      </c>
    </row>
    <row r="276" spans="9:22" x14ac:dyDescent="0.45">
      <c r="I276" t="s">
        <v>180</v>
      </c>
      <c r="J276" t="s">
        <v>275</v>
      </c>
      <c r="K276">
        <v>1.0916947103247284E-2</v>
      </c>
      <c r="L276" t="s">
        <v>164</v>
      </c>
      <c r="N276" t="s">
        <v>213</v>
      </c>
      <c r="O276" t="s">
        <v>275</v>
      </c>
      <c r="P276">
        <v>4.0059154000669887E-3</v>
      </c>
      <c r="Q276" t="s">
        <v>164</v>
      </c>
      <c r="S276" t="s">
        <v>233</v>
      </c>
      <c r="T276" t="s">
        <v>275</v>
      </c>
      <c r="U276">
        <v>4.0886427902128699E-3</v>
      </c>
      <c r="V276" t="s">
        <v>164</v>
      </c>
    </row>
    <row r="277" spans="9:22" x14ac:dyDescent="0.45">
      <c r="I277" t="s">
        <v>180</v>
      </c>
      <c r="J277" t="s">
        <v>276</v>
      </c>
      <c r="K277">
        <v>1.3675352992810818E-2</v>
      </c>
      <c r="L277" t="s">
        <v>164</v>
      </c>
      <c r="N277" t="s">
        <v>213</v>
      </c>
      <c r="O277" t="s">
        <v>276</v>
      </c>
      <c r="P277">
        <v>4.0940839686039628E-3</v>
      </c>
      <c r="Q277" t="s">
        <v>164</v>
      </c>
      <c r="S277" t="s">
        <v>233</v>
      </c>
      <c r="T277" t="s">
        <v>276</v>
      </c>
      <c r="U277">
        <v>4.1281427924236272E-3</v>
      </c>
      <c r="V277" t="s">
        <v>164</v>
      </c>
    </row>
    <row r="278" spans="9:22" x14ac:dyDescent="0.45">
      <c r="I278" t="s">
        <v>180</v>
      </c>
      <c r="J278" t="s">
        <v>277</v>
      </c>
      <c r="K278">
        <v>9.4161974694330686E-2</v>
      </c>
      <c r="L278" t="s">
        <v>164</v>
      </c>
      <c r="N278" t="s">
        <v>213</v>
      </c>
      <c r="O278" t="s">
        <v>277</v>
      </c>
      <c r="P278">
        <v>2.0469460464611965E-2</v>
      </c>
      <c r="Q278" t="s">
        <v>164</v>
      </c>
      <c r="S278" t="s">
        <v>233</v>
      </c>
      <c r="T278" t="s">
        <v>277</v>
      </c>
      <c r="U278">
        <v>3.4860292758638972E-2</v>
      </c>
      <c r="V278" t="s">
        <v>164</v>
      </c>
    </row>
    <row r="279" spans="9:22" x14ac:dyDescent="0.45">
      <c r="I279" t="s">
        <v>180</v>
      </c>
      <c r="J279" t="s">
        <v>278</v>
      </c>
      <c r="K279">
        <v>9.5291245715153818E-3</v>
      </c>
      <c r="L279" t="s">
        <v>164</v>
      </c>
      <c r="N279" t="s">
        <v>213</v>
      </c>
      <c r="O279" t="s">
        <v>278</v>
      </c>
      <c r="P279">
        <v>5.3419090806028175E-3</v>
      </c>
      <c r="Q279" t="s">
        <v>164</v>
      </c>
      <c r="S279" t="s">
        <v>233</v>
      </c>
      <c r="T279" t="s">
        <v>278</v>
      </c>
      <c r="U279">
        <v>7.7382175810939017E-3</v>
      </c>
      <c r="V279" t="s">
        <v>164</v>
      </c>
    </row>
    <row r="280" spans="9:22" x14ac:dyDescent="0.45">
      <c r="I280" t="s">
        <v>180</v>
      </c>
      <c r="J280" t="s">
        <v>279</v>
      </c>
      <c r="K280">
        <v>6.4105230142809128E-3</v>
      </c>
      <c r="L280" t="s">
        <v>164</v>
      </c>
      <c r="N280" t="s">
        <v>213</v>
      </c>
      <c r="O280" t="s">
        <v>279</v>
      </c>
      <c r="P280">
        <v>3.7886480020090485E-2</v>
      </c>
      <c r="Q280" t="s">
        <v>164</v>
      </c>
      <c r="S280" t="s">
        <v>233</v>
      </c>
      <c r="T280" t="s">
        <v>279</v>
      </c>
      <c r="U280">
        <v>5.0160139887392749E-2</v>
      </c>
      <c r="V280" t="s">
        <v>164</v>
      </c>
    </row>
    <row r="281" spans="9:22" x14ac:dyDescent="0.45">
      <c r="I281" t="s">
        <v>180</v>
      </c>
      <c r="J281" t="s">
        <v>280</v>
      </c>
      <c r="K281">
        <v>1.7175533300485799E-2</v>
      </c>
      <c r="L281" t="s">
        <v>164</v>
      </c>
      <c r="N281" t="s">
        <v>213</v>
      </c>
      <c r="O281" t="s">
        <v>280</v>
      </c>
      <c r="P281">
        <v>1.5411455150839965E-2</v>
      </c>
      <c r="Q281" t="s">
        <v>164</v>
      </c>
      <c r="S281" t="s">
        <v>233</v>
      </c>
      <c r="T281" t="s">
        <v>280</v>
      </c>
      <c r="U281">
        <v>3.1476316100664904E-2</v>
      </c>
      <c r="V281" t="s">
        <v>164</v>
      </c>
    </row>
    <row r="282" spans="9:22" x14ac:dyDescent="0.45">
      <c r="I282" t="s">
        <v>180</v>
      </c>
      <c r="J282" t="s">
        <v>281</v>
      </c>
      <c r="K282">
        <v>1.4449468572145963E-2</v>
      </c>
      <c r="L282" t="s">
        <v>164</v>
      </c>
      <c r="N282" t="s">
        <v>213</v>
      </c>
      <c r="O282" t="s">
        <v>281</v>
      </c>
      <c r="P282">
        <v>2.8464555412769715E-3</v>
      </c>
      <c r="Q282" t="s">
        <v>164</v>
      </c>
      <c r="S282" t="s">
        <v>233</v>
      </c>
      <c r="T282" t="s">
        <v>281</v>
      </c>
      <c r="U282">
        <v>2.5608767029868824E-3</v>
      </c>
      <c r="V282" t="s">
        <v>164</v>
      </c>
    </row>
    <row r="283" spans="9:22" x14ac:dyDescent="0.45">
      <c r="I283" t="s">
        <v>180</v>
      </c>
      <c r="J283" t="s">
        <v>282</v>
      </c>
      <c r="K283">
        <v>1.7302841242863187E-2</v>
      </c>
      <c r="L283" t="s">
        <v>164</v>
      </c>
      <c r="N283" t="s">
        <v>213</v>
      </c>
      <c r="O283" t="s">
        <v>282</v>
      </c>
      <c r="P283">
        <v>3.4236871102866725E-3</v>
      </c>
      <c r="Q283" t="s">
        <v>164</v>
      </c>
      <c r="S283" t="s">
        <v>233</v>
      </c>
      <c r="T283" t="s">
        <v>282</v>
      </c>
      <c r="U283">
        <v>2.4092650425000632E-3</v>
      </c>
      <c r="V283" t="s">
        <v>164</v>
      </c>
    </row>
    <row r="284" spans="9:22" x14ac:dyDescent="0.45">
      <c r="I284" t="s">
        <v>180</v>
      </c>
      <c r="J284" t="s">
        <v>283</v>
      </c>
      <c r="K284">
        <v>0.10876208143115192</v>
      </c>
      <c r="L284" t="s">
        <v>164</v>
      </c>
      <c r="N284" t="s">
        <v>213</v>
      </c>
      <c r="O284" t="s">
        <v>283</v>
      </c>
      <c r="P284">
        <v>1.5973849352639225E-2</v>
      </c>
      <c r="Q284" t="s">
        <v>164</v>
      </c>
      <c r="S284" t="s">
        <v>233</v>
      </c>
      <c r="T284" t="s">
        <v>283</v>
      </c>
      <c r="U284">
        <v>1.6311377512378131E-2</v>
      </c>
      <c r="V284" t="s">
        <v>164</v>
      </c>
    </row>
    <row r="285" spans="9:22" x14ac:dyDescent="0.45">
      <c r="I285" t="s">
        <v>180</v>
      </c>
      <c r="J285" t="s">
        <v>284</v>
      </c>
      <c r="K285">
        <v>1.0697691023886572E-2</v>
      </c>
      <c r="L285" t="s">
        <v>164</v>
      </c>
      <c r="N285" t="s">
        <v>213</v>
      </c>
      <c r="O285" t="s">
        <v>284</v>
      </c>
      <c r="P285">
        <v>2.9292062959198461E-3</v>
      </c>
      <c r="Q285" t="s">
        <v>164</v>
      </c>
      <c r="S285" t="s">
        <v>233</v>
      </c>
      <c r="T285" t="s">
        <v>284</v>
      </c>
      <c r="U285">
        <v>3.7347374029108606E-3</v>
      </c>
      <c r="V285" t="s">
        <v>164</v>
      </c>
    </row>
    <row r="286" spans="9:22" x14ac:dyDescent="0.45">
      <c r="I286" t="s">
        <v>180</v>
      </c>
      <c r="J286" t="s">
        <v>285</v>
      </c>
      <c r="K286">
        <v>6.6321685587745908E-3</v>
      </c>
      <c r="L286" t="s">
        <v>164</v>
      </c>
      <c r="N286" t="s">
        <v>213</v>
      </c>
      <c r="O286" t="s">
        <v>285</v>
      </c>
      <c r="P286">
        <v>2.0873640705662003E-2</v>
      </c>
      <c r="Q286" t="s">
        <v>164</v>
      </c>
      <c r="S286" t="s">
        <v>233</v>
      </c>
      <c r="T286" t="s">
        <v>285</v>
      </c>
      <c r="U286">
        <v>2.7897597821042258E-2</v>
      </c>
      <c r="V286" t="s">
        <v>164</v>
      </c>
    </row>
    <row r="287" spans="9:22" x14ac:dyDescent="0.45">
      <c r="I287" t="s">
        <v>180</v>
      </c>
      <c r="J287" t="s">
        <v>286</v>
      </c>
      <c r="K287">
        <v>1.6677814680059536E-2</v>
      </c>
      <c r="L287" t="s">
        <v>164</v>
      </c>
      <c r="N287" t="s">
        <v>213</v>
      </c>
      <c r="O287" t="s">
        <v>286</v>
      </c>
      <c r="P287">
        <v>2.5750817489370876E-2</v>
      </c>
      <c r="Q287" t="s">
        <v>164</v>
      </c>
      <c r="S287" t="s">
        <v>233</v>
      </c>
      <c r="T287" t="s">
        <v>286</v>
      </c>
      <c r="U287">
        <v>4.7912908848144795E-2</v>
      </c>
      <c r="V287" t="s">
        <v>164</v>
      </c>
    </row>
    <row r="288" spans="9:22" x14ac:dyDescent="0.45">
      <c r="I288" t="s">
        <v>180</v>
      </c>
      <c r="J288" t="s">
        <v>287</v>
      </c>
      <c r="K288">
        <v>1.4450340412873989E-2</v>
      </c>
      <c r="L288" t="s">
        <v>164</v>
      </c>
      <c r="N288" t="s">
        <v>213</v>
      </c>
      <c r="O288" t="s">
        <v>287</v>
      </c>
      <c r="P288">
        <v>3.8563792610765992E-3</v>
      </c>
      <c r="Q288" t="s">
        <v>164</v>
      </c>
      <c r="S288" t="s">
        <v>233</v>
      </c>
      <c r="T288" t="s">
        <v>287</v>
      </c>
      <c r="U288">
        <v>4.2219317724137223E-3</v>
      </c>
      <c r="V288" t="s">
        <v>164</v>
      </c>
    </row>
    <row r="289" spans="9:22" x14ac:dyDescent="0.45">
      <c r="I289" t="s">
        <v>180</v>
      </c>
      <c r="J289" t="s">
        <v>288</v>
      </c>
      <c r="K289">
        <v>1.7034163993086906E-2</v>
      </c>
      <c r="L289" t="s">
        <v>164</v>
      </c>
      <c r="N289" t="s">
        <v>213</v>
      </c>
      <c r="O289" t="s">
        <v>288</v>
      </c>
      <c r="P289">
        <v>4.0092879084688542E-3</v>
      </c>
      <c r="Q289" t="s">
        <v>164</v>
      </c>
      <c r="S289" t="s">
        <v>233</v>
      </c>
      <c r="T289" t="s">
        <v>288</v>
      </c>
      <c r="U289">
        <v>4.1227819356201749E-3</v>
      </c>
      <c r="V289" t="s">
        <v>164</v>
      </c>
    </row>
    <row r="290" spans="9:22" x14ac:dyDescent="0.45">
      <c r="I290" t="s">
        <v>180</v>
      </c>
      <c r="J290" t="s">
        <v>289</v>
      </c>
      <c r="K290">
        <v>0.10028492838947289</v>
      </c>
      <c r="L290" t="s">
        <v>164</v>
      </c>
      <c r="N290" t="s">
        <v>213</v>
      </c>
      <c r="O290" t="s">
        <v>289</v>
      </c>
      <c r="P290">
        <v>2.3067439218421658E-2</v>
      </c>
      <c r="Q290" t="s">
        <v>164</v>
      </c>
      <c r="S290" t="s">
        <v>233</v>
      </c>
      <c r="T290" t="s">
        <v>289</v>
      </c>
      <c r="U290">
        <v>2.9457944286496181E-2</v>
      </c>
      <c r="V290" t="s">
        <v>164</v>
      </c>
    </row>
    <row r="291" spans="9:22" x14ac:dyDescent="0.45">
      <c r="I291" t="s">
        <v>180</v>
      </c>
      <c r="J291" t="s">
        <v>290</v>
      </c>
      <c r="K291">
        <v>9.0259999101705082E-3</v>
      </c>
      <c r="L291" t="s">
        <v>164</v>
      </c>
      <c r="N291" t="s">
        <v>213</v>
      </c>
      <c r="O291" t="s">
        <v>290</v>
      </c>
      <c r="P291">
        <v>7.7796277216828132E-3</v>
      </c>
      <c r="Q291" t="s">
        <v>164</v>
      </c>
      <c r="S291" t="s">
        <v>233</v>
      </c>
      <c r="T291" t="s">
        <v>290</v>
      </c>
      <c r="U291">
        <v>6.5236706187133111E-3</v>
      </c>
      <c r="V291" t="s">
        <v>164</v>
      </c>
    </row>
    <row r="292" spans="9:22" x14ac:dyDescent="0.45">
      <c r="I292" t="s">
        <v>180</v>
      </c>
      <c r="J292" t="s">
        <v>291</v>
      </c>
      <c r="K292">
        <v>6.206872080341313E-3</v>
      </c>
      <c r="L292" t="s">
        <v>164</v>
      </c>
      <c r="N292" t="s">
        <v>213</v>
      </c>
      <c r="O292" t="s">
        <v>291</v>
      </c>
      <c r="P292">
        <v>4.9844924687982149E-2</v>
      </c>
      <c r="Q292" t="s">
        <v>164</v>
      </c>
      <c r="S292" t="s">
        <v>233</v>
      </c>
      <c r="T292" t="s">
        <v>291</v>
      </c>
      <c r="U292">
        <v>4.4748555744201425E-2</v>
      </c>
      <c r="V292" t="s">
        <v>164</v>
      </c>
    </row>
    <row r="293" spans="9:22" x14ac:dyDescent="0.45">
      <c r="I293" t="s">
        <v>180</v>
      </c>
      <c r="J293" t="s">
        <v>292</v>
      </c>
      <c r="K293">
        <v>7.5343853507311136E-3</v>
      </c>
      <c r="L293" t="s">
        <v>164</v>
      </c>
      <c r="N293" t="s">
        <v>213</v>
      </c>
      <c r="O293" t="s">
        <v>292</v>
      </c>
      <c r="P293">
        <v>2.3401905103643206E-2</v>
      </c>
      <c r="Q293" t="s">
        <v>164</v>
      </c>
      <c r="S293" t="s">
        <v>233</v>
      </c>
      <c r="T293" t="s">
        <v>292</v>
      </c>
      <c r="U293">
        <v>3.1151345739598935E-2</v>
      </c>
      <c r="V293" t="s">
        <v>164</v>
      </c>
    </row>
    <row r="294" spans="9:22" x14ac:dyDescent="0.45">
      <c r="I294" t="s">
        <v>180</v>
      </c>
      <c r="J294" t="s">
        <v>293</v>
      </c>
      <c r="K294">
        <v>6.6970317050873782E-3</v>
      </c>
      <c r="L294" t="s">
        <v>164</v>
      </c>
      <c r="N294" t="s">
        <v>213</v>
      </c>
      <c r="O294" t="s">
        <v>293</v>
      </c>
      <c r="P294">
        <v>3.0544990842890432E-3</v>
      </c>
      <c r="Q294" t="s">
        <v>164</v>
      </c>
      <c r="S294" t="s">
        <v>233</v>
      </c>
      <c r="T294" t="s">
        <v>293</v>
      </c>
      <c r="U294">
        <v>2.9664419447233662E-3</v>
      </c>
      <c r="V294" t="s">
        <v>164</v>
      </c>
    </row>
    <row r="295" spans="9:22" x14ac:dyDescent="0.45">
      <c r="I295" t="s">
        <v>180</v>
      </c>
      <c r="J295" t="s">
        <v>294</v>
      </c>
      <c r="K295">
        <v>7.9522334368160898E-3</v>
      </c>
      <c r="L295" t="s">
        <v>164</v>
      </c>
      <c r="N295" t="s">
        <v>213</v>
      </c>
      <c r="O295" t="s">
        <v>294</v>
      </c>
      <c r="P295">
        <v>4.0385635266535101E-3</v>
      </c>
      <c r="Q295" t="s">
        <v>164</v>
      </c>
      <c r="S295" t="s">
        <v>233</v>
      </c>
      <c r="T295" t="s">
        <v>294</v>
      </c>
      <c r="U295">
        <v>2.943971886336974E-3</v>
      </c>
      <c r="V295" t="s">
        <v>164</v>
      </c>
    </row>
    <row r="296" spans="9:22" x14ac:dyDescent="0.45">
      <c r="I296" t="s">
        <v>180</v>
      </c>
      <c r="J296" t="s">
        <v>295</v>
      </c>
      <c r="K296">
        <v>4.6643953086951316E-2</v>
      </c>
      <c r="L296" t="s">
        <v>164</v>
      </c>
      <c r="N296" t="s">
        <v>213</v>
      </c>
      <c r="O296" t="s">
        <v>295</v>
      </c>
      <c r="P296">
        <v>2.8309938271886697E-2</v>
      </c>
      <c r="Q296" t="s">
        <v>164</v>
      </c>
      <c r="S296" t="s">
        <v>233</v>
      </c>
      <c r="T296" t="s">
        <v>295</v>
      </c>
      <c r="U296">
        <v>2.056398016714794E-2</v>
      </c>
      <c r="V296" t="s">
        <v>164</v>
      </c>
    </row>
    <row r="297" spans="9:22" x14ac:dyDescent="0.45">
      <c r="I297" t="s">
        <v>180</v>
      </c>
      <c r="J297" t="s">
        <v>296</v>
      </c>
      <c r="K297">
        <v>4.576806426012707E-3</v>
      </c>
      <c r="L297" t="s">
        <v>164</v>
      </c>
      <c r="N297" t="s">
        <v>213</v>
      </c>
      <c r="O297" t="s">
        <v>296</v>
      </c>
      <c r="P297">
        <v>8.0012831757786326E-3</v>
      </c>
      <c r="Q297" t="s">
        <v>164</v>
      </c>
      <c r="S297" t="s">
        <v>233</v>
      </c>
      <c r="T297" t="s">
        <v>296</v>
      </c>
      <c r="U297">
        <v>3.857357114403279E-3</v>
      </c>
      <c r="V297" t="s">
        <v>164</v>
      </c>
    </row>
    <row r="298" spans="9:22" x14ac:dyDescent="0.45">
      <c r="I298" t="s">
        <v>180</v>
      </c>
      <c r="J298" t="s">
        <v>297</v>
      </c>
      <c r="K298">
        <v>2.9601858177633424E-3</v>
      </c>
      <c r="L298" t="s">
        <v>164</v>
      </c>
      <c r="N298" t="s">
        <v>213</v>
      </c>
      <c r="O298" t="s">
        <v>297</v>
      </c>
      <c r="P298">
        <v>4.1147923298691956E-2</v>
      </c>
      <c r="Q298" t="s">
        <v>164</v>
      </c>
      <c r="S298" t="s">
        <v>233</v>
      </c>
      <c r="T298" t="s">
        <v>297</v>
      </c>
      <c r="U298">
        <v>2.531908254537794E-2</v>
      </c>
      <c r="V298" t="s">
        <v>164</v>
      </c>
    </row>
    <row r="299" spans="9:22" x14ac:dyDescent="0.45">
      <c r="I299" t="s">
        <v>181</v>
      </c>
      <c r="J299" t="s">
        <v>163</v>
      </c>
      <c r="K299">
        <v>4.4461741364436305E-3</v>
      </c>
      <c r="L299" t="s">
        <v>164</v>
      </c>
      <c r="N299" t="s">
        <v>214</v>
      </c>
      <c r="O299" t="s">
        <v>163</v>
      </c>
      <c r="P299">
        <v>5.6434177624959343E-2</v>
      </c>
      <c r="Q299" t="s">
        <v>164</v>
      </c>
      <c r="S299" t="s">
        <v>234</v>
      </c>
      <c r="T299" t="s">
        <v>163</v>
      </c>
      <c r="U299">
        <v>3.9340317092186938E-2</v>
      </c>
      <c r="V299" t="s">
        <v>164</v>
      </c>
    </row>
    <row r="300" spans="9:22" x14ac:dyDescent="0.45">
      <c r="I300" t="s">
        <v>181</v>
      </c>
      <c r="J300" t="s">
        <v>165</v>
      </c>
      <c r="K300">
        <v>7.2456472641299601E-3</v>
      </c>
      <c r="L300" t="s">
        <v>164</v>
      </c>
      <c r="N300" t="s">
        <v>214</v>
      </c>
      <c r="O300" t="s">
        <v>165</v>
      </c>
      <c r="P300">
        <v>6.8236229046229691E-3</v>
      </c>
      <c r="Q300" t="s">
        <v>164</v>
      </c>
      <c r="S300" t="s">
        <v>234</v>
      </c>
      <c r="T300" t="s">
        <v>165</v>
      </c>
      <c r="U300">
        <v>3.8113940394337749E-3</v>
      </c>
      <c r="V300" t="s">
        <v>164</v>
      </c>
    </row>
    <row r="301" spans="9:22" x14ac:dyDescent="0.45">
      <c r="I301" t="s">
        <v>181</v>
      </c>
      <c r="J301" t="s">
        <v>166</v>
      </c>
      <c r="K301">
        <v>8.6999779757431749E-3</v>
      </c>
      <c r="L301" t="s">
        <v>164</v>
      </c>
      <c r="N301" t="s">
        <v>214</v>
      </c>
      <c r="O301" t="s">
        <v>166</v>
      </c>
      <c r="P301">
        <v>6.8592934250100461E-3</v>
      </c>
      <c r="Q301" t="s">
        <v>164</v>
      </c>
      <c r="S301" t="s">
        <v>234</v>
      </c>
      <c r="T301" t="s">
        <v>166</v>
      </c>
      <c r="U301">
        <v>3.573964451027051E-3</v>
      </c>
      <c r="V301" t="s">
        <v>164</v>
      </c>
    </row>
    <row r="302" spans="9:22" x14ac:dyDescent="0.45">
      <c r="I302" t="s">
        <v>181</v>
      </c>
      <c r="J302" t="s">
        <v>262</v>
      </c>
      <c r="K302">
        <v>5.4431457704867237E-2</v>
      </c>
      <c r="L302" t="s">
        <v>164</v>
      </c>
      <c r="N302" t="s">
        <v>214</v>
      </c>
      <c r="O302" t="s">
        <v>262</v>
      </c>
      <c r="P302">
        <v>3.0770309551037718E-2</v>
      </c>
      <c r="Q302" t="s">
        <v>164</v>
      </c>
      <c r="S302" t="s">
        <v>234</v>
      </c>
      <c r="T302" t="s">
        <v>262</v>
      </c>
      <c r="U302">
        <v>1.9700872424346573E-2</v>
      </c>
      <c r="V302" t="s">
        <v>164</v>
      </c>
    </row>
    <row r="303" spans="9:22" x14ac:dyDescent="0.45">
      <c r="I303" t="s">
        <v>181</v>
      </c>
      <c r="J303" t="s">
        <v>263</v>
      </c>
      <c r="K303">
        <v>6.7682859616670886E-3</v>
      </c>
      <c r="L303" t="s">
        <v>164</v>
      </c>
      <c r="N303" t="s">
        <v>214</v>
      </c>
      <c r="O303" t="s">
        <v>263</v>
      </c>
      <c r="P303">
        <v>6.7235259097455907E-3</v>
      </c>
      <c r="Q303" t="s">
        <v>164</v>
      </c>
      <c r="S303" t="s">
        <v>234</v>
      </c>
      <c r="T303" t="s">
        <v>263</v>
      </c>
      <c r="U303">
        <v>3.78000376419649E-3</v>
      </c>
      <c r="V303" t="s">
        <v>164</v>
      </c>
    </row>
    <row r="304" spans="9:22" x14ac:dyDescent="0.45">
      <c r="I304" t="s">
        <v>181</v>
      </c>
      <c r="J304" t="s">
        <v>264</v>
      </c>
      <c r="K304">
        <v>4.3459377770290212E-3</v>
      </c>
      <c r="L304" t="s">
        <v>164</v>
      </c>
      <c r="N304" t="s">
        <v>214</v>
      </c>
      <c r="O304" t="s">
        <v>264</v>
      </c>
      <c r="P304">
        <v>6.3310029322874314E-2</v>
      </c>
      <c r="Q304" t="s">
        <v>164</v>
      </c>
      <c r="S304" t="s">
        <v>234</v>
      </c>
      <c r="T304" t="s">
        <v>264</v>
      </c>
      <c r="U304">
        <v>2.8325900397205617E-2</v>
      </c>
      <c r="V304" t="s">
        <v>164</v>
      </c>
    </row>
    <row r="305" spans="9:22" x14ac:dyDescent="0.45">
      <c r="I305" t="s">
        <v>181</v>
      </c>
      <c r="J305" t="s">
        <v>167</v>
      </c>
      <c r="K305">
        <v>4.4964713530045892E-3</v>
      </c>
      <c r="L305" t="s">
        <v>164</v>
      </c>
      <c r="N305" t="s">
        <v>214</v>
      </c>
      <c r="O305" t="s">
        <v>167</v>
      </c>
      <c r="P305">
        <v>6.3083561043921405E-2</v>
      </c>
      <c r="Q305" t="s">
        <v>164</v>
      </c>
      <c r="S305" t="s">
        <v>234</v>
      </c>
      <c r="T305" t="s">
        <v>167</v>
      </c>
      <c r="U305">
        <v>4.1983722452077224E-2</v>
      </c>
      <c r="V305" t="s">
        <v>164</v>
      </c>
    </row>
    <row r="306" spans="9:22" x14ac:dyDescent="0.45">
      <c r="I306" t="s">
        <v>181</v>
      </c>
      <c r="J306" t="s">
        <v>168</v>
      </c>
      <c r="K306">
        <v>6.9403463053261021E-3</v>
      </c>
      <c r="L306" t="s">
        <v>164</v>
      </c>
      <c r="N306" t="s">
        <v>214</v>
      </c>
      <c r="O306" t="s">
        <v>168</v>
      </c>
      <c r="P306">
        <v>7.4892215115551176E-3</v>
      </c>
      <c r="Q306" t="s">
        <v>164</v>
      </c>
      <c r="S306" t="s">
        <v>234</v>
      </c>
      <c r="T306" t="s">
        <v>168</v>
      </c>
      <c r="U306">
        <v>4.0009808904992693E-3</v>
      </c>
      <c r="V306" t="s">
        <v>164</v>
      </c>
    </row>
    <row r="307" spans="9:22" x14ac:dyDescent="0.45">
      <c r="I307" t="s">
        <v>181</v>
      </c>
      <c r="J307" t="s">
        <v>169</v>
      </c>
      <c r="K307">
        <v>8.329671885263068E-3</v>
      </c>
      <c r="L307" t="s">
        <v>164</v>
      </c>
      <c r="N307" t="s">
        <v>214</v>
      </c>
      <c r="O307" t="s">
        <v>169</v>
      </c>
      <c r="P307">
        <v>6.7095989125358383E-3</v>
      </c>
      <c r="Q307" t="s">
        <v>164</v>
      </c>
      <c r="S307" t="s">
        <v>234</v>
      </c>
      <c r="T307" t="s">
        <v>169</v>
      </c>
      <c r="U307">
        <v>3.7919499051021779E-3</v>
      </c>
      <c r="V307" t="s">
        <v>164</v>
      </c>
    </row>
    <row r="308" spans="9:22" x14ac:dyDescent="0.45">
      <c r="I308" t="s">
        <v>181</v>
      </c>
      <c r="J308" t="s">
        <v>265</v>
      </c>
      <c r="K308">
        <v>5.2223866373691127E-2</v>
      </c>
      <c r="L308" t="s">
        <v>164</v>
      </c>
      <c r="N308" t="s">
        <v>214</v>
      </c>
      <c r="O308" t="s">
        <v>265</v>
      </c>
      <c r="P308">
        <v>2.7557809891539584E-2</v>
      </c>
      <c r="Q308" t="s">
        <v>164</v>
      </c>
      <c r="S308" t="s">
        <v>234</v>
      </c>
      <c r="T308" t="s">
        <v>265</v>
      </c>
      <c r="U308">
        <v>2.0322088682514266E-2</v>
      </c>
      <c r="V308" t="s">
        <v>164</v>
      </c>
    </row>
    <row r="309" spans="9:22" x14ac:dyDescent="0.45">
      <c r="I309" t="s">
        <v>181</v>
      </c>
      <c r="J309" t="s">
        <v>266</v>
      </c>
      <c r="K309">
        <v>6.5034302578269153E-3</v>
      </c>
      <c r="L309" t="s">
        <v>164</v>
      </c>
      <c r="N309" t="s">
        <v>214</v>
      </c>
      <c r="O309" t="s">
        <v>266</v>
      </c>
      <c r="P309">
        <v>5.7241316667396838E-3</v>
      </c>
      <c r="Q309" t="s">
        <v>164</v>
      </c>
      <c r="S309" t="s">
        <v>234</v>
      </c>
      <c r="T309" t="s">
        <v>266</v>
      </c>
      <c r="U309">
        <v>3.7667866349668576E-3</v>
      </c>
      <c r="V309" t="s">
        <v>164</v>
      </c>
    </row>
    <row r="310" spans="9:22" x14ac:dyDescent="0.45">
      <c r="I310" t="s">
        <v>181</v>
      </c>
      <c r="J310" t="s">
        <v>267</v>
      </c>
      <c r="K310">
        <v>4.5483015290019354E-3</v>
      </c>
      <c r="L310" t="s">
        <v>164</v>
      </c>
      <c r="N310" t="s">
        <v>214</v>
      </c>
      <c r="O310" t="s">
        <v>267</v>
      </c>
      <c r="P310">
        <v>6.3623340668150605E-2</v>
      </c>
      <c r="Q310" t="s">
        <v>164</v>
      </c>
      <c r="S310" t="s">
        <v>234</v>
      </c>
      <c r="T310" t="s">
        <v>267</v>
      </c>
      <c r="U310">
        <v>2.8278689304916334E-2</v>
      </c>
      <c r="V310" t="s">
        <v>164</v>
      </c>
    </row>
    <row r="311" spans="9:22" x14ac:dyDescent="0.45">
      <c r="I311" t="s">
        <v>181</v>
      </c>
      <c r="J311" t="s">
        <v>170</v>
      </c>
      <c r="K311">
        <v>7.5213830954852026E-3</v>
      </c>
      <c r="L311" t="s">
        <v>164</v>
      </c>
      <c r="N311" t="s">
        <v>214</v>
      </c>
      <c r="O311" t="s">
        <v>170</v>
      </c>
      <c r="P311">
        <v>5.3189113087477986E-2</v>
      </c>
      <c r="Q311" t="s">
        <v>164</v>
      </c>
      <c r="S311" t="s">
        <v>234</v>
      </c>
      <c r="T311" t="s">
        <v>170</v>
      </c>
      <c r="U311">
        <v>5.2189475444939896E-2</v>
      </c>
      <c r="V311" t="s">
        <v>164</v>
      </c>
    </row>
    <row r="312" spans="9:22" x14ac:dyDescent="0.45">
      <c r="I312" t="s">
        <v>181</v>
      </c>
      <c r="J312" t="s">
        <v>171</v>
      </c>
      <c r="K312">
        <v>7.6619217976733175E-3</v>
      </c>
      <c r="L312" t="s">
        <v>164</v>
      </c>
      <c r="N312" t="s">
        <v>214</v>
      </c>
      <c r="O312" t="s">
        <v>171</v>
      </c>
      <c r="P312">
        <v>6.000098216779692E-3</v>
      </c>
      <c r="Q312" t="s">
        <v>164</v>
      </c>
      <c r="S312" t="s">
        <v>234</v>
      </c>
      <c r="T312" t="s">
        <v>171</v>
      </c>
      <c r="U312">
        <v>4.5682675488245544E-3</v>
      </c>
      <c r="V312" t="s">
        <v>164</v>
      </c>
    </row>
    <row r="313" spans="9:22" x14ac:dyDescent="0.45">
      <c r="I313" t="s">
        <v>181</v>
      </c>
      <c r="J313" t="s">
        <v>172</v>
      </c>
      <c r="K313">
        <v>9.0911658218207972E-3</v>
      </c>
      <c r="L313" t="s">
        <v>164</v>
      </c>
      <c r="N313" t="s">
        <v>214</v>
      </c>
      <c r="O313" t="s">
        <v>172</v>
      </c>
      <c r="P313">
        <v>5.0694324525596152E-3</v>
      </c>
      <c r="Q313" t="s">
        <v>164</v>
      </c>
      <c r="S313" t="s">
        <v>234</v>
      </c>
      <c r="T313" t="s">
        <v>172</v>
      </c>
      <c r="U313">
        <v>4.2654776646336478E-3</v>
      </c>
      <c r="V313" t="s">
        <v>164</v>
      </c>
    </row>
    <row r="314" spans="9:22" x14ac:dyDescent="0.45">
      <c r="I314" t="s">
        <v>181</v>
      </c>
      <c r="J314" t="s">
        <v>268</v>
      </c>
      <c r="K314">
        <v>6.0253482687998024E-2</v>
      </c>
      <c r="L314" t="s">
        <v>164</v>
      </c>
      <c r="N314" t="s">
        <v>214</v>
      </c>
      <c r="O314" t="s">
        <v>268</v>
      </c>
      <c r="P314">
        <v>2.1643814278810181E-2</v>
      </c>
      <c r="Q314" t="s">
        <v>164</v>
      </c>
      <c r="S314" t="s">
        <v>234</v>
      </c>
      <c r="T314" t="s">
        <v>268</v>
      </c>
      <c r="U314">
        <v>2.5591181210560546E-2</v>
      </c>
      <c r="V314" t="s">
        <v>164</v>
      </c>
    </row>
    <row r="315" spans="9:22" x14ac:dyDescent="0.45">
      <c r="I315" t="s">
        <v>181</v>
      </c>
      <c r="J315" t="s">
        <v>269</v>
      </c>
      <c r="K315">
        <v>7.1174160640608171E-3</v>
      </c>
      <c r="L315" t="s">
        <v>164</v>
      </c>
      <c r="N315" t="s">
        <v>214</v>
      </c>
      <c r="O315" t="s">
        <v>269</v>
      </c>
      <c r="P315">
        <v>4.9043171067375841E-3</v>
      </c>
      <c r="Q315" t="s">
        <v>164</v>
      </c>
      <c r="S315" t="s">
        <v>234</v>
      </c>
      <c r="T315" t="s">
        <v>269</v>
      </c>
      <c r="U315">
        <v>5.3125136139252826E-3</v>
      </c>
      <c r="V315" t="s">
        <v>164</v>
      </c>
    </row>
    <row r="316" spans="9:22" x14ac:dyDescent="0.45">
      <c r="I316" t="s">
        <v>181</v>
      </c>
      <c r="J316" t="s">
        <v>270</v>
      </c>
      <c r="K316">
        <v>4.8192666362155403E-3</v>
      </c>
      <c r="L316" t="s">
        <v>164</v>
      </c>
      <c r="N316" t="s">
        <v>214</v>
      </c>
      <c r="O316" t="s">
        <v>270</v>
      </c>
      <c r="P316">
        <v>5.2540584783694264E-2</v>
      </c>
      <c r="Q316" t="s">
        <v>164</v>
      </c>
      <c r="S316" t="s">
        <v>234</v>
      </c>
      <c r="T316" t="s">
        <v>270</v>
      </c>
      <c r="U316">
        <v>3.8454077870473585E-2</v>
      </c>
      <c r="V316" t="s">
        <v>164</v>
      </c>
    </row>
    <row r="317" spans="9:22" x14ac:dyDescent="0.45">
      <c r="I317" t="s">
        <v>181</v>
      </c>
      <c r="J317" t="s">
        <v>173</v>
      </c>
      <c r="K317">
        <v>1.4463407671900599E-2</v>
      </c>
      <c r="L317" t="s">
        <v>164</v>
      </c>
      <c r="N317" t="s">
        <v>214</v>
      </c>
      <c r="O317" t="s">
        <v>173</v>
      </c>
      <c r="P317">
        <v>5.4690139374573524E-2</v>
      </c>
      <c r="Q317" t="s">
        <v>164</v>
      </c>
      <c r="S317" t="s">
        <v>234</v>
      </c>
      <c r="T317" t="s">
        <v>173</v>
      </c>
      <c r="U317">
        <v>7.7068824733171906E-2</v>
      </c>
      <c r="V317" t="s">
        <v>164</v>
      </c>
    </row>
    <row r="318" spans="9:22" x14ac:dyDescent="0.45">
      <c r="I318" t="s">
        <v>181</v>
      </c>
      <c r="J318" t="s">
        <v>174</v>
      </c>
      <c r="K318">
        <v>1.318437546788275E-2</v>
      </c>
      <c r="L318" t="s">
        <v>164</v>
      </c>
      <c r="N318" t="s">
        <v>214</v>
      </c>
      <c r="O318" t="s">
        <v>174</v>
      </c>
      <c r="P318">
        <v>7.0521298335068441E-3</v>
      </c>
      <c r="Q318" t="s">
        <v>164</v>
      </c>
      <c r="S318" t="s">
        <v>234</v>
      </c>
      <c r="T318" t="s">
        <v>174</v>
      </c>
      <c r="U318">
        <v>5.8345108784359787E-3</v>
      </c>
      <c r="V318" t="s">
        <v>164</v>
      </c>
    </row>
    <row r="319" spans="9:22" x14ac:dyDescent="0.45">
      <c r="I319" t="s">
        <v>181</v>
      </c>
      <c r="J319" t="s">
        <v>175</v>
      </c>
      <c r="K319">
        <v>1.5968071564946913E-2</v>
      </c>
      <c r="L319" t="s">
        <v>164</v>
      </c>
      <c r="N319" t="s">
        <v>214</v>
      </c>
      <c r="O319" t="s">
        <v>175</v>
      </c>
      <c r="P319">
        <v>6.5209944645198276E-3</v>
      </c>
      <c r="Q319" t="s">
        <v>164</v>
      </c>
      <c r="S319" t="s">
        <v>234</v>
      </c>
      <c r="T319" t="s">
        <v>175</v>
      </c>
      <c r="U319">
        <v>5.4922430059384285E-3</v>
      </c>
      <c r="V319" t="s">
        <v>164</v>
      </c>
    </row>
    <row r="320" spans="9:22" x14ac:dyDescent="0.45">
      <c r="I320" t="s">
        <v>181</v>
      </c>
      <c r="J320" t="s">
        <v>271</v>
      </c>
      <c r="K320">
        <v>0.10331419362874135</v>
      </c>
      <c r="L320" t="s">
        <v>164</v>
      </c>
      <c r="N320" t="s">
        <v>214</v>
      </c>
      <c r="O320" t="s">
        <v>271</v>
      </c>
      <c r="P320">
        <v>2.331739415389654E-2</v>
      </c>
      <c r="Q320" t="s">
        <v>164</v>
      </c>
      <c r="S320" t="s">
        <v>234</v>
      </c>
      <c r="T320" t="s">
        <v>271</v>
      </c>
      <c r="U320">
        <v>3.5771248792728375E-2</v>
      </c>
      <c r="V320" t="s">
        <v>164</v>
      </c>
    </row>
    <row r="321" spans="9:22" x14ac:dyDescent="0.45">
      <c r="I321" t="s">
        <v>181</v>
      </c>
      <c r="J321" t="s">
        <v>272</v>
      </c>
      <c r="K321">
        <v>1.0604891102402682E-2</v>
      </c>
      <c r="L321" t="s">
        <v>164</v>
      </c>
      <c r="N321" t="s">
        <v>214</v>
      </c>
      <c r="O321" t="s">
        <v>272</v>
      </c>
      <c r="P321">
        <v>3.8168705798475081E-3</v>
      </c>
      <c r="Q321" t="s">
        <v>164</v>
      </c>
      <c r="S321" t="s">
        <v>234</v>
      </c>
      <c r="T321" t="s">
        <v>272</v>
      </c>
      <c r="U321">
        <v>7.9845657843074461E-3</v>
      </c>
      <c r="V321" t="s">
        <v>164</v>
      </c>
    </row>
    <row r="322" spans="9:22" x14ac:dyDescent="0.45">
      <c r="I322" t="s">
        <v>181</v>
      </c>
      <c r="J322" t="s">
        <v>273</v>
      </c>
      <c r="K322">
        <v>7.1148367776086548E-3</v>
      </c>
      <c r="L322" t="s">
        <v>164</v>
      </c>
      <c r="N322" t="s">
        <v>214</v>
      </c>
      <c r="O322" t="s">
        <v>273</v>
      </c>
      <c r="P322">
        <v>4.6755970586701896E-2</v>
      </c>
      <c r="Q322" t="s">
        <v>164</v>
      </c>
      <c r="S322" t="s">
        <v>234</v>
      </c>
      <c r="T322" t="s">
        <v>273</v>
      </c>
      <c r="U322">
        <v>5.863992937351549E-2</v>
      </c>
      <c r="V322" t="s">
        <v>164</v>
      </c>
    </row>
    <row r="323" spans="9:22" x14ac:dyDescent="0.45">
      <c r="I323" t="s">
        <v>181</v>
      </c>
      <c r="J323" t="s">
        <v>274</v>
      </c>
      <c r="K323">
        <v>1.1805455539191007E-2</v>
      </c>
      <c r="L323" t="s">
        <v>164</v>
      </c>
      <c r="N323" t="s">
        <v>214</v>
      </c>
      <c r="O323" t="s">
        <v>274</v>
      </c>
      <c r="P323">
        <v>2.8547667971851463E-2</v>
      </c>
      <c r="Q323" t="s">
        <v>164</v>
      </c>
      <c r="S323" t="s">
        <v>234</v>
      </c>
      <c r="T323" t="s">
        <v>274</v>
      </c>
      <c r="U323">
        <v>6.5093518238744888E-2</v>
      </c>
      <c r="V323" t="s">
        <v>164</v>
      </c>
    </row>
    <row r="324" spans="9:22" x14ac:dyDescent="0.45">
      <c r="I324" t="s">
        <v>181</v>
      </c>
      <c r="J324" t="s">
        <v>275</v>
      </c>
      <c r="K324">
        <v>1.1111312138606552E-2</v>
      </c>
      <c r="L324" t="s">
        <v>164</v>
      </c>
      <c r="N324" t="s">
        <v>214</v>
      </c>
      <c r="O324" t="s">
        <v>275</v>
      </c>
      <c r="P324">
        <v>4.3323208610853729E-3</v>
      </c>
      <c r="Q324" t="s">
        <v>164</v>
      </c>
      <c r="S324" t="s">
        <v>234</v>
      </c>
      <c r="T324" t="s">
        <v>275</v>
      </c>
      <c r="U324">
        <v>4.9060898359749453E-3</v>
      </c>
      <c r="V324" t="s">
        <v>164</v>
      </c>
    </row>
    <row r="325" spans="9:22" x14ac:dyDescent="0.45">
      <c r="I325" t="s">
        <v>181</v>
      </c>
      <c r="J325" t="s">
        <v>276</v>
      </c>
      <c r="K325">
        <v>1.4143952746004516E-2</v>
      </c>
      <c r="L325" t="s">
        <v>164</v>
      </c>
      <c r="N325" t="s">
        <v>214</v>
      </c>
      <c r="O325" t="s">
        <v>276</v>
      </c>
      <c r="P325">
        <v>4.2440890846362038E-3</v>
      </c>
      <c r="Q325" t="s">
        <v>164</v>
      </c>
      <c r="S325" t="s">
        <v>234</v>
      </c>
      <c r="T325" t="s">
        <v>276</v>
      </c>
      <c r="U325">
        <v>4.448787476287611E-3</v>
      </c>
      <c r="V325" t="s">
        <v>164</v>
      </c>
    </row>
    <row r="326" spans="9:22" x14ac:dyDescent="0.45">
      <c r="I326" t="s">
        <v>181</v>
      </c>
      <c r="J326" t="s">
        <v>277</v>
      </c>
      <c r="K326">
        <v>9.7776880489817974E-2</v>
      </c>
      <c r="L326" t="s">
        <v>164</v>
      </c>
      <c r="N326" t="s">
        <v>214</v>
      </c>
      <c r="O326" t="s">
        <v>277</v>
      </c>
      <c r="P326">
        <v>1.6142771702700651E-2</v>
      </c>
      <c r="Q326" t="s">
        <v>164</v>
      </c>
      <c r="S326" t="s">
        <v>234</v>
      </c>
      <c r="T326" t="s">
        <v>277</v>
      </c>
      <c r="U326">
        <v>2.6315959086153806E-2</v>
      </c>
      <c r="V326" t="s">
        <v>164</v>
      </c>
    </row>
    <row r="327" spans="9:22" x14ac:dyDescent="0.45">
      <c r="I327" t="s">
        <v>181</v>
      </c>
      <c r="J327" t="s">
        <v>278</v>
      </c>
      <c r="K327">
        <v>9.9640276442849868E-3</v>
      </c>
      <c r="L327" t="s">
        <v>164</v>
      </c>
      <c r="N327" t="s">
        <v>214</v>
      </c>
      <c r="O327" t="s">
        <v>278</v>
      </c>
      <c r="P327">
        <v>2.9145309438068055E-3</v>
      </c>
      <c r="Q327" t="s">
        <v>164</v>
      </c>
      <c r="S327" t="s">
        <v>234</v>
      </c>
      <c r="T327" t="s">
        <v>278</v>
      </c>
      <c r="U327">
        <v>6.6714461672557112E-3</v>
      </c>
      <c r="V327" t="s">
        <v>164</v>
      </c>
    </row>
    <row r="328" spans="9:22" x14ac:dyDescent="0.45">
      <c r="I328" t="s">
        <v>181</v>
      </c>
      <c r="J328" t="s">
        <v>279</v>
      </c>
      <c r="K328">
        <v>9.0338262231431914E-3</v>
      </c>
      <c r="L328" t="s">
        <v>164</v>
      </c>
      <c r="N328" t="s">
        <v>214</v>
      </c>
      <c r="O328" t="s">
        <v>279</v>
      </c>
      <c r="P328">
        <v>2.8229979677539395E-2</v>
      </c>
      <c r="Q328" t="s">
        <v>164</v>
      </c>
      <c r="S328" t="s">
        <v>234</v>
      </c>
      <c r="T328" t="s">
        <v>279</v>
      </c>
      <c r="U328">
        <v>5.0910732637245625E-2</v>
      </c>
      <c r="V328" t="s">
        <v>164</v>
      </c>
    </row>
    <row r="329" spans="9:22" x14ac:dyDescent="0.45">
      <c r="I329" t="s">
        <v>181</v>
      </c>
      <c r="J329" t="s">
        <v>280</v>
      </c>
      <c r="K329">
        <v>1.4909107954014482E-2</v>
      </c>
      <c r="L329" t="s">
        <v>164</v>
      </c>
      <c r="N329" t="s">
        <v>214</v>
      </c>
      <c r="O329" t="s">
        <v>280</v>
      </c>
      <c r="P329">
        <v>1.5899387458563882E-2</v>
      </c>
      <c r="Q329" t="s">
        <v>164</v>
      </c>
      <c r="S329" t="s">
        <v>234</v>
      </c>
      <c r="T329" t="s">
        <v>280</v>
      </c>
      <c r="U329">
        <v>4.0902443404659428E-2</v>
      </c>
      <c r="V329" t="s">
        <v>164</v>
      </c>
    </row>
    <row r="330" spans="9:22" x14ac:dyDescent="0.45">
      <c r="I330" t="s">
        <v>181</v>
      </c>
      <c r="J330" t="s">
        <v>281</v>
      </c>
      <c r="K330">
        <v>1.4042959586474502E-2</v>
      </c>
      <c r="L330" t="s">
        <v>164</v>
      </c>
      <c r="N330" t="s">
        <v>214</v>
      </c>
      <c r="O330" t="s">
        <v>281</v>
      </c>
      <c r="P330">
        <v>2.2411134517269673E-3</v>
      </c>
      <c r="Q330" t="s">
        <v>164</v>
      </c>
      <c r="S330" t="s">
        <v>234</v>
      </c>
      <c r="T330" t="s">
        <v>281</v>
      </c>
      <c r="U330">
        <v>3.5013761675379922E-3</v>
      </c>
      <c r="V330" t="s">
        <v>164</v>
      </c>
    </row>
    <row r="331" spans="9:22" x14ac:dyDescent="0.45">
      <c r="I331" t="s">
        <v>181</v>
      </c>
      <c r="J331" t="s">
        <v>282</v>
      </c>
      <c r="K331">
        <v>1.6487900895492902E-2</v>
      </c>
      <c r="L331" t="s">
        <v>164</v>
      </c>
      <c r="N331" t="s">
        <v>214</v>
      </c>
      <c r="O331" t="s">
        <v>282</v>
      </c>
      <c r="P331">
        <v>2.5386843861121642E-3</v>
      </c>
      <c r="Q331" t="s">
        <v>164</v>
      </c>
      <c r="S331" t="s">
        <v>234</v>
      </c>
      <c r="T331" t="s">
        <v>282</v>
      </c>
      <c r="U331">
        <v>3.2021727185784334E-3</v>
      </c>
      <c r="V331" t="s">
        <v>164</v>
      </c>
    </row>
    <row r="332" spans="9:22" x14ac:dyDescent="0.45">
      <c r="I332" t="s">
        <v>181</v>
      </c>
      <c r="J332" t="s">
        <v>283</v>
      </c>
      <c r="K332">
        <v>0.10903208503193436</v>
      </c>
      <c r="L332" t="s">
        <v>164</v>
      </c>
      <c r="N332" t="s">
        <v>214</v>
      </c>
      <c r="O332" t="s">
        <v>283</v>
      </c>
      <c r="P332">
        <v>1.250245047690402E-2</v>
      </c>
      <c r="Q332" t="s">
        <v>164</v>
      </c>
      <c r="S332" t="s">
        <v>234</v>
      </c>
      <c r="T332" t="s">
        <v>283</v>
      </c>
      <c r="U332">
        <v>1.3905676671791774E-2</v>
      </c>
      <c r="V332" t="s">
        <v>164</v>
      </c>
    </row>
    <row r="333" spans="9:22" x14ac:dyDescent="0.45">
      <c r="I333" t="s">
        <v>181</v>
      </c>
      <c r="J333" t="s">
        <v>284</v>
      </c>
      <c r="K333">
        <v>1.0977996110187734E-2</v>
      </c>
      <c r="L333" t="s">
        <v>164</v>
      </c>
      <c r="N333" t="s">
        <v>214</v>
      </c>
      <c r="O333" t="s">
        <v>284</v>
      </c>
      <c r="P333">
        <v>1.8494420018763066E-3</v>
      </c>
      <c r="Q333" t="s">
        <v>164</v>
      </c>
      <c r="S333" t="s">
        <v>234</v>
      </c>
      <c r="T333" t="s">
        <v>284</v>
      </c>
      <c r="U333">
        <v>3.4045867926610408E-3</v>
      </c>
      <c r="V333" t="s">
        <v>164</v>
      </c>
    </row>
    <row r="334" spans="9:22" x14ac:dyDescent="0.45">
      <c r="I334" t="s">
        <v>181</v>
      </c>
      <c r="J334" t="s">
        <v>285</v>
      </c>
      <c r="K334">
        <v>7.1442519330130374E-3</v>
      </c>
      <c r="L334" t="s">
        <v>164</v>
      </c>
      <c r="N334" t="s">
        <v>214</v>
      </c>
      <c r="O334" t="s">
        <v>285</v>
      </c>
      <c r="P334">
        <v>1.3871257318061402E-2</v>
      </c>
      <c r="Q334" t="s">
        <v>164</v>
      </c>
      <c r="S334" t="s">
        <v>234</v>
      </c>
      <c r="T334" t="s">
        <v>285</v>
      </c>
      <c r="U334">
        <v>3.083573205227174E-2</v>
      </c>
      <c r="V334" t="s">
        <v>164</v>
      </c>
    </row>
    <row r="335" spans="9:22" x14ac:dyDescent="0.45">
      <c r="I335" t="s">
        <v>181</v>
      </c>
      <c r="J335" t="s">
        <v>286</v>
      </c>
      <c r="K335">
        <v>1.5405304156387778E-2</v>
      </c>
      <c r="L335" t="s">
        <v>164</v>
      </c>
      <c r="N335" t="s">
        <v>214</v>
      </c>
      <c r="O335" t="s">
        <v>286</v>
      </c>
      <c r="P335">
        <v>3.6685024725982299E-2</v>
      </c>
      <c r="Q335" t="s">
        <v>164</v>
      </c>
      <c r="S335" t="s">
        <v>234</v>
      </c>
      <c r="T335" t="s">
        <v>286</v>
      </c>
      <c r="U335">
        <v>5.3539043127086405E-2</v>
      </c>
      <c r="V335" t="s">
        <v>164</v>
      </c>
    </row>
    <row r="336" spans="9:22" x14ac:dyDescent="0.45">
      <c r="I336" t="s">
        <v>181</v>
      </c>
      <c r="J336" t="s">
        <v>287</v>
      </c>
      <c r="K336">
        <v>1.4304898019301401E-2</v>
      </c>
      <c r="L336" t="s">
        <v>164</v>
      </c>
      <c r="N336" t="s">
        <v>214</v>
      </c>
      <c r="O336" t="s">
        <v>287</v>
      </c>
      <c r="P336">
        <v>4.8272974742539993E-3</v>
      </c>
      <c r="Q336" t="s">
        <v>164</v>
      </c>
      <c r="S336" t="s">
        <v>234</v>
      </c>
      <c r="T336" t="s">
        <v>287</v>
      </c>
      <c r="U336">
        <v>4.3605132854058256E-3</v>
      </c>
      <c r="V336" t="s">
        <v>164</v>
      </c>
    </row>
    <row r="337" spans="9:22" x14ac:dyDescent="0.45">
      <c r="I337" t="s">
        <v>181</v>
      </c>
      <c r="J337" t="s">
        <v>288</v>
      </c>
      <c r="K337">
        <v>1.6939155421454216E-2</v>
      </c>
      <c r="L337" t="s">
        <v>164</v>
      </c>
      <c r="N337" t="s">
        <v>214</v>
      </c>
      <c r="O337" t="s">
        <v>288</v>
      </c>
      <c r="P337">
        <v>4.5333820810114778E-3</v>
      </c>
      <c r="Q337" t="s">
        <v>164</v>
      </c>
      <c r="S337" t="s">
        <v>234</v>
      </c>
      <c r="T337" t="s">
        <v>288</v>
      </c>
      <c r="U337">
        <v>3.9375123119548255E-3</v>
      </c>
      <c r="V337" t="s">
        <v>164</v>
      </c>
    </row>
    <row r="338" spans="9:22" x14ac:dyDescent="0.45">
      <c r="I338" t="s">
        <v>181</v>
      </c>
      <c r="J338" t="s">
        <v>289</v>
      </c>
      <c r="K338">
        <v>0.10379400587112887</v>
      </c>
      <c r="L338" t="s">
        <v>164</v>
      </c>
      <c r="N338" t="s">
        <v>214</v>
      </c>
      <c r="O338" t="s">
        <v>289</v>
      </c>
      <c r="P338">
        <v>1.7199905341906296E-2</v>
      </c>
      <c r="Q338" t="s">
        <v>164</v>
      </c>
      <c r="S338" t="s">
        <v>234</v>
      </c>
      <c r="T338" t="s">
        <v>289</v>
      </c>
      <c r="U338">
        <v>2.1804255421749536E-2</v>
      </c>
      <c r="V338" t="s">
        <v>164</v>
      </c>
    </row>
    <row r="339" spans="9:22" x14ac:dyDescent="0.45">
      <c r="I339" t="s">
        <v>181</v>
      </c>
      <c r="J339" t="s">
        <v>290</v>
      </c>
      <c r="K339">
        <v>9.9245150320741212E-3</v>
      </c>
      <c r="L339" t="s">
        <v>164</v>
      </c>
      <c r="N339" t="s">
        <v>214</v>
      </c>
      <c r="O339" t="s">
        <v>290</v>
      </c>
      <c r="P339">
        <v>4.4083753283927869E-3</v>
      </c>
      <c r="Q339" t="s">
        <v>164</v>
      </c>
      <c r="S339" t="s">
        <v>234</v>
      </c>
      <c r="T339" t="s">
        <v>290</v>
      </c>
      <c r="U339">
        <v>5.4884122825445154E-3</v>
      </c>
      <c r="V339" t="s">
        <v>164</v>
      </c>
    </row>
    <row r="340" spans="9:22" x14ac:dyDescent="0.45">
      <c r="I340" t="s">
        <v>181</v>
      </c>
      <c r="J340" t="s">
        <v>291</v>
      </c>
      <c r="K340">
        <v>5.9949288557446107E-3</v>
      </c>
      <c r="L340" t="s">
        <v>164</v>
      </c>
      <c r="N340" t="s">
        <v>214</v>
      </c>
      <c r="O340" t="s">
        <v>291</v>
      </c>
      <c r="P340">
        <v>3.7424144697986404E-2</v>
      </c>
      <c r="Q340" t="s">
        <v>164</v>
      </c>
      <c r="S340" t="s">
        <v>234</v>
      </c>
      <c r="T340" t="s">
        <v>291</v>
      </c>
      <c r="U340">
        <v>4.2664605938836628E-2</v>
      </c>
      <c r="V340" t="s">
        <v>164</v>
      </c>
    </row>
    <row r="341" spans="9:22" x14ac:dyDescent="0.45">
      <c r="I341" t="s">
        <v>181</v>
      </c>
      <c r="J341" t="s">
        <v>292</v>
      </c>
      <c r="K341">
        <v>5.1637446328365189E-3</v>
      </c>
      <c r="L341" t="s">
        <v>164</v>
      </c>
      <c r="N341" t="s">
        <v>214</v>
      </c>
      <c r="O341" t="s">
        <v>292</v>
      </c>
      <c r="P341">
        <v>3.7571542685496333E-2</v>
      </c>
      <c r="Q341" t="s">
        <v>164</v>
      </c>
      <c r="S341" t="s">
        <v>234</v>
      </c>
      <c r="T341" t="s">
        <v>292</v>
      </c>
      <c r="U341">
        <v>3.633740171630994E-2</v>
      </c>
      <c r="V341" t="s">
        <v>164</v>
      </c>
    </row>
    <row r="342" spans="9:22" x14ac:dyDescent="0.45">
      <c r="I342" t="s">
        <v>181</v>
      </c>
      <c r="J342" t="s">
        <v>293</v>
      </c>
      <c r="K342">
        <v>6.477993210801029E-3</v>
      </c>
      <c r="L342" t="s">
        <v>164</v>
      </c>
      <c r="N342" t="s">
        <v>214</v>
      </c>
      <c r="O342" t="s">
        <v>293</v>
      </c>
      <c r="P342">
        <v>5.8537486373356805E-3</v>
      </c>
      <c r="Q342" t="s">
        <v>164</v>
      </c>
      <c r="S342" t="s">
        <v>234</v>
      </c>
      <c r="T342" t="s">
        <v>293</v>
      </c>
      <c r="U342">
        <v>3.3799504290310074E-3</v>
      </c>
      <c r="V342" t="s">
        <v>164</v>
      </c>
    </row>
    <row r="343" spans="9:22" x14ac:dyDescent="0.45">
      <c r="I343" t="s">
        <v>181</v>
      </c>
      <c r="J343" t="s">
        <v>294</v>
      </c>
      <c r="K343">
        <v>8.0653353816854054E-3</v>
      </c>
      <c r="L343" t="s">
        <v>164</v>
      </c>
      <c r="N343" t="s">
        <v>214</v>
      </c>
      <c r="O343" t="s">
        <v>294</v>
      </c>
      <c r="P343">
        <v>6.5660889000792051E-3</v>
      </c>
      <c r="Q343" t="s">
        <v>164</v>
      </c>
      <c r="S343" t="s">
        <v>234</v>
      </c>
      <c r="T343" t="s">
        <v>294</v>
      </c>
      <c r="U343">
        <v>3.1559583370983492E-3</v>
      </c>
      <c r="V343" t="s">
        <v>164</v>
      </c>
    </row>
    <row r="344" spans="9:22" x14ac:dyDescent="0.45">
      <c r="I344" t="s">
        <v>181</v>
      </c>
      <c r="J344" t="s">
        <v>295</v>
      </c>
      <c r="K344">
        <v>4.8849066514052415E-2</v>
      </c>
      <c r="L344" t="s">
        <v>164</v>
      </c>
      <c r="N344" t="s">
        <v>214</v>
      </c>
      <c r="O344" t="s">
        <v>295</v>
      </c>
      <c r="P344">
        <v>3.1651005500498514E-2</v>
      </c>
      <c r="Q344" t="s">
        <v>164</v>
      </c>
      <c r="S344" t="s">
        <v>234</v>
      </c>
      <c r="T344" t="s">
        <v>295</v>
      </c>
      <c r="U344">
        <v>1.828029156360108E-2</v>
      </c>
      <c r="V344" t="s">
        <v>164</v>
      </c>
    </row>
    <row r="345" spans="9:22" x14ac:dyDescent="0.45">
      <c r="I345" t="s">
        <v>181</v>
      </c>
      <c r="J345" t="s">
        <v>296</v>
      </c>
      <c r="K345">
        <v>5.2965959883231363E-3</v>
      </c>
      <c r="L345" t="s">
        <v>164</v>
      </c>
      <c r="N345" t="s">
        <v>214</v>
      </c>
      <c r="O345" t="s">
        <v>296</v>
      </c>
      <c r="P345">
        <v>6.0092989488417167E-3</v>
      </c>
      <c r="Q345" t="s">
        <v>164</v>
      </c>
      <c r="S345" t="s">
        <v>234</v>
      </c>
      <c r="T345" t="s">
        <v>296</v>
      </c>
      <c r="U345">
        <v>3.6243057516224678E-3</v>
      </c>
      <c r="V345" t="s">
        <v>164</v>
      </c>
    </row>
    <row r="346" spans="9:22" x14ac:dyDescent="0.45">
      <c r="I346" t="s">
        <v>181</v>
      </c>
      <c r="J346" t="s">
        <v>297</v>
      </c>
      <c r="K346">
        <v>3.2607197833132849E-3</v>
      </c>
      <c r="L346" t="s">
        <v>164</v>
      </c>
      <c r="N346" t="s">
        <v>214</v>
      </c>
      <c r="O346" t="s">
        <v>297</v>
      </c>
      <c r="P346">
        <v>4.3347008991552964E-2</v>
      </c>
      <c r="Q346" t="s">
        <v>164</v>
      </c>
      <c r="S346" t="s">
        <v>234</v>
      </c>
      <c r="T346" t="s">
        <v>297</v>
      </c>
      <c r="U346">
        <v>2.74802426256637E-2</v>
      </c>
      <c r="V346" t="s">
        <v>164</v>
      </c>
    </row>
    <row r="347" spans="9:22" x14ac:dyDescent="0.45">
      <c r="I347" t="s">
        <v>182</v>
      </c>
      <c r="J347" t="s">
        <v>163</v>
      </c>
      <c r="K347">
        <v>4.5057557628986515E-3</v>
      </c>
      <c r="L347" t="s">
        <v>164</v>
      </c>
      <c r="N347" t="s">
        <v>215</v>
      </c>
      <c r="O347" t="s">
        <v>163</v>
      </c>
      <c r="P347">
        <v>2.9477089701111663E-2</v>
      </c>
      <c r="Q347" t="s">
        <v>164</v>
      </c>
      <c r="S347" t="s">
        <v>235</v>
      </c>
      <c r="T347" t="s">
        <v>163</v>
      </c>
      <c r="U347">
        <v>3.9682942731294787E-2</v>
      </c>
      <c r="V347" t="s">
        <v>164</v>
      </c>
    </row>
    <row r="348" spans="9:22" x14ac:dyDescent="0.45">
      <c r="I348" t="s">
        <v>182</v>
      </c>
      <c r="J348" t="s">
        <v>165</v>
      </c>
      <c r="K348">
        <v>7.3962687093803861E-3</v>
      </c>
      <c r="L348" t="s">
        <v>164</v>
      </c>
      <c r="N348" t="s">
        <v>215</v>
      </c>
      <c r="O348" t="s">
        <v>165</v>
      </c>
      <c r="P348">
        <v>4.6420383688459826E-3</v>
      </c>
      <c r="Q348" t="s">
        <v>164</v>
      </c>
      <c r="S348" t="s">
        <v>235</v>
      </c>
      <c r="T348" t="s">
        <v>165</v>
      </c>
      <c r="U348">
        <v>3.9141896461875542E-3</v>
      </c>
      <c r="V348" t="s">
        <v>164</v>
      </c>
    </row>
    <row r="349" spans="9:22" x14ac:dyDescent="0.45">
      <c r="I349" t="s">
        <v>182</v>
      </c>
      <c r="J349" t="s">
        <v>166</v>
      </c>
      <c r="K349">
        <v>8.9008280972264764E-3</v>
      </c>
      <c r="L349" t="s">
        <v>164</v>
      </c>
      <c r="N349" t="s">
        <v>215</v>
      </c>
      <c r="O349" t="s">
        <v>166</v>
      </c>
      <c r="P349">
        <v>5.1147255975516597E-3</v>
      </c>
      <c r="Q349" t="s">
        <v>164</v>
      </c>
      <c r="S349" t="s">
        <v>235</v>
      </c>
      <c r="T349" t="s">
        <v>166</v>
      </c>
      <c r="U349">
        <v>3.840088842094672E-3</v>
      </c>
      <c r="V349" t="s">
        <v>164</v>
      </c>
    </row>
    <row r="350" spans="9:22" x14ac:dyDescent="0.45">
      <c r="I350" t="s">
        <v>182</v>
      </c>
      <c r="J350" t="s">
        <v>262</v>
      </c>
      <c r="K350">
        <v>5.4372737053552084E-2</v>
      </c>
      <c r="L350" t="s">
        <v>164</v>
      </c>
      <c r="N350" t="s">
        <v>215</v>
      </c>
      <c r="O350" t="s">
        <v>262</v>
      </c>
      <c r="P350">
        <v>2.8360421764190097E-2</v>
      </c>
      <c r="Q350" t="s">
        <v>164</v>
      </c>
      <c r="S350" t="s">
        <v>235</v>
      </c>
      <c r="T350" t="s">
        <v>262</v>
      </c>
      <c r="U350">
        <v>2.8562189451092568E-2</v>
      </c>
      <c r="V350" t="s">
        <v>164</v>
      </c>
    </row>
    <row r="351" spans="9:22" x14ac:dyDescent="0.45">
      <c r="I351" t="s">
        <v>182</v>
      </c>
      <c r="J351" t="s">
        <v>263</v>
      </c>
      <c r="K351">
        <v>6.3122937757609729E-3</v>
      </c>
      <c r="L351" t="s">
        <v>164</v>
      </c>
      <c r="N351" t="s">
        <v>215</v>
      </c>
      <c r="O351" t="s">
        <v>263</v>
      </c>
      <c r="P351">
        <v>4.9982511302452048E-3</v>
      </c>
      <c r="Q351" t="s">
        <v>164</v>
      </c>
      <c r="S351" t="s">
        <v>235</v>
      </c>
      <c r="T351" t="s">
        <v>263</v>
      </c>
      <c r="U351">
        <v>5.6973823224530703E-3</v>
      </c>
      <c r="V351" t="s">
        <v>164</v>
      </c>
    </row>
    <row r="352" spans="9:22" x14ac:dyDescent="0.45">
      <c r="I352" t="s">
        <v>182</v>
      </c>
      <c r="J352" t="s">
        <v>264</v>
      </c>
      <c r="K352">
        <v>3.9203222934207135E-3</v>
      </c>
      <c r="L352" t="s">
        <v>164</v>
      </c>
      <c r="N352" t="s">
        <v>215</v>
      </c>
      <c r="O352" t="s">
        <v>264</v>
      </c>
      <c r="P352">
        <v>3.3991120204431305E-2</v>
      </c>
      <c r="Q352" t="s">
        <v>164</v>
      </c>
      <c r="S352" t="s">
        <v>235</v>
      </c>
      <c r="T352" t="s">
        <v>264</v>
      </c>
      <c r="U352">
        <v>3.4093815350737897E-2</v>
      </c>
      <c r="V352" t="s">
        <v>164</v>
      </c>
    </row>
    <row r="353" spans="9:22" x14ac:dyDescent="0.45">
      <c r="I353" t="s">
        <v>182</v>
      </c>
      <c r="J353" t="s">
        <v>167</v>
      </c>
      <c r="K353">
        <v>4.40188612916488E-3</v>
      </c>
      <c r="L353" t="s">
        <v>164</v>
      </c>
      <c r="N353" t="s">
        <v>215</v>
      </c>
      <c r="O353" t="s">
        <v>167</v>
      </c>
      <c r="P353">
        <v>3.4295094132179141E-2</v>
      </c>
      <c r="Q353" t="s">
        <v>164</v>
      </c>
      <c r="S353" t="s">
        <v>235</v>
      </c>
      <c r="T353" t="s">
        <v>167</v>
      </c>
      <c r="U353">
        <v>4.2475154796649386E-2</v>
      </c>
      <c r="V353" t="s">
        <v>164</v>
      </c>
    </row>
    <row r="354" spans="9:22" x14ac:dyDescent="0.45">
      <c r="I354" t="s">
        <v>182</v>
      </c>
      <c r="J354" t="s">
        <v>168</v>
      </c>
      <c r="K354">
        <v>6.7761103029109716E-3</v>
      </c>
      <c r="L354" t="s">
        <v>164</v>
      </c>
      <c r="N354" t="s">
        <v>215</v>
      </c>
      <c r="O354" t="s">
        <v>168</v>
      </c>
      <c r="P354">
        <v>5.8629599936621197E-3</v>
      </c>
      <c r="Q354" t="s">
        <v>164</v>
      </c>
      <c r="S354" t="s">
        <v>235</v>
      </c>
      <c r="T354" t="s">
        <v>168</v>
      </c>
      <c r="U354">
        <v>4.3384410252884139E-3</v>
      </c>
      <c r="V354" t="s">
        <v>164</v>
      </c>
    </row>
    <row r="355" spans="9:22" x14ac:dyDescent="0.45">
      <c r="I355" t="s">
        <v>182</v>
      </c>
      <c r="J355" t="s">
        <v>169</v>
      </c>
      <c r="K355">
        <v>8.0310366684675609E-3</v>
      </c>
      <c r="L355" t="s">
        <v>164</v>
      </c>
      <c r="N355" t="s">
        <v>215</v>
      </c>
      <c r="O355" t="s">
        <v>169</v>
      </c>
      <c r="P355">
        <v>6.4685713256121442E-3</v>
      </c>
      <c r="Q355" t="s">
        <v>164</v>
      </c>
      <c r="S355" t="s">
        <v>235</v>
      </c>
      <c r="T355" t="s">
        <v>169</v>
      </c>
      <c r="U355">
        <v>4.4087388899697608E-3</v>
      </c>
      <c r="V355" t="s">
        <v>164</v>
      </c>
    </row>
    <row r="356" spans="9:22" x14ac:dyDescent="0.45">
      <c r="I356" t="s">
        <v>182</v>
      </c>
      <c r="J356" t="s">
        <v>265</v>
      </c>
      <c r="K356">
        <v>4.9492371978513264E-2</v>
      </c>
      <c r="L356" t="s">
        <v>164</v>
      </c>
      <c r="N356" t="s">
        <v>215</v>
      </c>
      <c r="O356" t="s">
        <v>265</v>
      </c>
      <c r="P356">
        <v>3.366673212582319E-2</v>
      </c>
      <c r="Q356" t="s">
        <v>164</v>
      </c>
      <c r="S356" t="s">
        <v>235</v>
      </c>
      <c r="T356" t="s">
        <v>265</v>
      </c>
      <c r="U356">
        <v>3.0506612197458417E-2</v>
      </c>
      <c r="V356" t="s">
        <v>164</v>
      </c>
    </row>
    <row r="357" spans="9:22" x14ac:dyDescent="0.45">
      <c r="I357" t="s">
        <v>182</v>
      </c>
      <c r="J357" t="s">
        <v>266</v>
      </c>
      <c r="K357">
        <v>5.6847659536268949E-3</v>
      </c>
      <c r="L357" t="s">
        <v>164</v>
      </c>
      <c r="N357" t="s">
        <v>215</v>
      </c>
      <c r="O357" t="s">
        <v>266</v>
      </c>
      <c r="P357">
        <v>6.564978321552048E-3</v>
      </c>
      <c r="Q357" t="s">
        <v>164</v>
      </c>
      <c r="S357" t="s">
        <v>235</v>
      </c>
      <c r="T357" t="s">
        <v>266</v>
      </c>
      <c r="U357">
        <v>5.3699530270478E-3</v>
      </c>
      <c r="V357" t="s">
        <v>164</v>
      </c>
    </row>
    <row r="358" spans="9:22" x14ac:dyDescent="0.45">
      <c r="I358" t="s">
        <v>182</v>
      </c>
      <c r="J358" t="s">
        <v>267</v>
      </c>
      <c r="K358">
        <v>3.7755744449160071E-3</v>
      </c>
      <c r="L358" t="s">
        <v>164</v>
      </c>
      <c r="N358" t="s">
        <v>215</v>
      </c>
      <c r="O358" t="s">
        <v>267</v>
      </c>
      <c r="P358">
        <v>4.0083017353035093E-2</v>
      </c>
      <c r="Q358" t="s">
        <v>164</v>
      </c>
      <c r="S358" t="s">
        <v>235</v>
      </c>
      <c r="T358" t="s">
        <v>267</v>
      </c>
      <c r="U358">
        <v>3.2262819373815234E-2</v>
      </c>
      <c r="V358" t="s">
        <v>164</v>
      </c>
    </row>
    <row r="359" spans="9:22" x14ac:dyDescent="0.45">
      <c r="I359" t="s">
        <v>182</v>
      </c>
      <c r="J359" t="s">
        <v>170</v>
      </c>
      <c r="K359">
        <v>8.8808332105889624E-3</v>
      </c>
      <c r="L359" t="s">
        <v>164</v>
      </c>
      <c r="N359" t="s">
        <v>215</v>
      </c>
      <c r="O359" t="s">
        <v>170</v>
      </c>
      <c r="P359">
        <v>4.533972998904115E-2</v>
      </c>
      <c r="Q359" t="s">
        <v>164</v>
      </c>
      <c r="S359" t="s">
        <v>235</v>
      </c>
      <c r="T359" t="s">
        <v>170</v>
      </c>
      <c r="U359">
        <v>4.6001429070097181E-2</v>
      </c>
      <c r="V359" t="s">
        <v>164</v>
      </c>
    </row>
    <row r="360" spans="9:22" x14ac:dyDescent="0.45">
      <c r="I360" t="s">
        <v>182</v>
      </c>
      <c r="J360" t="s">
        <v>171</v>
      </c>
      <c r="K360">
        <v>8.0472565017530671E-3</v>
      </c>
      <c r="L360" t="s">
        <v>164</v>
      </c>
      <c r="N360" t="s">
        <v>215</v>
      </c>
      <c r="O360" t="s">
        <v>171</v>
      </c>
      <c r="P360">
        <v>6.6668848663489627E-3</v>
      </c>
      <c r="Q360" t="s">
        <v>164</v>
      </c>
      <c r="S360" t="s">
        <v>235</v>
      </c>
      <c r="T360" t="s">
        <v>171</v>
      </c>
      <c r="U360">
        <v>4.1467074448803699E-3</v>
      </c>
      <c r="V360" t="s">
        <v>164</v>
      </c>
    </row>
    <row r="361" spans="9:22" x14ac:dyDescent="0.45">
      <c r="I361" t="s">
        <v>182</v>
      </c>
      <c r="J361" t="s">
        <v>172</v>
      </c>
      <c r="K361">
        <v>9.3540620030880001E-3</v>
      </c>
      <c r="L361" t="s">
        <v>164</v>
      </c>
      <c r="N361" t="s">
        <v>215</v>
      </c>
      <c r="O361" t="s">
        <v>172</v>
      </c>
      <c r="P361">
        <v>6.8940015439618594E-3</v>
      </c>
      <c r="Q361" t="s">
        <v>164</v>
      </c>
      <c r="S361" t="s">
        <v>235</v>
      </c>
      <c r="T361" t="s">
        <v>172</v>
      </c>
      <c r="U361">
        <v>4.3509911462214666E-3</v>
      </c>
      <c r="V361" t="s">
        <v>164</v>
      </c>
    </row>
    <row r="362" spans="9:22" x14ac:dyDescent="0.45">
      <c r="I362" t="s">
        <v>182</v>
      </c>
      <c r="J362" t="s">
        <v>268</v>
      </c>
      <c r="K362">
        <v>6.224410404269512E-2</v>
      </c>
      <c r="L362" t="s">
        <v>164</v>
      </c>
      <c r="N362" t="s">
        <v>215</v>
      </c>
      <c r="O362" t="s">
        <v>268</v>
      </c>
      <c r="P362">
        <v>3.3057113476378616E-2</v>
      </c>
      <c r="Q362" t="s">
        <v>164</v>
      </c>
      <c r="S362" t="s">
        <v>235</v>
      </c>
      <c r="T362" t="s">
        <v>268</v>
      </c>
      <c r="U362">
        <v>3.2356383395421191E-2</v>
      </c>
      <c r="V362" t="s">
        <v>164</v>
      </c>
    </row>
    <row r="363" spans="9:22" x14ac:dyDescent="0.45">
      <c r="I363" t="s">
        <v>182</v>
      </c>
      <c r="J363" t="s">
        <v>269</v>
      </c>
      <c r="K363">
        <v>7.6271670654661887E-3</v>
      </c>
      <c r="L363" t="s">
        <v>164</v>
      </c>
      <c r="N363" t="s">
        <v>215</v>
      </c>
      <c r="O363" t="s">
        <v>269</v>
      </c>
      <c r="P363">
        <v>7.5107592292109511E-3</v>
      </c>
      <c r="Q363" t="s">
        <v>164</v>
      </c>
      <c r="S363" t="s">
        <v>235</v>
      </c>
      <c r="T363" t="s">
        <v>269</v>
      </c>
      <c r="U363">
        <v>5.5118326564548284E-3</v>
      </c>
      <c r="V363" t="s">
        <v>164</v>
      </c>
    </row>
    <row r="364" spans="9:22" x14ac:dyDescent="0.45">
      <c r="I364" t="s">
        <v>182</v>
      </c>
      <c r="J364" t="s">
        <v>270</v>
      </c>
      <c r="K364">
        <v>5.1850383924486893E-3</v>
      </c>
      <c r="L364" t="s">
        <v>164</v>
      </c>
      <c r="N364" t="s">
        <v>215</v>
      </c>
      <c r="O364" t="s">
        <v>270</v>
      </c>
      <c r="P364">
        <v>5.5288359363512563E-2</v>
      </c>
      <c r="Q364" t="s">
        <v>164</v>
      </c>
      <c r="S364" t="s">
        <v>235</v>
      </c>
      <c r="T364" t="s">
        <v>270</v>
      </c>
      <c r="U364">
        <v>3.6261666756636564E-2</v>
      </c>
      <c r="V364" t="s">
        <v>164</v>
      </c>
    </row>
    <row r="365" spans="9:22" x14ac:dyDescent="0.45">
      <c r="I365" t="s">
        <v>182</v>
      </c>
      <c r="J365" t="s">
        <v>173</v>
      </c>
      <c r="K365">
        <v>1.3753743943229922E-2</v>
      </c>
      <c r="L365" t="s">
        <v>164</v>
      </c>
      <c r="N365" t="s">
        <v>215</v>
      </c>
      <c r="O365" t="s">
        <v>173</v>
      </c>
      <c r="P365">
        <v>6.2694278962361044E-2</v>
      </c>
      <c r="Q365" t="s">
        <v>164</v>
      </c>
      <c r="S365" t="s">
        <v>235</v>
      </c>
      <c r="T365" t="s">
        <v>173</v>
      </c>
      <c r="U365">
        <v>6.2499421607899702E-2</v>
      </c>
      <c r="V365" t="s">
        <v>164</v>
      </c>
    </row>
    <row r="366" spans="9:22" x14ac:dyDescent="0.45">
      <c r="I366" t="s">
        <v>182</v>
      </c>
      <c r="J366" t="s">
        <v>174</v>
      </c>
      <c r="K366">
        <v>1.264396036948825E-2</v>
      </c>
      <c r="L366" t="s">
        <v>164</v>
      </c>
      <c r="N366" t="s">
        <v>215</v>
      </c>
      <c r="O366" t="s">
        <v>174</v>
      </c>
      <c r="P366">
        <v>8.3737601795834879E-3</v>
      </c>
      <c r="Q366" t="s">
        <v>164</v>
      </c>
      <c r="S366" t="s">
        <v>235</v>
      </c>
      <c r="T366" t="s">
        <v>174</v>
      </c>
      <c r="U366">
        <v>4.2645942569861676E-3</v>
      </c>
      <c r="V366" t="s">
        <v>164</v>
      </c>
    </row>
    <row r="367" spans="9:22" x14ac:dyDescent="0.45">
      <c r="I367" t="s">
        <v>182</v>
      </c>
      <c r="J367" t="s">
        <v>175</v>
      </c>
      <c r="K367">
        <v>1.5325120301202491E-2</v>
      </c>
      <c r="L367" t="s">
        <v>164</v>
      </c>
      <c r="N367" t="s">
        <v>215</v>
      </c>
      <c r="O367" t="s">
        <v>175</v>
      </c>
      <c r="P367">
        <v>8.7124983525973965E-3</v>
      </c>
      <c r="Q367" t="s">
        <v>164</v>
      </c>
      <c r="S367" t="s">
        <v>235</v>
      </c>
      <c r="T367" t="s">
        <v>175</v>
      </c>
      <c r="U367">
        <v>4.4539243638020178E-3</v>
      </c>
      <c r="V367" t="s">
        <v>164</v>
      </c>
    </row>
    <row r="368" spans="9:22" x14ac:dyDescent="0.45">
      <c r="I368" t="s">
        <v>182</v>
      </c>
      <c r="J368" t="s">
        <v>271</v>
      </c>
      <c r="K368">
        <v>0.10053242442617227</v>
      </c>
      <c r="L368" t="s">
        <v>164</v>
      </c>
      <c r="N368" t="s">
        <v>215</v>
      </c>
      <c r="O368" t="s">
        <v>271</v>
      </c>
      <c r="P368">
        <v>4.31762923917383E-2</v>
      </c>
      <c r="Q368" t="s">
        <v>164</v>
      </c>
      <c r="S368" t="s">
        <v>235</v>
      </c>
      <c r="T368" t="s">
        <v>271</v>
      </c>
      <c r="U368">
        <v>4.074207807572873E-2</v>
      </c>
      <c r="V368" t="s">
        <v>164</v>
      </c>
    </row>
    <row r="369" spans="9:22" x14ac:dyDescent="0.45">
      <c r="I369" t="s">
        <v>182</v>
      </c>
      <c r="J369" t="s">
        <v>272</v>
      </c>
      <c r="K369">
        <v>9.9273586345346339E-3</v>
      </c>
      <c r="L369" t="s">
        <v>164</v>
      </c>
      <c r="N369" t="s">
        <v>215</v>
      </c>
      <c r="O369" t="s">
        <v>272</v>
      </c>
      <c r="P369">
        <v>1.0050774342795629E-2</v>
      </c>
      <c r="Q369" t="s">
        <v>164</v>
      </c>
      <c r="S369" t="s">
        <v>235</v>
      </c>
      <c r="T369" t="s">
        <v>272</v>
      </c>
      <c r="U369">
        <v>7.9673211926292991E-3</v>
      </c>
      <c r="V369" t="s">
        <v>164</v>
      </c>
    </row>
    <row r="370" spans="9:22" x14ac:dyDescent="0.45">
      <c r="I370" t="s">
        <v>182</v>
      </c>
      <c r="J370" t="s">
        <v>273</v>
      </c>
      <c r="K370">
        <v>6.7275893118660841E-3</v>
      </c>
      <c r="L370" t="s">
        <v>164</v>
      </c>
      <c r="N370" t="s">
        <v>215</v>
      </c>
      <c r="O370" t="s">
        <v>273</v>
      </c>
      <c r="P370">
        <v>7.2576047864725879E-2</v>
      </c>
      <c r="Q370" t="s">
        <v>164</v>
      </c>
      <c r="S370" t="s">
        <v>235</v>
      </c>
      <c r="T370" t="s">
        <v>273</v>
      </c>
      <c r="U370">
        <v>5.6219912595734084E-2</v>
      </c>
      <c r="V370" t="s">
        <v>164</v>
      </c>
    </row>
    <row r="371" spans="9:22" x14ac:dyDescent="0.45">
      <c r="I371" t="s">
        <v>182</v>
      </c>
      <c r="J371" t="s">
        <v>274</v>
      </c>
      <c r="K371">
        <v>1.0257518773561094E-2</v>
      </c>
      <c r="L371" t="s">
        <v>164</v>
      </c>
      <c r="N371" t="s">
        <v>215</v>
      </c>
      <c r="O371" t="s">
        <v>274</v>
      </c>
      <c r="P371">
        <v>3.405192952500511E-2</v>
      </c>
      <c r="Q371" t="s">
        <v>164</v>
      </c>
      <c r="S371" t="s">
        <v>235</v>
      </c>
      <c r="T371" t="s">
        <v>274</v>
      </c>
      <c r="U371">
        <v>6.0519162288100732E-2</v>
      </c>
      <c r="V371" t="s">
        <v>164</v>
      </c>
    </row>
    <row r="372" spans="9:22" x14ac:dyDescent="0.45">
      <c r="I372" t="s">
        <v>182</v>
      </c>
      <c r="J372" t="s">
        <v>275</v>
      </c>
      <c r="K372">
        <v>1.0412780540997684E-2</v>
      </c>
      <c r="L372" t="s">
        <v>164</v>
      </c>
      <c r="N372" t="s">
        <v>215</v>
      </c>
      <c r="O372" t="s">
        <v>275</v>
      </c>
      <c r="P372">
        <v>3.994660912443747E-3</v>
      </c>
      <c r="Q372" t="s">
        <v>164</v>
      </c>
      <c r="S372" t="s">
        <v>235</v>
      </c>
      <c r="T372" t="s">
        <v>275</v>
      </c>
      <c r="U372">
        <v>3.9620154070134275E-3</v>
      </c>
      <c r="V372" t="s">
        <v>164</v>
      </c>
    </row>
    <row r="373" spans="9:22" x14ac:dyDescent="0.45">
      <c r="I373" t="s">
        <v>182</v>
      </c>
      <c r="J373" t="s">
        <v>276</v>
      </c>
      <c r="K373">
        <v>1.3670089282216313E-2</v>
      </c>
      <c r="L373" t="s">
        <v>164</v>
      </c>
      <c r="N373" t="s">
        <v>215</v>
      </c>
      <c r="O373" t="s">
        <v>276</v>
      </c>
      <c r="P373">
        <v>3.9941657728470329E-3</v>
      </c>
      <c r="Q373" t="s">
        <v>164</v>
      </c>
      <c r="S373" t="s">
        <v>235</v>
      </c>
      <c r="T373" t="s">
        <v>276</v>
      </c>
      <c r="U373">
        <v>4.1185268841759477E-3</v>
      </c>
      <c r="V373" t="s">
        <v>164</v>
      </c>
    </row>
    <row r="374" spans="9:22" x14ac:dyDescent="0.45">
      <c r="I374" t="s">
        <v>182</v>
      </c>
      <c r="J374" t="s">
        <v>277</v>
      </c>
      <c r="K374">
        <v>9.6727422895558829E-2</v>
      </c>
      <c r="L374" t="s">
        <v>164</v>
      </c>
      <c r="N374" t="s">
        <v>215</v>
      </c>
      <c r="O374" t="s">
        <v>277</v>
      </c>
      <c r="P374">
        <v>2.3934181532136792E-2</v>
      </c>
      <c r="Q374" t="s">
        <v>164</v>
      </c>
      <c r="S374" t="s">
        <v>235</v>
      </c>
      <c r="T374" t="s">
        <v>277</v>
      </c>
      <c r="U374">
        <v>3.9674335548937532E-2</v>
      </c>
      <c r="V374" t="s">
        <v>164</v>
      </c>
    </row>
    <row r="375" spans="9:22" x14ac:dyDescent="0.45">
      <c r="I375" t="s">
        <v>182</v>
      </c>
      <c r="J375" t="s">
        <v>278</v>
      </c>
      <c r="K375">
        <v>9.1584559905749669E-3</v>
      </c>
      <c r="L375" t="s">
        <v>164</v>
      </c>
      <c r="N375" t="s">
        <v>215</v>
      </c>
      <c r="O375" t="s">
        <v>278</v>
      </c>
      <c r="P375">
        <v>5.8546671337775568E-3</v>
      </c>
      <c r="Q375" t="s">
        <v>164</v>
      </c>
      <c r="S375" t="s">
        <v>235</v>
      </c>
      <c r="T375" t="s">
        <v>278</v>
      </c>
      <c r="U375">
        <v>9.081288204045997E-3</v>
      </c>
      <c r="V375" t="s">
        <v>164</v>
      </c>
    </row>
    <row r="376" spans="9:22" x14ac:dyDescent="0.45">
      <c r="I376" t="s">
        <v>182</v>
      </c>
      <c r="J376" t="s">
        <v>279</v>
      </c>
      <c r="K376">
        <v>6.2789659705873848E-3</v>
      </c>
      <c r="L376" t="s">
        <v>164</v>
      </c>
      <c r="N376" t="s">
        <v>215</v>
      </c>
      <c r="O376" t="s">
        <v>279</v>
      </c>
      <c r="P376">
        <v>4.0911526735433197E-2</v>
      </c>
      <c r="Q376" t="s">
        <v>164</v>
      </c>
      <c r="S376" t="s">
        <v>235</v>
      </c>
      <c r="T376" t="s">
        <v>279</v>
      </c>
      <c r="U376">
        <v>5.9249132551454038E-2</v>
      </c>
      <c r="V376" t="s">
        <v>164</v>
      </c>
    </row>
    <row r="377" spans="9:22" x14ac:dyDescent="0.45">
      <c r="I377" t="s">
        <v>182</v>
      </c>
      <c r="J377" t="s">
        <v>280</v>
      </c>
      <c r="K377">
        <v>1.5779496542896607E-2</v>
      </c>
      <c r="L377" t="s">
        <v>164</v>
      </c>
      <c r="N377" t="s">
        <v>215</v>
      </c>
      <c r="O377" t="s">
        <v>280</v>
      </c>
      <c r="P377">
        <v>2.1546892408678239E-2</v>
      </c>
      <c r="Q377" t="s">
        <v>164</v>
      </c>
      <c r="S377" t="s">
        <v>235</v>
      </c>
      <c r="T377" t="s">
        <v>280</v>
      </c>
      <c r="U377">
        <v>2.7908493212200045E-2</v>
      </c>
      <c r="V377" t="s">
        <v>164</v>
      </c>
    </row>
    <row r="378" spans="9:22" x14ac:dyDescent="0.45">
      <c r="I378" t="s">
        <v>182</v>
      </c>
      <c r="J378" t="s">
        <v>281</v>
      </c>
      <c r="K378">
        <v>1.3874722102944487E-2</v>
      </c>
      <c r="L378" t="s">
        <v>164</v>
      </c>
      <c r="N378" t="s">
        <v>215</v>
      </c>
      <c r="O378" t="s">
        <v>281</v>
      </c>
      <c r="P378">
        <v>2.0577121161203401E-3</v>
      </c>
      <c r="Q378" t="s">
        <v>164</v>
      </c>
      <c r="S378" t="s">
        <v>235</v>
      </c>
      <c r="T378" t="s">
        <v>281</v>
      </c>
      <c r="U378">
        <v>1.4184642953700547E-3</v>
      </c>
      <c r="V378" t="s">
        <v>164</v>
      </c>
    </row>
    <row r="379" spans="9:22" x14ac:dyDescent="0.45">
      <c r="I379" t="s">
        <v>182</v>
      </c>
      <c r="J379" t="s">
        <v>282</v>
      </c>
      <c r="K379">
        <v>1.7002328169404356E-2</v>
      </c>
      <c r="L379" t="s">
        <v>164</v>
      </c>
      <c r="N379" t="s">
        <v>215</v>
      </c>
      <c r="O379" t="s">
        <v>282</v>
      </c>
      <c r="P379">
        <v>2.1992767028595449E-3</v>
      </c>
      <c r="Q379" t="s">
        <v>164</v>
      </c>
      <c r="S379" t="s">
        <v>235</v>
      </c>
      <c r="T379" t="s">
        <v>282</v>
      </c>
      <c r="U379">
        <v>1.4340988582678925E-3</v>
      </c>
      <c r="V379" t="s">
        <v>164</v>
      </c>
    </row>
    <row r="380" spans="9:22" x14ac:dyDescent="0.45">
      <c r="I380" t="s">
        <v>182</v>
      </c>
      <c r="J380" t="s">
        <v>283</v>
      </c>
      <c r="K380">
        <v>0.11290795178664075</v>
      </c>
      <c r="L380" t="s">
        <v>164</v>
      </c>
      <c r="N380" t="s">
        <v>215</v>
      </c>
      <c r="O380" t="s">
        <v>283</v>
      </c>
      <c r="P380">
        <v>1.2736023652994269E-2</v>
      </c>
      <c r="Q380" t="s">
        <v>164</v>
      </c>
      <c r="S380" t="s">
        <v>235</v>
      </c>
      <c r="T380" t="s">
        <v>283</v>
      </c>
      <c r="U380">
        <v>1.5886560919005418E-2</v>
      </c>
      <c r="V380" t="s">
        <v>164</v>
      </c>
    </row>
    <row r="381" spans="9:22" x14ac:dyDescent="0.45">
      <c r="I381" t="s">
        <v>182</v>
      </c>
      <c r="J381" t="s">
        <v>284</v>
      </c>
      <c r="K381">
        <v>1.0882680896894365E-2</v>
      </c>
      <c r="L381" t="s">
        <v>164</v>
      </c>
      <c r="N381" t="s">
        <v>215</v>
      </c>
      <c r="O381" t="s">
        <v>284</v>
      </c>
      <c r="P381">
        <v>3.574257840434822E-3</v>
      </c>
      <c r="Q381" t="s">
        <v>164</v>
      </c>
      <c r="S381" t="s">
        <v>235</v>
      </c>
      <c r="T381" t="s">
        <v>284</v>
      </c>
      <c r="U381">
        <v>4.1168507506559931E-3</v>
      </c>
      <c r="V381" t="s">
        <v>164</v>
      </c>
    </row>
    <row r="382" spans="9:22" x14ac:dyDescent="0.45">
      <c r="I382" t="s">
        <v>182</v>
      </c>
      <c r="J382" t="s">
        <v>285</v>
      </c>
      <c r="K382">
        <v>6.7136557491631905E-3</v>
      </c>
      <c r="L382" t="s">
        <v>164</v>
      </c>
      <c r="N382" t="s">
        <v>215</v>
      </c>
      <c r="O382" t="s">
        <v>285</v>
      </c>
      <c r="P382">
        <v>2.945445997689872E-2</v>
      </c>
      <c r="Q382" t="s">
        <v>164</v>
      </c>
      <c r="S382" t="s">
        <v>235</v>
      </c>
      <c r="T382" t="s">
        <v>285</v>
      </c>
      <c r="U382">
        <v>2.9145651706864763E-2</v>
      </c>
      <c r="V382" t="s">
        <v>164</v>
      </c>
    </row>
    <row r="383" spans="9:22" x14ac:dyDescent="0.45">
      <c r="I383" t="s">
        <v>182</v>
      </c>
      <c r="J383" t="s">
        <v>286</v>
      </c>
      <c r="K383">
        <v>1.6378732754996937E-2</v>
      </c>
      <c r="L383" t="s">
        <v>164</v>
      </c>
      <c r="N383" t="s">
        <v>215</v>
      </c>
      <c r="O383" t="s">
        <v>286</v>
      </c>
      <c r="P383">
        <v>3.7684470590534258E-2</v>
      </c>
      <c r="Q383" t="s">
        <v>164</v>
      </c>
      <c r="S383" t="s">
        <v>235</v>
      </c>
      <c r="T383" t="s">
        <v>286</v>
      </c>
      <c r="U383">
        <v>3.6938804517531738E-2</v>
      </c>
      <c r="V383" t="s">
        <v>164</v>
      </c>
    </row>
    <row r="384" spans="9:22" x14ac:dyDescent="0.45">
      <c r="I384" t="s">
        <v>182</v>
      </c>
      <c r="J384" t="s">
        <v>287</v>
      </c>
      <c r="K384">
        <v>1.4898351164239012E-2</v>
      </c>
      <c r="L384" t="s">
        <v>164</v>
      </c>
      <c r="N384" t="s">
        <v>215</v>
      </c>
      <c r="O384" t="s">
        <v>287</v>
      </c>
      <c r="P384">
        <v>4.7582009507189668E-3</v>
      </c>
      <c r="Q384" t="s">
        <v>164</v>
      </c>
      <c r="S384" t="s">
        <v>235</v>
      </c>
      <c r="T384" t="s">
        <v>287</v>
      </c>
      <c r="U384">
        <v>2.3315851099324739E-3</v>
      </c>
      <c r="V384" t="s">
        <v>164</v>
      </c>
    </row>
    <row r="385" spans="9:22" x14ac:dyDescent="0.45">
      <c r="I385" t="s">
        <v>182</v>
      </c>
      <c r="J385" t="s">
        <v>288</v>
      </c>
      <c r="K385">
        <v>1.7857905310342186E-2</v>
      </c>
      <c r="L385" t="s">
        <v>164</v>
      </c>
      <c r="N385" t="s">
        <v>215</v>
      </c>
      <c r="O385" t="s">
        <v>288</v>
      </c>
      <c r="P385">
        <v>4.8767679075125232E-3</v>
      </c>
      <c r="Q385" t="s">
        <v>164</v>
      </c>
      <c r="S385" t="s">
        <v>235</v>
      </c>
      <c r="T385" t="s">
        <v>288</v>
      </c>
      <c r="U385">
        <v>2.4723203019621481E-3</v>
      </c>
      <c r="V385" t="s">
        <v>164</v>
      </c>
    </row>
    <row r="386" spans="9:22" x14ac:dyDescent="0.45">
      <c r="I386" t="s">
        <v>182</v>
      </c>
      <c r="J386" t="s">
        <v>289</v>
      </c>
      <c r="K386">
        <v>0.11051914021157014</v>
      </c>
      <c r="L386" t="s">
        <v>164</v>
      </c>
      <c r="N386" t="s">
        <v>215</v>
      </c>
      <c r="O386" t="s">
        <v>289</v>
      </c>
      <c r="P386">
        <v>2.5439408109423228E-2</v>
      </c>
      <c r="Q386" t="s">
        <v>164</v>
      </c>
      <c r="S386" t="s">
        <v>235</v>
      </c>
      <c r="T386" t="s">
        <v>289</v>
      </c>
      <c r="U386">
        <v>2.2668237613925474E-2</v>
      </c>
      <c r="V386" t="s">
        <v>164</v>
      </c>
    </row>
    <row r="387" spans="9:22" x14ac:dyDescent="0.45">
      <c r="I387" t="s">
        <v>182</v>
      </c>
      <c r="J387" t="s">
        <v>290</v>
      </c>
      <c r="K387">
        <v>1.0347759914818729E-2</v>
      </c>
      <c r="L387" t="s">
        <v>164</v>
      </c>
      <c r="N387" t="s">
        <v>215</v>
      </c>
      <c r="O387" t="s">
        <v>290</v>
      </c>
      <c r="P387">
        <v>7.6967147207144633E-3</v>
      </c>
      <c r="Q387" t="s">
        <v>164</v>
      </c>
      <c r="S387" t="s">
        <v>235</v>
      </c>
      <c r="T387" t="s">
        <v>290</v>
      </c>
      <c r="U387">
        <v>5.5954419639768502E-3</v>
      </c>
      <c r="V387" t="s">
        <v>164</v>
      </c>
    </row>
    <row r="388" spans="9:22" x14ac:dyDescent="0.45">
      <c r="I388" t="s">
        <v>182</v>
      </c>
      <c r="J388" t="s">
        <v>291</v>
      </c>
      <c r="K388">
        <v>6.3201294615855995E-3</v>
      </c>
      <c r="L388" t="s">
        <v>164</v>
      </c>
      <c r="N388" t="s">
        <v>215</v>
      </c>
      <c r="O388" t="s">
        <v>291</v>
      </c>
      <c r="P388">
        <v>5.3417988123249077E-2</v>
      </c>
      <c r="Q388" t="s">
        <v>164</v>
      </c>
      <c r="S388" t="s">
        <v>235</v>
      </c>
      <c r="T388" t="s">
        <v>291</v>
      </c>
      <c r="U388">
        <v>3.6632733865346087E-2</v>
      </c>
      <c r="V388" t="s">
        <v>164</v>
      </c>
    </row>
    <row r="389" spans="9:22" x14ac:dyDescent="0.45">
      <c r="I389" t="s">
        <v>182</v>
      </c>
      <c r="J389" t="s">
        <v>292</v>
      </c>
      <c r="K389">
        <v>5.0679156904832089E-3</v>
      </c>
      <c r="L389" t="s">
        <v>164</v>
      </c>
      <c r="N389" t="s">
        <v>215</v>
      </c>
      <c r="O389" t="s">
        <v>292</v>
      </c>
      <c r="P389">
        <v>2.5277182268625339E-2</v>
      </c>
      <c r="Q389" t="s">
        <v>164</v>
      </c>
      <c r="S389" t="s">
        <v>235</v>
      </c>
      <c r="T389" t="s">
        <v>292</v>
      </c>
      <c r="U389">
        <v>3.3590993162141314E-2</v>
      </c>
      <c r="V389" t="s">
        <v>164</v>
      </c>
    </row>
    <row r="390" spans="9:22" x14ac:dyDescent="0.45">
      <c r="I390" t="s">
        <v>182</v>
      </c>
      <c r="J390" t="s">
        <v>293</v>
      </c>
      <c r="K390">
        <v>5.9900293657536817E-3</v>
      </c>
      <c r="L390" t="s">
        <v>164</v>
      </c>
      <c r="N390" t="s">
        <v>215</v>
      </c>
      <c r="O390" t="s">
        <v>293</v>
      </c>
      <c r="P390">
        <v>3.7292939275519969E-3</v>
      </c>
      <c r="Q390" t="s">
        <v>164</v>
      </c>
      <c r="S390" t="s">
        <v>235</v>
      </c>
      <c r="T390" t="s">
        <v>293</v>
      </c>
      <c r="U390">
        <v>3.0000983474334068E-3</v>
      </c>
      <c r="V390" t="s">
        <v>164</v>
      </c>
    </row>
    <row r="391" spans="9:22" x14ac:dyDescent="0.45">
      <c r="I391" t="s">
        <v>182</v>
      </c>
      <c r="J391" t="s">
        <v>294</v>
      </c>
      <c r="K391">
        <v>7.698048183933404E-3</v>
      </c>
      <c r="L391" t="s">
        <v>164</v>
      </c>
      <c r="N391" t="s">
        <v>215</v>
      </c>
      <c r="O391" t="s">
        <v>294</v>
      </c>
      <c r="P391">
        <v>3.9950010179115609E-3</v>
      </c>
      <c r="Q391" t="s">
        <v>164</v>
      </c>
      <c r="S391" t="s">
        <v>235</v>
      </c>
      <c r="T391" t="s">
        <v>294</v>
      </c>
      <c r="U391">
        <v>3.0217219359480714E-3</v>
      </c>
      <c r="V391" t="s">
        <v>164</v>
      </c>
    </row>
    <row r="392" spans="9:22" x14ac:dyDescent="0.45">
      <c r="I392" t="s">
        <v>182</v>
      </c>
      <c r="J392" t="s">
        <v>295</v>
      </c>
      <c r="K392">
        <v>4.9098382729065686E-2</v>
      </c>
      <c r="L392" t="s">
        <v>164</v>
      </c>
      <c r="N392" t="s">
        <v>215</v>
      </c>
      <c r="O392" t="s">
        <v>295</v>
      </c>
      <c r="P392">
        <v>2.4597321341025519E-2</v>
      </c>
      <c r="Q392" t="s">
        <v>164</v>
      </c>
      <c r="S392" t="s">
        <v>235</v>
      </c>
      <c r="T392" t="s">
        <v>295</v>
      </c>
      <c r="U392">
        <v>2.2953169016103184E-2</v>
      </c>
      <c r="V392" t="s">
        <v>164</v>
      </c>
    </row>
    <row r="393" spans="9:22" x14ac:dyDescent="0.45">
      <c r="I393" t="s">
        <v>182</v>
      </c>
      <c r="J393" t="s">
        <v>296</v>
      </c>
      <c r="K393">
        <v>5.1118263946060005E-3</v>
      </c>
      <c r="L393" t="s">
        <v>164</v>
      </c>
      <c r="N393" t="s">
        <v>215</v>
      </c>
      <c r="O393" t="s">
        <v>296</v>
      </c>
      <c r="P393">
        <v>4.0962983193726802E-3</v>
      </c>
      <c r="Q393" t="s">
        <v>164</v>
      </c>
      <c r="S393" t="s">
        <v>235</v>
      </c>
      <c r="T393" t="s">
        <v>296</v>
      </c>
      <c r="U393">
        <v>4.7522654239820581E-3</v>
      </c>
      <c r="V393" t="s">
        <v>164</v>
      </c>
    </row>
    <row r="394" spans="9:22" x14ac:dyDescent="0.45">
      <c r="I394" t="s">
        <v>182</v>
      </c>
      <c r="J394" t="s">
        <v>297</v>
      </c>
      <c r="K394">
        <v>3.2271007447900622E-3</v>
      </c>
      <c r="L394" t="s">
        <v>164</v>
      </c>
      <c r="N394" t="s">
        <v>215</v>
      </c>
      <c r="O394" t="s">
        <v>297</v>
      </c>
      <c r="P394">
        <v>2.6256097833236385E-2</v>
      </c>
      <c r="Q394" t="s">
        <v>164</v>
      </c>
      <c r="S394" t="s">
        <v>235</v>
      </c>
      <c r="T394" t="s">
        <v>297</v>
      </c>
      <c r="U394">
        <v>2.9599457899041025E-2</v>
      </c>
      <c r="V394" t="s">
        <v>164</v>
      </c>
    </row>
    <row r="395" spans="9:22" x14ac:dyDescent="0.45">
      <c r="I395" t="s">
        <v>183</v>
      </c>
      <c r="J395" t="s">
        <v>163</v>
      </c>
      <c r="K395">
        <v>1.0194249514763071E-2</v>
      </c>
      <c r="L395" t="s">
        <v>164</v>
      </c>
      <c r="N395" t="s">
        <v>216</v>
      </c>
      <c r="O395" t="s">
        <v>163</v>
      </c>
      <c r="P395">
        <v>3.2153148120200911E-2</v>
      </c>
      <c r="Q395" t="s">
        <v>164</v>
      </c>
      <c r="S395" t="s">
        <v>236</v>
      </c>
      <c r="T395" t="s">
        <v>163</v>
      </c>
      <c r="U395">
        <v>4.301968797378624E-2</v>
      </c>
      <c r="V395" t="s">
        <v>164</v>
      </c>
    </row>
    <row r="396" spans="9:22" x14ac:dyDescent="0.45">
      <c r="I396" t="s">
        <v>183</v>
      </c>
      <c r="J396" t="s">
        <v>165</v>
      </c>
      <c r="K396">
        <v>8.259283249359874E-3</v>
      </c>
      <c r="L396" t="s">
        <v>164</v>
      </c>
      <c r="N396" t="s">
        <v>216</v>
      </c>
      <c r="O396" t="s">
        <v>165</v>
      </c>
      <c r="P396">
        <v>3.3859849986855326E-3</v>
      </c>
      <c r="Q396" t="s">
        <v>164</v>
      </c>
      <c r="S396" t="s">
        <v>236</v>
      </c>
      <c r="T396" t="s">
        <v>165</v>
      </c>
      <c r="U396">
        <v>3.3688934655872497E-3</v>
      </c>
      <c r="V396" t="s">
        <v>164</v>
      </c>
    </row>
    <row r="397" spans="9:22" x14ac:dyDescent="0.45">
      <c r="I397" t="s">
        <v>183</v>
      </c>
      <c r="J397" t="s">
        <v>166</v>
      </c>
      <c r="K397">
        <v>9.2278535228169957E-3</v>
      </c>
      <c r="L397" t="s">
        <v>164</v>
      </c>
      <c r="N397" t="s">
        <v>216</v>
      </c>
      <c r="O397" t="s">
        <v>166</v>
      </c>
      <c r="P397">
        <v>3.691079382187221E-3</v>
      </c>
      <c r="Q397" t="s">
        <v>164</v>
      </c>
      <c r="S397" t="s">
        <v>236</v>
      </c>
      <c r="T397" t="s">
        <v>166</v>
      </c>
      <c r="U397">
        <v>3.2629743555812039E-3</v>
      </c>
      <c r="V397" t="s">
        <v>164</v>
      </c>
    </row>
    <row r="398" spans="9:22" x14ac:dyDescent="0.45">
      <c r="I398" t="s">
        <v>183</v>
      </c>
      <c r="J398" t="s">
        <v>262</v>
      </c>
      <c r="K398">
        <v>5.4238419312879732E-2</v>
      </c>
      <c r="L398" t="s">
        <v>164</v>
      </c>
      <c r="N398" t="s">
        <v>216</v>
      </c>
      <c r="O398" t="s">
        <v>262</v>
      </c>
      <c r="P398">
        <v>2.1003142313538708E-2</v>
      </c>
      <c r="Q398" t="s">
        <v>164</v>
      </c>
      <c r="S398" t="s">
        <v>236</v>
      </c>
      <c r="T398" t="s">
        <v>262</v>
      </c>
      <c r="U398">
        <v>2.8032169418142801E-2</v>
      </c>
      <c r="V398" t="s">
        <v>164</v>
      </c>
    </row>
    <row r="399" spans="9:22" x14ac:dyDescent="0.45">
      <c r="I399" t="s">
        <v>183</v>
      </c>
      <c r="J399" t="s">
        <v>263</v>
      </c>
      <c r="K399">
        <v>5.9192255841052461E-3</v>
      </c>
      <c r="L399" t="s">
        <v>164</v>
      </c>
      <c r="N399" t="s">
        <v>216</v>
      </c>
      <c r="O399" t="s">
        <v>263</v>
      </c>
      <c r="P399">
        <v>3.6632054704386569E-3</v>
      </c>
      <c r="Q399" t="s">
        <v>164</v>
      </c>
      <c r="S399" t="s">
        <v>236</v>
      </c>
      <c r="T399" t="s">
        <v>263</v>
      </c>
      <c r="U399">
        <v>6.0102328107336563E-3</v>
      </c>
      <c r="V399" t="s">
        <v>164</v>
      </c>
    </row>
    <row r="400" spans="9:22" x14ac:dyDescent="0.45">
      <c r="I400" t="s">
        <v>183</v>
      </c>
      <c r="J400" t="s">
        <v>264</v>
      </c>
      <c r="K400">
        <v>1.7904028371048674E-3</v>
      </c>
      <c r="L400" t="s">
        <v>164</v>
      </c>
      <c r="N400" t="s">
        <v>216</v>
      </c>
      <c r="O400" t="s">
        <v>264</v>
      </c>
      <c r="P400">
        <v>2.5237922756744816E-2</v>
      </c>
      <c r="Q400" t="s">
        <v>164</v>
      </c>
      <c r="S400" t="s">
        <v>236</v>
      </c>
      <c r="T400" t="s">
        <v>264</v>
      </c>
      <c r="U400">
        <v>4.133021716311501E-2</v>
      </c>
      <c r="V400" t="s">
        <v>164</v>
      </c>
    </row>
    <row r="401" spans="9:22" x14ac:dyDescent="0.45">
      <c r="I401" t="s">
        <v>183</v>
      </c>
      <c r="J401" t="s">
        <v>167</v>
      </c>
      <c r="K401">
        <v>9.2710221174403876E-3</v>
      </c>
      <c r="L401" t="s">
        <v>164</v>
      </c>
      <c r="N401" t="s">
        <v>216</v>
      </c>
      <c r="O401" t="s">
        <v>167</v>
      </c>
      <c r="P401">
        <v>4.0376375881924713E-2</v>
      </c>
      <c r="Q401" t="s">
        <v>164</v>
      </c>
      <c r="S401" t="s">
        <v>236</v>
      </c>
      <c r="T401" t="s">
        <v>167</v>
      </c>
      <c r="U401">
        <v>4.7073124831026887E-2</v>
      </c>
      <c r="V401" t="s">
        <v>164</v>
      </c>
    </row>
    <row r="402" spans="9:22" x14ac:dyDescent="0.45">
      <c r="I402" t="s">
        <v>183</v>
      </c>
      <c r="J402" t="s">
        <v>168</v>
      </c>
      <c r="K402">
        <v>7.4935258452248008E-3</v>
      </c>
      <c r="L402" t="s">
        <v>164</v>
      </c>
      <c r="N402" t="s">
        <v>216</v>
      </c>
      <c r="O402" t="s">
        <v>168</v>
      </c>
      <c r="P402">
        <v>4.7364773429101328E-3</v>
      </c>
      <c r="Q402" t="s">
        <v>164</v>
      </c>
      <c r="S402" t="s">
        <v>236</v>
      </c>
      <c r="T402" t="s">
        <v>168</v>
      </c>
      <c r="U402">
        <v>3.583066536217391E-3</v>
      </c>
      <c r="V402" t="s">
        <v>164</v>
      </c>
    </row>
    <row r="403" spans="9:22" x14ac:dyDescent="0.45">
      <c r="I403" t="s">
        <v>183</v>
      </c>
      <c r="J403" t="s">
        <v>169</v>
      </c>
      <c r="K403">
        <v>8.4461777847228345E-3</v>
      </c>
      <c r="L403" t="s">
        <v>164</v>
      </c>
      <c r="N403" t="s">
        <v>216</v>
      </c>
      <c r="O403" t="s">
        <v>169</v>
      </c>
      <c r="P403">
        <v>5.1244948322313865E-3</v>
      </c>
      <c r="Q403" t="s">
        <v>164</v>
      </c>
      <c r="S403" t="s">
        <v>236</v>
      </c>
      <c r="T403" t="s">
        <v>169</v>
      </c>
      <c r="U403">
        <v>3.6781411093025442E-3</v>
      </c>
      <c r="V403" t="s">
        <v>164</v>
      </c>
    </row>
    <row r="404" spans="9:22" x14ac:dyDescent="0.45">
      <c r="I404" t="s">
        <v>183</v>
      </c>
      <c r="J404" t="s">
        <v>265</v>
      </c>
      <c r="K404">
        <v>5.0838621311112525E-2</v>
      </c>
      <c r="L404" t="s">
        <v>164</v>
      </c>
      <c r="N404" t="s">
        <v>216</v>
      </c>
      <c r="O404" t="s">
        <v>265</v>
      </c>
      <c r="P404">
        <v>2.7481096790255746E-2</v>
      </c>
      <c r="Q404" t="s">
        <v>164</v>
      </c>
      <c r="S404" t="s">
        <v>236</v>
      </c>
      <c r="T404" t="s">
        <v>265</v>
      </c>
      <c r="U404">
        <v>3.359842265192451E-2</v>
      </c>
      <c r="V404" t="s">
        <v>164</v>
      </c>
    </row>
    <row r="405" spans="9:22" x14ac:dyDescent="0.45">
      <c r="I405" t="s">
        <v>183</v>
      </c>
      <c r="J405" t="s">
        <v>266</v>
      </c>
      <c r="K405">
        <v>5.7138872411023082E-3</v>
      </c>
      <c r="L405" t="s">
        <v>164</v>
      </c>
      <c r="N405" t="s">
        <v>216</v>
      </c>
      <c r="O405" t="s">
        <v>266</v>
      </c>
      <c r="P405">
        <v>4.7579334520338745E-3</v>
      </c>
      <c r="Q405" t="s">
        <v>164</v>
      </c>
      <c r="S405" t="s">
        <v>236</v>
      </c>
      <c r="T405" t="s">
        <v>266</v>
      </c>
      <c r="U405">
        <v>6.261213519975709E-3</v>
      </c>
      <c r="V405" t="s">
        <v>164</v>
      </c>
    </row>
    <row r="406" spans="9:22" x14ac:dyDescent="0.45">
      <c r="I406" t="s">
        <v>183</v>
      </c>
      <c r="J406" t="s">
        <v>267</v>
      </c>
      <c r="K406">
        <v>3.6067403686845202E-3</v>
      </c>
      <c r="L406" t="s">
        <v>164</v>
      </c>
      <c r="N406" t="s">
        <v>216</v>
      </c>
      <c r="O406" t="s">
        <v>267</v>
      </c>
      <c r="P406">
        <v>2.9358415170852203E-2</v>
      </c>
      <c r="Q406" t="s">
        <v>164</v>
      </c>
      <c r="S406" t="s">
        <v>236</v>
      </c>
      <c r="T406" t="s">
        <v>267</v>
      </c>
      <c r="U406">
        <v>4.1682360043501968E-2</v>
      </c>
      <c r="V406" t="s">
        <v>164</v>
      </c>
    </row>
    <row r="407" spans="9:22" x14ac:dyDescent="0.45">
      <c r="I407" t="s">
        <v>183</v>
      </c>
      <c r="J407" t="s">
        <v>170</v>
      </c>
      <c r="K407">
        <v>8.3236997496370264E-3</v>
      </c>
      <c r="L407" t="s">
        <v>164</v>
      </c>
      <c r="N407" t="s">
        <v>216</v>
      </c>
      <c r="O407" t="s">
        <v>170</v>
      </c>
      <c r="P407">
        <v>4.5168897015286209E-2</v>
      </c>
      <c r="Q407" t="s">
        <v>164</v>
      </c>
      <c r="S407" t="s">
        <v>236</v>
      </c>
      <c r="T407" t="s">
        <v>170</v>
      </c>
      <c r="U407">
        <v>4.5244774138684621E-2</v>
      </c>
      <c r="V407" t="s">
        <v>164</v>
      </c>
    </row>
    <row r="408" spans="9:22" x14ac:dyDescent="0.45">
      <c r="I408" t="s">
        <v>183</v>
      </c>
      <c r="J408" t="s">
        <v>171</v>
      </c>
      <c r="K408">
        <v>7.0468636948221464E-3</v>
      </c>
      <c r="L408" t="s">
        <v>164</v>
      </c>
      <c r="N408" t="s">
        <v>216</v>
      </c>
      <c r="O408" t="s">
        <v>171</v>
      </c>
      <c r="P408">
        <v>5.9133991255893789E-3</v>
      </c>
      <c r="Q408" t="s">
        <v>164</v>
      </c>
      <c r="S408" t="s">
        <v>236</v>
      </c>
      <c r="T408" t="s">
        <v>171</v>
      </c>
      <c r="U408">
        <v>2.7613260833378932E-3</v>
      </c>
      <c r="V408" t="s">
        <v>164</v>
      </c>
    </row>
    <row r="409" spans="9:22" x14ac:dyDescent="0.45">
      <c r="I409" t="s">
        <v>183</v>
      </c>
      <c r="J409" t="s">
        <v>172</v>
      </c>
      <c r="K409">
        <v>8.3478644368612694E-3</v>
      </c>
      <c r="L409" t="s">
        <v>164</v>
      </c>
      <c r="N409" t="s">
        <v>216</v>
      </c>
      <c r="O409" t="s">
        <v>172</v>
      </c>
      <c r="P409">
        <v>6.3275928304214017E-3</v>
      </c>
      <c r="Q409" t="s">
        <v>164</v>
      </c>
      <c r="S409" t="s">
        <v>236</v>
      </c>
      <c r="T409" t="s">
        <v>172</v>
      </c>
      <c r="U409">
        <v>2.9434866923100369E-3</v>
      </c>
      <c r="V409" t="s">
        <v>164</v>
      </c>
    </row>
    <row r="410" spans="9:22" x14ac:dyDescent="0.45">
      <c r="I410" t="s">
        <v>183</v>
      </c>
      <c r="J410" t="s">
        <v>268</v>
      </c>
      <c r="K410">
        <v>5.1813720081671427E-2</v>
      </c>
      <c r="L410" t="s">
        <v>164</v>
      </c>
      <c r="N410" t="s">
        <v>216</v>
      </c>
      <c r="O410" t="s">
        <v>268</v>
      </c>
      <c r="P410">
        <v>3.664032516031826E-2</v>
      </c>
      <c r="Q410" t="s">
        <v>164</v>
      </c>
      <c r="S410" t="s">
        <v>236</v>
      </c>
      <c r="T410" t="s">
        <v>268</v>
      </c>
      <c r="U410">
        <v>3.2157401182125164E-2</v>
      </c>
      <c r="V410" t="s">
        <v>164</v>
      </c>
    </row>
    <row r="411" spans="9:22" x14ac:dyDescent="0.45">
      <c r="I411" t="s">
        <v>183</v>
      </c>
      <c r="J411" t="s">
        <v>269</v>
      </c>
      <c r="K411">
        <v>4.9200147238314647E-3</v>
      </c>
      <c r="L411" t="s">
        <v>164</v>
      </c>
      <c r="N411" t="s">
        <v>216</v>
      </c>
      <c r="O411" t="s">
        <v>269</v>
      </c>
      <c r="P411">
        <v>7.1940920222922028E-3</v>
      </c>
      <c r="Q411" t="s">
        <v>164</v>
      </c>
      <c r="S411" t="s">
        <v>236</v>
      </c>
      <c r="T411" t="s">
        <v>269</v>
      </c>
      <c r="U411">
        <v>7.2132150043961885E-3</v>
      </c>
      <c r="V411" t="s">
        <v>164</v>
      </c>
    </row>
    <row r="412" spans="9:22" x14ac:dyDescent="0.45">
      <c r="I412" t="s">
        <v>183</v>
      </c>
      <c r="J412" t="s">
        <v>270</v>
      </c>
      <c r="K412">
        <v>2.63066121626966E-3</v>
      </c>
      <c r="L412" t="s">
        <v>164</v>
      </c>
      <c r="N412" t="s">
        <v>216</v>
      </c>
      <c r="O412" t="s">
        <v>270</v>
      </c>
      <c r="P412">
        <v>4.2018802066699432E-2</v>
      </c>
      <c r="Q412" t="s">
        <v>164</v>
      </c>
      <c r="S412" t="s">
        <v>236</v>
      </c>
      <c r="T412" t="s">
        <v>270</v>
      </c>
      <c r="U412">
        <v>4.7863921937162789E-2</v>
      </c>
      <c r="V412" t="s">
        <v>164</v>
      </c>
    </row>
    <row r="413" spans="9:22" x14ac:dyDescent="0.45">
      <c r="I413" t="s">
        <v>183</v>
      </c>
      <c r="J413" t="s">
        <v>173</v>
      </c>
      <c r="K413">
        <v>2.0199032745200681E-2</v>
      </c>
      <c r="L413" t="s">
        <v>164</v>
      </c>
      <c r="N413" t="s">
        <v>216</v>
      </c>
      <c r="O413" t="s">
        <v>173</v>
      </c>
      <c r="P413">
        <v>7.1109616415023613E-2</v>
      </c>
      <c r="Q413" t="s">
        <v>164</v>
      </c>
      <c r="S413" t="s">
        <v>236</v>
      </c>
      <c r="T413" t="s">
        <v>173</v>
      </c>
      <c r="U413">
        <v>5.7092643759645699E-2</v>
      </c>
      <c r="V413" t="s">
        <v>164</v>
      </c>
    </row>
    <row r="414" spans="9:22" x14ac:dyDescent="0.45">
      <c r="I414" t="s">
        <v>183</v>
      </c>
      <c r="J414" t="s">
        <v>174</v>
      </c>
      <c r="K414">
        <v>1.4010520702041587E-2</v>
      </c>
      <c r="L414" t="s">
        <v>164</v>
      </c>
      <c r="N414" t="s">
        <v>216</v>
      </c>
      <c r="O414" t="s">
        <v>174</v>
      </c>
      <c r="P414">
        <v>8.0172656064886657E-3</v>
      </c>
      <c r="Q414" t="s">
        <v>164</v>
      </c>
      <c r="S414" t="s">
        <v>236</v>
      </c>
      <c r="T414" t="s">
        <v>174</v>
      </c>
      <c r="U414">
        <v>2.1591628964887704E-3</v>
      </c>
      <c r="V414" t="s">
        <v>164</v>
      </c>
    </row>
    <row r="415" spans="9:22" x14ac:dyDescent="0.45">
      <c r="I415" t="s">
        <v>183</v>
      </c>
      <c r="J415" t="s">
        <v>175</v>
      </c>
      <c r="K415">
        <v>1.639326815012894E-2</v>
      </c>
      <c r="L415" t="s">
        <v>164</v>
      </c>
      <c r="N415" t="s">
        <v>216</v>
      </c>
      <c r="O415" t="s">
        <v>175</v>
      </c>
      <c r="P415">
        <v>8.4044681797982388E-3</v>
      </c>
      <c r="Q415" t="s">
        <v>164</v>
      </c>
      <c r="S415" t="s">
        <v>236</v>
      </c>
      <c r="T415" t="s">
        <v>175</v>
      </c>
      <c r="U415">
        <v>2.4254680010944644E-3</v>
      </c>
      <c r="V415" t="s">
        <v>164</v>
      </c>
    </row>
    <row r="416" spans="9:22" x14ac:dyDescent="0.45">
      <c r="I416" t="s">
        <v>183</v>
      </c>
      <c r="J416" t="s">
        <v>271</v>
      </c>
      <c r="K416">
        <v>9.7927913843184181E-2</v>
      </c>
      <c r="L416" t="s">
        <v>164</v>
      </c>
      <c r="N416" t="s">
        <v>216</v>
      </c>
      <c r="O416" t="s">
        <v>271</v>
      </c>
      <c r="P416">
        <v>5.3567312270388613E-2</v>
      </c>
      <c r="Q416" t="s">
        <v>164</v>
      </c>
      <c r="S416" t="s">
        <v>236</v>
      </c>
      <c r="T416" t="s">
        <v>271</v>
      </c>
      <c r="U416">
        <v>3.7436219089011583E-2</v>
      </c>
      <c r="V416" t="s">
        <v>164</v>
      </c>
    </row>
    <row r="417" spans="9:22" x14ac:dyDescent="0.45">
      <c r="I417" t="s">
        <v>183</v>
      </c>
      <c r="J417" t="s">
        <v>272</v>
      </c>
      <c r="K417">
        <v>8.317104498965909E-3</v>
      </c>
      <c r="L417" t="s">
        <v>164</v>
      </c>
      <c r="N417" t="s">
        <v>216</v>
      </c>
      <c r="O417" t="s">
        <v>272</v>
      </c>
      <c r="P417">
        <v>1.0537866283528969E-2</v>
      </c>
      <c r="Q417" t="s">
        <v>164</v>
      </c>
      <c r="S417" t="s">
        <v>236</v>
      </c>
      <c r="T417" t="s">
        <v>272</v>
      </c>
      <c r="U417">
        <v>1.0009999003334352E-2</v>
      </c>
      <c r="V417" t="s">
        <v>164</v>
      </c>
    </row>
    <row r="418" spans="9:22" x14ac:dyDescent="0.45">
      <c r="I418" t="s">
        <v>183</v>
      </c>
      <c r="J418" t="s">
        <v>273</v>
      </c>
      <c r="K418">
        <v>4.4544649244436414E-3</v>
      </c>
      <c r="L418" t="s">
        <v>164</v>
      </c>
      <c r="N418" t="s">
        <v>216</v>
      </c>
      <c r="O418" t="s">
        <v>273</v>
      </c>
      <c r="P418">
        <v>6.1961027988376223E-2</v>
      </c>
      <c r="Q418" t="s">
        <v>164</v>
      </c>
      <c r="S418" t="s">
        <v>236</v>
      </c>
      <c r="T418" t="s">
        <v>273</v>
      </c>
      <c r="U418">
        <v>7.1196029253892582E-2</v>
      </c>
      <c r="V418" t="s">
        <v>164</v>
      </c>
    </row>
    <row r="419" spans="9:22" x14ac:dyDescent="0.45">
      <c r="I419" t="s">
        <v>183</v>
      </c>
      <c r="J419" t="s">
        <v>274</v>
      </c>
      <c r="K419">
        <v>2.2156686894358776E-2</v>
      </c>
      <c r="L419" t="s">
        <v>164</v>
      </c>
      <c r="N419" t="s">
        <v>216</v>
      </c>
      <c r="O419" t="s">
        <v>274</v>
      </c>
      <c r="P419">
        <v>4.9906819485751139E-2</v>
      </c>
      <c r="Q419" t="s">
        <v>164</v>
      </c>
      <c r="S419" t="s">
        <v>236</v>
      </c>
      <c r="T419" t="s">
        <v>274</v>
      </c>
      <c r="U419">
        <v>4.4186961466609186E-2</v>
      </c>
      <c r="V419" t="s">
        <v>164</v>
      </c>
    </row>
    <row r="420" spans="9:22" x14ac:dyDescent="0.45">
      <c r="I420" t="s">
        <v>183</v>
      </c>
      <c r="J420" t="s">
        <v>275</v>
      </c>
      <c r="K420">
        <v>1.4295401524291561E-2</v>
      </c>
      <c r="L420" t="s">
        <v>164</v>
      </c>
      <c r="N420" t="s">
        <v>216</v>
      </c>
      <c r="O420" t="s">
        <v>275</v>
      </c>
      <c r="P420">
        <v>4.3891098398071496E-3</v>
      </c>
      <c r="Q420" t="s">
        <v>164</v>
      </c>
      <c r="S420" t="s">
        <v>236</v>
      </c>
      <c r="T420" t="s">
        <v>275</v>
      </c>
      <c r="U420">
        <v>2.0255907551053509E-3</v>
      </c>
      <c r="V420" t="s">
        <v>164</v>
      </c>
    </row>
    <row r="421" spans="9:22" x14ac:dyDescent="0.45">
      <c r="I421" t="s">
        <v>183</v>
      </c>
      <c r="J421" t="s">
        <v>276</v>
      </c>
      <c r="K421">
        <v>1.6471120696656561E-2</v>
      </c>
      <c r="L421" t="s">
        <v>164</v>
      </c>
      <c r="N421" t="s">
        <v>216</v>
      </c>
      <c r="O421" t="s">
        <v>276</v>
      </c>
      <c r="P421">
        <v>4.4596981241719156E-3</v>
      </c>
      <c r="Q421" t="s">
        <v>164</v>
      </c>
      <c r="S421" t="s">
        <v>236</v>
      </c>
      <c r="T421" t="s">
        <v>276</v>
      </c>
      <c r="U421">
        <v>2.0029440734049136E-3</v>
      </c>
      <c r="V421" t="s">
        <v>164</v>
      </c>
    </row>
    <row r="422" spans="9:22" x14ac:dyDescent="0.45">
      <c r="I422" t="s">
        <v>183</v>
      </c>
      <c r="J422" t="s">
        <v>277</v>
      </c>
      <c r="K422">
        <v>0.10017013057123966</v>
      </c>
      <c r="L422" t="s">
        <v>164</v>
      </c>
      <c r="N422" t="s">
        <v>216</v>
      </c>
      <c r="O422" t="s">
        <v>277</v>
      </c>
      <c r="P422">
        <v>2.9341220679250449E-2</v>
      </c>
      <c r="Q422" t="s">
        <v>164</v>
      </c>
      <c r="S422" t="s">
        <v>236</v>
      </c>
      <c r="T422" t="s">
        <v>277</v>
      </c>
      <c r="U422">
        <v>2.5872109475426123E-2</v>
      </c>
      <c r="V422" t="s">
        <v>164</v>
      </c>
    </row>
    <row r="423" spans="9:22" x14ac:dyDescent="0.45">
      <c r="I423" t="s">
        <v>183</v>
      </c>
      <c r="J423" t="s">
        <v>278</v>
      </c>
      <c r="K423">
        <v>9.5348168168360118E-3</v>
      </c>
      <c r="L423" t="s">
        <v>164</v>
      </c>
      <c r="N423" t="s">
        <v>216</v>
      </c>
      <c r="O423" t="s">
        <v>278</v>
      </c>
      <c r="P423">
        <v>6.578928601255086E-3</v>
      </c>
      <c r="Q423" t="s">
        <v>164</v>
      </c>
      <c r="S423" t="s">
        <v>236</v>
      </c>
      <c r="T423" t="s">
        <v>278</v>
      </c>
      <c r="U423">
        <v>7.6758200767530448E-3</v>
      </c>
      <c r="V423" t="s">
        <v>164</v>
      </c>
    </row>
    <row r="424" spans="9:22" x14ac:dyDescent="0.45">
      <c r="I424" t="s">
        <v>183</v>
      </c>
      <c r="J424" t="s">
        <v>279</v>
      </c>
      <c r="K424">
        <v>5.5357809548450656E-3</v>
      </c>
      <c r="L424" t="s">
        <v>164</v>
      </c>
      <c r="N424" t="s">
        <v>216</v>
      </c>
      <c r="O424" t="s">
        <v>279</v>
      </c>
      <c r="P424">
        <v>4.2580953133134924E-2</v>
      </c>
      <c r="Q424" t="s">
        <v>164</v>
      </c>
      <c r="S424" t="s">
        <v>236</v>
      </c>
      <c r="T424" t="s">
        <v>279</v>
      </c>
      <c r="U424">
        <v>5.712452349743001E-2</v>
      </c>
      <c r="V424" t="s">
        <v>164</v>
      </c>
    </row>
    <row r="425" spans="9:22" x14ac:dyDescent="0.45">
      <c r="I425" t="s">
        <v>183</v>
      </c>
      <c r="J425" t="s">
        <v>280</v>
      </c>
      <c r="K425">
        <v>2.0776792039387461E-2</v>
      </c>
      <c r="L425" t="s">
        <v>164</v>
      </c>
      <c r="N425" t="s">
        <v>216</v>
      </c>
      <c r="O425" t="s">
        <v>280</v>
      </c>
      <c r="P425">
        <v>2.9055612159756883E-2</v>
      </c>
      <c r="Q425" t="s">
        <v>164</v>
      </c>
      <c r="S425" t="s">
        <v>236</v>
      </c>
      <c r="T425" t="s">
        <v>280</v>
      </c>
      <c r="U425">
        <v>2.1076481878382083E-2</v>
      </c>
      <c r="V425" t="s">
        <v>164</v>
      </c>
    </row>
    <row r="426" spans="9:22" x14ac:dyDescent="0.45">
      <c r="I426" t="s">
        <v>183</v>
      </c>
      <c r="J426" t="s">
        <v>281</v>
      </c>
      <c r="K426">
        <v>1.5257156930137109E-2</v>
      </c>
      <c r="L426" t="s">
        <v>164</v>
      </c>
      <c r="N426" t="s">
        <v>216</v>
      </c>
      <c r="O426" t="s">
        <v>281</v>
      </c>
      <c r="P426">
        <v>2.4188805091426759E-3</v>
      </c>
      <c r="Q426" t="s">
        <v>164</v>
      </c>
      <c r="S426" t="s">
        <v>236</v>
      </c>
      <c r="T426" t="s">
        <v>281</v>
      </c>
      <c r="U426">
        <v>1.3690123052116413E-3</v>
      </c>
      <c r="V426" t="s">
        <v>164</v>
      </c>
    </row>
    <row r="427" spans="9:22" x14ac:dyDescent="0.45">
      <c r="I427" t="s">
        <v>183</v>
      </c>
      <c r="J427" t="s">
        <v>282</v>
      </c>
      <c r="K427">
        <v>1.7378162579798136E-2</v>
      </c>
      <c r="L427" t="s">
        <v>164</v>
      </c>
      <c r="N427" t="s">
        <v>216</v>
      </c>
      <c r="O427" t="s">
        <v>282</v>
      </c>
      <c r="P427">
        <v>2.4850230608612326E-3</v>
      </c>
      <c r="Q427" t="s">
        <v>164</v>
      </c>
      <c r="S427" t="s">
        <v>236</v>
      </c>
      <c r="T427" t="s">
        <v>282</v>
      </c>
      <c r="U427">
        <v>1.1452007736737471E-3</v>
      </c>
      <c r="V427" t="s">
        <v>164</v>
      </c>
    </row>
    <row r="428" spans="9:22" x14ac:dyDescent="0.45">
      <c r="I428" t="s">
        <v>183</v>
      </c>
      <c r="J428" t="s">
        <v>283</v>
      </c>
      <c r="K428">
        <v>0.10291302024925217</v>
      </c>
      <c r="L428" t="s">
        <v>164</v>
      </c>
      <c r="N428" t="s">
        <v>216</v>
      </c>
      <c r="O428" t="s">
        <v>283</v>
      </c>
      <c r="P428">
        <v>1.7170443624287914E-2</v>
      </c>
      <c r="Q428" t="s">
        <v>164</v>
      </c>
      <c r="S428" t="s">
        <v>236</v>
      </c>
      <c r="T428" t="s">
        <v>283</v>
      </c>
      <c r="U428">
        <v>9.6740561184197032E-3</v>
      </c>
      <c r="V428" t="s">
        <v>164</v>
      </c>
    </row>
    <row r="429" spans="9:22" x14ac:dyDescent="0.45">
      <c r="I429" t="s">
        <v>183</v>
      </c>
      <c r="J429" t="s">
        <v>284</v>
      </c>
      <c r="K429">
        <v>9.017262621930814E-3</v>
      </c>
      <c r="L429" t="s">
        <v>164</v>
      </c>
      <c r="N429" t="s">
        <v>216</v>
      </c>
      <c r="O429" t="s">
        <v>284</v>
      </c>
      <c r="P429">
        <v>4.0773385753561158E-3</v>
      </c>
      <c r="Q429" t="s">
        <v>164</v>
      </c>
      <c r="S429" t="s">
        <v>236</v>
      </c>
      <c r="T429" t="s">
        <v>284</v>
      </c>
      <c r="U429">
        <v>3.964871626825254E-3</v>
      </c>
      <c r="V429" t="s">
        <v>164</v>
      </c>
    </row>
    <row r="430" spans="9:22" x14ac:dyDescent="0.45">
      <c r="I430" t="s">
        <v>183</v>
      </c>
      <c r="J430" t="s">
        <v>285</v>
      </c>
      <c r="K430">
        <v>4.5699087110757748E-3</v>
      </c>
      <c r="L430" t="s">
        <v>164</v>
      </c>
      <c r="N430" t="s">
        <v>216</v>
      </c>
      <c r="O430" t="s">
        <v>285</v>
      </c>
      <c r="P430">
        <v>2.9967588746642588E-2</v>
      </c>
      <c r="Q430" t="s">
        <v>164</v>
      </c>
      <c r="S430" t="s">
        <v>236</v>
      </c>
      <c r="T430" t="s">
        <v>285</v>
      </c>
      <c r="U430">
        <v>2.8332465795450876E-2</v>
      </c>
      <c r="V430" t="s">
        <v>164</v>
      </c>
    </row>
    <row r="431" spans="9:22" x14ac:dyDescent="0.45">
      <c r="I431" t="s">
        <v>183</v>
      </c>
      <c r="J431" t="s">
        <v>286</v>
      </c>
      <c r="K431">
        <v>2.0794020326423347E-2</v>
      </c>
      <c r="L431" t="s">
        <v>164</v>
      </c>
      <c r="N431" t="s">
        <v>216</v>
      </c>
      <c r="O431" t="s">
        <v>286</v>
      </c>
      <c r="P431">
        <v>4.3501554902385962E-2</v>
      </c>
      <c r="Q431" t="s">
        <v>164</v>
      </c>
      <c r="S431" t="s">
        <v>236</v>
      </c>
      <c r="T431" t="s">
        <v>286</v>
      </c>
      <c r="U431">
        <v>3.7678100990909957E-2</v>
      </c>
      <c r="V431" t="s">
        <v>164</v>
      </c>
    </row>
    <row r="432" spans="9:22" x14ac:dyDescent="0.45">
      <c r="I432" t="s">
        <v>183</v>
      </c>
      <c r="J432" t="s">
        <v>287</v>
      </c>
      <c r="K432">
        <v>1.5528972588125507E-2</v>
      </c>
      <c r="L432" t="s">
        <v>164</v>
      </c>
      <c r="N432" t="s">
        <v>216</v>
      </c>
      <c r="O432" t="s">
        <v>287</v>
      </c>
      <c r="P432">
        <v>4.0500305494448451E-3</v>
      </c>
      <c r="Q432" t="s">
        <v>164</v>
      </c>
      <c r="S432" t="s">
        <v>236</v>
      </c>
      <c r="T432" t="s">
        <v>287</v>
      </c>
      <c r="U432">
        <v>1.9390140533529431E-3</v>
      </c>
      <c r="V432" t="s">
        <v>164</v>
      </c>
    </row>
    <row r="433" spans="9:22" x14ac:dyDescent="0.45">
      <c r="I433" t="s">
        <v>183</v>
      </c>
      <c r="J433" t="s">
        <v>288</v>
      </c>
      <c r="K433">
        <v>1.7268819850601101E-2</v>
      </c>
      <c r="L433" t="s">
        <v>164</v>
      </c>
      <c r="N433" t="s">
        <v>216</v>
      </c>
      <c r="O433" t="s">
        <v>288</v>
      </c>
      <c r="P433">
        <v>4.0874212092384225E-3</v>
      </c>
      <c r="Q433" t="s">
        <v>164</v>
      </c>
      <c r="S433" t="s">
        <v>236</v>
      </c>
      <c r="T433" t="s">
        <v>288</v>
      </c>
      <c r="U433">
        <v>1.7751054212158477E-3</v>
      </c>
      <c r="V433" t="s">
        <v>164</v>
      </c>
    </row>
    <row r="434" spans="9:22" x14ac:dyDescent="0.45">
      <c r="I434" t="s">
        <v>183</v>
      </c>
      <c r="J434" t="s">
        <v>289</v>
      </c>
      <c r="K434">
        <v>9.8338510745643024E-2</v>
      </c>
      <c r="L434" t="s">
        <v>164</v>
      </c>
      <c r="N434" t="s">
        <v>216</v>
      </c>
      <c r="O434" t="s">
        <v>289</v>
      </c>
      <c r="P434">
        <v>2.5772782701353858E-2</v>
      </c>
      <c r="Q434" t="s">
        <v>164</v>
      </c>
      <c r="S434" t="s">
        <v>236</v>
      </c>
      <c r="T434" t="s">
        <v>289</v>
      </c>
      <c r="U434">
        <v>2.0062861823003264E-2</v>
      </c>
      <c r="V434" t="s">
        <v>164</v>
      </c>
    </row>
    <row r="435" spans="9:22" x14ac:dyDescent="0.45">
      <c r="I435" t="s">
        <v>183</v>
      </c>
      <c r="J435" t="s">
        <v>290</v>
      </c>
      <c r="K435">
        <v>7.8450551683430462E-3</v>
      </c>
      <c r="L435" t="s">
        <v>164</v>
      </c>
      <c r="N435" t="s">
        <v>216</v>
      </c>
      <c r="O435" t="s">
        <v>290</v>
      </c>
      <c r="P435">
        <v>6.0796487140094618E-3</v>
      </c>
      <c r="Q435" t="s">
        <v>164</v>
      </c>
      <c r="S435" t="s">
        <v>236</v>
      </c>
      <c r="T435" t="s">
        <v>290</v>
      </c>
      <c r="U435">
        <v>6.4971738770238929E-3</v>
      </c>
      <c r="V435" t="s">
        <v>164</v>
      </c>
    </row>
    <row r="436" spans="9:22" x14ac:dyDescent="0.45">
      <c r="I436" t="s">
        <v>183</v>
      </c>
      <c r="J436" t="s">
        <v>291</v>
      </c>
      <c r="K436">
        <v>3.4295906110396997E-5</v>
      </c>
      <c r="L436" t="s">
        <v>164</v>
      </c>
      <c r="N436" t="s">
        <v>216</v>
      </c>
      <c r="O436" t="s">
        <v>291</v>
      </c>
      <c r="P436">
        <v>4.2481271217593812E-2</v>
      </c>
      <c r="Q436" t="s">
        <v>164</v>
      </c>
      <c r="S436" t="s">
        <v>236</v>
      </c>
      <c r="T436" t="s">
        <v>291</v>
      </c>
      <c r="U436">
        <v>4.7095553422347676E-2</v>
      </c>
      <c r="V436" t="s">
        <v>164</v>
      </c>
    </row>
    <row r="437" spans="9:22" x14ac:dyDescent="0.45">
      <c r="I437" t="s">
        <v>183</v>
      </c>
      <c r="J437" t="s">
        <v>292</v>
      </c>
      <c r="K437">
        <v>1.0051163502686618E-2</v>
      </c>
      <c r="L437" t="s">
        <v>164</v>
      </c>
      <c r="N437" t="s">
        <v>216</v>
      </c>
      <c r="O437" t="s">
        <v>292</v>
      </c>
      <c r="P437">
        <v>3.368895696714358E-2</v>
      </c>
      <c r="Q437" t="s">
        <v>164</v>
      </c>
      <c r="S437" t="s">
        <v>236</v>
      </c>
      <c r="T437" t="s">
        <v>292</v>
      </c>
      <c r="U437">
        <v>3.3596249155383416E-2</v>
      </c>
      <c r="V437" t="s">
        <v>164</v>
      </c>
    </row>
    <row r="438" spans="9:22" x14ac:dyDescent="0.45">
      <c r="I438" t="s">
        <v>183</v>
      </c>
      <c r="J438" t="s">
        <v>293</v>
      </c>
      <c r="K438">
        <v>7.9662787296672782E-3</v>
      </c>
      <c r="L438" t="s">
        <v>164</v>
      </c>
      <c r="N438" t="s">
        <v>216</v>
      </c>
      <c r="O438" t="s">
        <v>293</v>
      </c>
      <c r="P438">
        <v>3.3210098523402979E-3</v>
      </c>
      <c r="Q438" t="s">
        <v>164</v>
      </c>
      <c r="S438" t="s">
        <v>236</v>
      </c>
      <c r="T438" t="s">
        <v>293</v>
      </c>
      <c r="U438">
        <v>2.6181576458558248E-3</v>
      </c>
      <c r="V438" t="s">
        <v>164</v>
      </c>
    </row>
    <row r="439" spans="9:22" x14ac:dyDescent="0.45">
      <c r="I439" t="s">
        <v>183</v>
      </c>
      <c r="J439" t="s">
        <v>294</v>
      </c>
      <c r="K439">
        <v>8.8331951362400664E-3</v>
      </c>
      <c r="L439" t="s">
        <v>164</v>
      </c>
      <c r="N439" t="s">
        <v>216</v>
      </c>
      <c r="O439" t="s">
        <v>294</v>
      </c>
      <c r="P439">
        <v>3.6575272329443034E-3</v>
      </c>
      <c r="Q439" t="s">
        <v>164</v>
      </c>
      <c r="S439" t="s">
        <v>236</v>
      </c>
      <c r="T439" t="s">
        <v>294</v>
      </c>
      <c r="U439">
        <v>2.4613651189300772E-3</v>
      </c>
      <c r="V439" t="s">
        <v>164</v>
      </c>
    </row>
    <row r="440" spans="9:22" x14ac:dyDescent="0.45">
      <c r="I440" t="s">
        <v>183</v>
      </c>
      <c r="J440" t="s">
        <v>295</v>
      </c>
      <c r="K440">
        <v>5.1101145969687498E-2</v>
      </c>
      <c r="L440" t="s">
        <v>164</v>
      </c>
      <c r="N440" t="s">
        <v>216</v>
      </c>
      <c r="O440" t="s">
        <v>295</v>
      </c>
      <c r="P440">
        <v>2.2338267124113038E-2</v>
      </c>
      <c r="Q440" t="s">
        <v>164</v>
      </c>
      <c r="S440" t="s">
        <v>236</v>
      </c>
      <c r="T440" t="s">
        <v>295</v>
      </c>
      <c r="U440">
        <v>2.1826439523703455E-2</v>
      </c>
      <c r="V440" t="s">
        <v>164</v>
      </c>
    </row>
    <row r="441" spans="9:22" x14ac:dyDescent="0.45">
      <c r="I441" t="s">
        <v>183</v>
      </c>
      <c r="J441" t="s">
        <v>296</v>
      </c>
      <c r="K441">
        <v>4.7777640302881941E-3</v>
      </c>
      <c r="L441" t="s">
        <v>164</v>
      </c>
      <c r="N441" t="s">
        <v>216</v>
      </c>
      <c r="O441" t="s">
        <v>296</v>
      </c>
      <c r="P441">
        <v>3.9647661527282422E-3</v>
      </c>
      <c r="Q441" t="s">
        <v>164</v>
      </c>
      <c r="S441" t="s">
        <v>236</v>
      </c>
      <c r="T441" t="s">
        <v>296</v>
      </c>
      <c r="U441">
        <v>5.2244992778426843E-3</v>
      </c>
      <c r="V441" t="s">
        <v>164</v>
      </c>
    </row>
    <row r="442" spans="9:22" x14ac:dyDescent="0.45">
      <c r="I442" t="s">
        <v>183</v>
      </c>
      <c r="J442" t="s">
        <v>297</v>
      </c>
      <c r="K442">
        <v>0</v>
      </c>
      <c r="L442" t="s">
        <v>164</v>
      </c>
      <c r="N442" t="s">
        <v>216</v>
      </c>
      <c r="O442" t="s">
        <v>297</v>
      </c>
      <c r="P442">
        <v>2.6795205361070724E-2</v>
      </c>
      <c r="Q442" t="s">
        <v>164</v>
      </c>
      <c r="S442" t="s">
        <v>236</v>
      </c>
      <c r="T442" t="s">
        <v>297</v>
      </c>
      <c r="U442">
        <v>3.5371290927357427E-2</v>
      </c>
      <c r="V442" t="s">
        <v>164</v>
      </c>
    </row>
    <row r="443" spans="9:22" x14ac:dyDescent="0.45">
      <c r="I443" t="s">
        <v>184</v>
      </c>
      <c r="J443" t="s">
        <v>163</v>
      </c>
      <c r="K443">
        <v>9.2944589766332311E-3</v>
      </c>
      <c r="L443" t="s">
        <v>164</v>
      </c>
      <c r="N443" t="s">
        <v>217</v>
      </c>
      <c r="O443" t="s">
        <v>163</v>
      </c>
      <c r="P443">
        <v>3.5049437704685625E-2</v>
      </c>
      <c r="Q443" t="s">
        <v>164</v>
      </c>
      <c r="S443" t="s">
        <v>237</v>
      </c>
      <c r="T443" t="s">
        <v>163</v>
      </c>
      <c r="U443">
        <v>4.8218203170780488E-2</v>
      </c>
      <c r="V443" t="s">
        <v>164</v>
      </c>
    </row>
    <row r="444" spans="9:22" x14ac:dyDescent="0.45">
      <c r="I444" t="s">
        <v>184</v>
      </c>
      <c r="J444" t="s">
        <v>165</v>
      </c>
      <c r="K444">
        <v>9.1217914706323931E-3</v>
      </c>
      <c r="L444" t="s">
        <v>164</v>
      </c>
      <c r="N444" t="s">
        <v>217</v>
      </c>
      <c r="O444" t="s">
        <v>165</v>
      </c>
      <c r="P444">
        <v>3.6188221529769248E-3</v>
      </c>
      <c r="Q444" t="s">
        <v>164</v>
      </c>
      <c r="S444" t="s">
        <v>237</v>
      </c>
      <c r="T444" t="s">
        <v>165</v>
      </c>
      <c r="U444">
        <v>4.7806010580244114E-3</v>
      </c>
      <c r="V444" t="s">
        <v>164</v>
      </c>
    </row>
    <row r="445" spans="9:22" x14ac:dyDescent="0.45">
      <c r="I445" t="s">
        <v>184</v>
      </c>
      <c r="J445" t="s">
        <v>166</v>
      </c>
      <c r="K445">
        <v>1.0542125183141154E-2</v>
      </c>
      <c r="L445" t="s">
        <v>164</v>
      </c>
      <c r="N445" t="s">
        <v>217</v>
      </c>
      <c r="O445" t="s">
        <v>166</v>
      </c>
      <c r="P445">
        <v>3.7455434174323097E-3</v>
      </c>
      <c r="Q445" t="s">
        <v>164</v>
      </c>
      <c r="S445" t="s">
        <v>237</v>
      </c>
      <c r="T445" t="s">
        <v>166</v>
      </c>
      <c r="U445">
        <v>4.7292418512474461E-3</v>
      </c>
      <c r="V445" t="s">
        <v>164</v>
      </c>
    </row>
    <row r="446" spans="9:22" x14ac:dyDescent="0.45">
      <c r="I446" t="s">
        <v>184</v>
      </c>
      <c r="J446" t="s">
        <v>262</v>
      </c>
      <c r="K446">
        <v>5.3223888231364452E-2</v>
      </c>
      <c r="L446" t="s">
        <v>164</v>
      </c>
      <c r="N446" t="s">
        <v>217</v>
      </c>
      <c r="O446" t="s">
        <v>262</v>
      </c>
      <c r="P446">
        <v>2.568298471725073E-2</v>
      </c>
      <c r="Q446" t="s">
        <v>164</v>
      </c>
      <c r="S446" t="s">
        <v>237</v>
      </c>
      <c r="T446" t="s">
        <v>262</v>
      </c>
      <c r="U446">
        <v>2.6017169262857597E-2</v>
      </c>
      <c r="V446" t="s">
        <v>164</v>
      </c>
    </row>
    <row r="447" spans="9:22" x14ac:dyDescent="0.45">
      <c r="I447" t="s">
        <v>184</v>
      </c>
      <c r="J447" t="s">
        <v>263</v>
      </c>
      <c r="K447">
        <v>5.0099688844870774E-3</v>
      </c>
      <c r="L447" t="s">
        <v>164</v>
      </c>
      <c r="N447" t="s">
        <v>217</v>
      </c>
      <c r="O447" t="s">
        <v>263</v>
      </c>
      <c r="P447">
        <v>4.892071017447752E-3</v>
      </c>
      <c r="Q447" t="s">
        <v>164</v>
      </c>
      <c r="S447" t="s">
        <v>237</v>
      </c>
      <c r="T447" t="s">
        <v>263</v>
      </c>
      <c r="U447">
        <v>4.2194740117908539E-3</v>
      </c>
      <c r="V447" t="s">
        <v>164</v>
      </c>
    </row>
    <row r="448" spans="9:22" x14ac:dyDescent="0.45">
      <c r="I448" t="s">
        <v>184</v>
      </c>
      <c r="J448" t="s">
        <v>264</v>
      </c>
      <c r="K448">
        <v>1.0344115562802541E-3</v>
      </c>
      <c r="L448" t="s">
        <v>164</v>
      </c>
      <c r="N448" t="s">
        <v>217</v>
      </c>
      <c r="O448" t="s">
        <v>264</v>
      </c>
      <c r="P448">
        <v>2.909989505611469E-2</v>
      </c>
      <c r="Q448" t="s">
        <v>164</v>
      </c>
      <c r="S448" t="s">
        <v>237</v>
      </c>
      <c r="T448" t="s">
        <v>264</v>
      </c>
      <c r="U448">
        <v>3.0769547306865871E-2</v>
      </c>
      <c r="V448" t="s">
        <v>164</v>
      </c>
    </row>
    <row r="449" spans="9:22" x14ac:dyDescent="0.45">
      <c r="I449" t="s">
        <v>184</v>
      </c>
      <c r="J449" t="s">
        <v>167</v>
      </c>
      <c r="K449">
        <v>7.9883727821521543E-3</v>
      </c>
      <c r="L449" t="s">
        <v>164</v>
      </c>
      <c r="N449" t="s">
        <v>217</v>
      </c>
      <c r="O449" t="s">
        <v>167</v>
      </c>
      <c r="P449">
        <v>3.8354455402664883E-2</v>
      </c>
      <c r="Q449" t="s">
        <v>164</v>
      </c>
      <c r="S449" t="s">
        <v>237</v>
      </c>
      <c r="T449" t="s">
        <v>167</v>
      </c>
      <c r="U449">
        <v>4.1497568265926411E-2</v>
      </c>
      <c r="V449" t="s">
        <v>164</v>
      </c>
    </row>
    <row r="450" spans="9:22" x14ac:dyDescent="0.45">
      <c r="I450" t="s">
        <v>184</v>
      </c>
      <c r="J450" t="s">
        <v>168</v>
      </c>
      <c r="K450">
        <v>7.8728182808919071E-3</v>
      </c>
      <c r="L450" t="s">
        <v>164</v>
      </c>
      <c r="N450" t="s">
        <v>217</v>
      </c>
      <c r="O450" t="s">
        <v>168</v>
      </c>
      <c r="P450">
        <v>3.8503667347758162E-3</v>
      </c>
      <c r="Q450" t="s">
        <v>164</v>
      </c>
      <c r="S450" t="s">
        <v>237</v>
      </c>
      <c r="T450" t="s">
        <v>168</v>
      </c>
      <c r="U450">
        <v>3.8120995146068678E-3</v>
      </c>
      <c r="V450" t="s">
        <v>164</v>
      </c>
    </row>
    <row r="451" spans="9:22" x14ac:dyDescent="0.45">
      <c r="I451" t="s">
        <v>184</v>
      </c>
      <c r="J451" t="s">
        <v>169</v>
      </c>
      <c r="K451">
        <v>9.5179715906511687E-3</v>
      </c>
      <c r="L451" t="s">
        <v>164</v>
      </c>
      <c r="N451" t="s">
        <v>217</v>
      </c>
      <c r="O451" t="s">
        <v>169</v>
      </c>
      <c r="P451">
        <v>4.0016861757471121E-3</v>
      </c>
      <c r="Q451" t="s">
        <v>164</v>
      </c>
      <c r="S451" t="s">
        <v>237</v>
      </c>
      <c r="T451" t="s">
        <v>169</v>
      </c>
      <c r="U451">
        <v>3.7648598178411921E-3</v>
      </c>
      <c r="V451" t="s">
        <v>164</v>
      </c>
    </row>
    <row r="452" spans="9:22" x14ac:dyDescent="0.45">
      <c r="I452" t="s">
        <v>184</v>
      </c>
      <c r="J452" t="s">
        <v>265</v>
      </c>
      <c r="K452">
        <v>5.1113079545115417E-2</v>
      </c>
      <c r="L452" t="s">
        <v>164</v>
      </c>
      <c r="N452" t="s">
        <v>217</v>
      </c>
      <c r="O452" t="s">
        <v>265</v>
      </c>
      <c r="P452">
        <v>2.7249138985104483E-2</v>
      </c>
      <c r="Q452" t="s">
        <v>164</v>
      </c>
      <c r="S452" t="s">
        <v>237</v>
      </c>
      <c r="T452" t="s">
        <v>265</v>
      </c>
      <c r="U452">
        <v>1.9128022009490306E-2</v>
      </c>
      <c r="V452" t="s">
        <v>164</v>
      </c>
    </row>
    <row r="453" spans="9:22" x14ac:dyDescent="0.45">
      <c r="I453" t="s">
        <v>184</v>
      </c>
      <c r="J453" t="s">
        <v>266</v>
      </c>
      <c r="K453">
        <v>4.9569750234433859E-3</v>
      </c>
      <c r="L453" t="s">
        <v>164</v>
      </c>
      <c r="N453" t="s">
        <v>217</v>
      </c>
      <c r="O453" t="s">
        <v>266</v>
      </c>
      <c r="P453">
        <v>4.9168716733387057E-3</v>
      </c>
      <c r="Q453" t="s">
        <v>164</v>
      </c>
      <c r="S453" t="s">
        <v>237</v>
      </c>
      <c r="T453" t="s">
        <v>266</v>
      </c>
      <c r="U453">
        <v>3.0107149702209876E-3</v>
      </c>
      <c r="V453" t="s">
        <v>164</v>
      </c>
    </row>
    <row r="454" spans="9:22" x14ac:dyDescent="0.45">
      <c r="I454" t="s">
        <v>184</v>
      </c>
      <c r="J454" t="s">
        <v>267</v>
      </c>
      <c r="K454">
        <v>3.715944732383005E-3</v>
      </c>
      <c r="L454" t="s">
        <v>164</v>
      </c>
      <c r="N454" t="s">
        <v>217</v>
      </c>
      <c r="O454" t="s">
        <v>267</v>
      </c>
      <c r="P454">
        <v>2.9495680616344024E-2</v>
      </c>
      <c r="Q454" t="s">
        <v>164</v>
      </c>
      <c r="S454" t="s">
        <v>237</v>
      </c>
      <c r="T454" t="s">
        <v>267</v>
      </c>
      <c r="U454">
        <v>2.3446625432653637E-2</v>
      </c>
      <c r="V454" t="s">
        <v>164</v>
      </c>
    </row>
    <row r="455" spans="9:22" x14ac:dyDescent="0.45">
      <c r="I455" t="s">
        <v>184</v>
      </c>
      <c r="J455" t="s">
        <v>170</v>
      </c>
      <c r="K455">
        <v>7.0900902212199636E-3</v>
      </c>
      <c r="L455" t="s">
        <v>164</v>
      </c>
      <c r="N455" t="s">
        <v>217</v>
      </c>
      <c r="O455" t="s">
        <v>170</v>
      </c>
      <c r="P455">
        <v>4.5100463778238425E-2</v>
      </c>
      <c r="Q455" t="s">
        <v>164</v>
      </c>
      <c r="S455" t="s">
        <v>237</v>
      </c>
      <c r="T455" t="s">
        <v>170</v>
      </c>
      <c r="U455">
        <v>2.065398057556932E-2</v>
      </c>
      <c r="V455" t="s">
        <v>164</v>
      </c>
    </row>
    <row r="456" spans="9:22" x14ac:dyDescent="0.45">
      <c r="I456" t="s">
        <v>184</v>
      </c>
      <c r="J456" t="s">
        <v>171</v>
      </c>
      <c r="K456">
        <v>7.2534439910616373E-3</v>
      </c>
      <c r="L456" t="s">
        <v>164</v>
      </c>
      <c r="N456" t="s">
        <v>217</v>
      </c>
      <c r="O456" t="s">
        <v>171</v>
      </c>
      <c r="P456">
        <v>4.3191209205510304E-3</v>
      </c>
      <c r="Q456" t="s">
        <v>164</v>
      </c>
      <c r="S456" t="s">
        <v>237</v>
      </c>
      <c r="T456" t="s">
        <v>171</v>
      </c>
      <c r="U456">
        <v>2.2528664721395298E-3</v>
      </c>
      <c r="V456" t="s">
        <v>164</v>
      </c>
    </row>
    <row r="457" spans="9:22" x14ac:dyDescent="0.45">
      <c r="I457" t="s">
        <v>184</v>
      </c>
      <c r="J457" t="s">
        <v>172</v>
      </c>
      <c r="K457">
        <v>9.2003969127064048E-3</v>
      </c>
      <c r="L457" t="s">
        <v>164</v>
      </c>
      <c r="N457" t="s">
        <v>217</v>
      </c>
      <c r="O457" t="s">
        <v>172</v>
      </c>
      <c r="P457">
        <v>4.5060911731408474E-3</v>
      </c>
      <c r="Q457" t="s">
        <v>164</v>
      </c>
      <c r="S457" t="s">
        <v>237</v>
      </c>
      <c r="T457" t="s">
        <v>172</v>
      </c>
      <c r="U457">
        <v>2.1853108039194299E-3</v>
      </c>
      <c r="V457" t="s">
        <v>164</v>
      </c>
    </row>
    <row r="458" spans="9:22" x14ac:dyDescent="0.45">
      <c r="I458" t="s">
        <v>184</v>
      </c>
      <c r="J458" t="s">
        <v>268</v>
      </c>
      <c r="K458">
        <v>5.1871375789688395E-2</v>
      </c>
      <c r="L458" t="s">
        <v>164</v>
      </c>
      <c r="N458" t="s">
        <v>217</v>
      </c>
      <c r="O458" t="s">
        <v>268</v>
      </c>
      <c r="P458">
        <v>3.178881656978013E-2</v>
      </c>
      <c r="Q458" t="s">
        <v>164</v>
      </c>
      <c r="S458" t="s">
        <v>237</v>
      </c>
      <c r="T458" t="s">
        <v>268</v>
      </c>
      <c r="U458">
        <v>1.0695839589505854E-2</v>
      </c>
      <c r="V458" t="s">
        <v>164</v>
      </c>
    </row>
    <row r="459" spans="9:22" x14ac:dyDescent="0.45">
      <c r="I459" t="s">
        <v>184</v>
      </c>
      <c r="J459" t="s">
        <v>269</v>
      </c>
      <c r="K459">
        <v>4.160296208169937E-3</v>
      </c>
      <c r="L459" t="s">
        <v>164</v>
      </c>
      <c r="N459" t="s">
        <v>217</v>
      </c>
      <c r="O459" t="s">
        <v>269</v>
      </c>
      <c r="P459">
        <v>6.0645148045016528E-3</v>
      </c>
      <c r="Q459" t="s">
        <v>164</v>
      </c>
      <c r="S459" t="s">
        <v>237</v>
      </c>
      <c r="T459" t="s">
        <v>269</v>
      </c>
      <c r="U459">
        <v>1.7151336631732383E-3</v>
      </c>
      <c r="V459" t="s">
        <v>164</v>
      </c>
    </row>
    <row r="460" spans="9:22" x14ac:dyDescent="0.45">
      <c r="I460" t="s">
        <v>184</v>
      </c>
      <c r="J460" t="s">
        <v>270</v>
      </c>
      <c r="K460">
        <v>2.2029435511329255E-3</v>
      </c>
      <c r="L460" t="s">
        <v>164</v>
      </c>
      <c r="N460" t="s">
        <v>217</v>
      </c>
      <c r="O460" t="s">
        <v>270</v>
      </c>
      <c r="P460">
        <v>3.6983955882440446E-2</v>
      </c>
      <c r="Q460" t="s">
        <v>164</v>
      </c>
      <c r="S460" t="s">
        <v>237</v>
      </c>
      <c r="T460" t="s">
        <v>270</v>
      </c>
      <c r="U460">
        <v>1.348420459973099E-2</v>
      </c>
      <c r="V460" t="s">
        <v>164</v>
      </c>
    </row>
    <row r="461" spans="9:22" x14ac:dyDescent="0.45">
      <c r="I461" t="s">
        <v>184</v>
      </c>
      <c r="J461" t="s">
        <v>173</v>
      </c>
      <c r="K461">
        <v>1.7068714115953943E-2</v>
      </c>
      <c r="L461" t="s">
        <v>164</v>
      </c>
      <c r="N461" t="s">
        <v>217</v>
      </c>
      <c r="O461" t="s">
        <v>173</v>
      </c>
      <c r="P461">
        <v>6.8564272087055234E-2</v>
      </c>
      <c r="Q461" t="s">
        <v>164</v>
      </c>
      <c r="S461" t="s">
        <v>237</v>
      </c>
      <c r="T461" t="s">
        <v>173</v>
      </c>
      <c r="U461">
        <v>6.8743927270069505E-2</v>
      </c>
      <c r="V461" t="s">
        <v>164</v>
      </c>
    </row>
    <row r="462" spans="9:22" x14ac:dyDescent="0.45">
      <c r="I462" t="s">
        <v>184</v>
      </c>
      <c r="J462" t="s">
        <v>174</v>
      </c>
      <c r="K462">
        <v>1.4156296010703173E-2</v>
      </c>
      <c r="L462" t="s">
        <v>164</v>
      </c>
      <c r="N462" t="s">
        <v>217</v>
      </c>
      <c r="O462" t="s">
        <v>174</v>
      </c>
      <c r="P462">
        <v>5.7068403260901084E-3</v>
      </c>
      <c r="Q462" t="s">
        <v>164</v>
      </c>
      <c r="S462" t="s">
        <v>237</v>
      </c>
      <c r="T462" t="s">
        <v>174</v>
      </c>
      <c r="U462">
        <v>6.5264796037861235E-3</v>
      </c>
      <c r="V462" t="s">
        <v>164</v>
      </c>
    </row>
    <row r="463" spans="9:22" x14ac:dyDescent="0.45">
      <c r="I463" t="s">
        <v>184</v>
      </c>
      <c r="J463" t="s">
        <v>175</v>
      </c>
      <c r="K463">
        <v>1.6618461979649456E-2</v>
      </c>
      <c r="L463" t="s">
        <v>164</v>
      </c>
      <c r="N463" t="s">
        <v>217</v>
      </c>
      <c r="O463" t="s">
        <v>175</v>
      </c>
      <c r="P463">
        <v>5.9683901509105727E-3</v>
      </c>
      <c r="Q463" t="s">
        <v>164</v>
      </c>
      <c r="S463" t="s">
        <v>237</v>
      </c>
      <c r="T463" t="s">
        <v>175</v>
      </c>
      <c r="U463">
        <v>6.2955188898643506E-3</v>
      </c>
      <c r="V463" t="s">
        <v>164</v>
      </c>
    </row>
    <row r="464" spans="9:22" x14ac:dyDescent="0.45">
      <c r="I464" t="s">
        <v>184</v>
      </c>
      <c r="J464" t="s">
        <v>271</v>
      </c>
      <c r="K464">
        <v>9.2377776965618219E-2</v>
      </c>
      <c r="L464" t="s">
        <v>164</v>
      </c>
      <c r="N464" t="s">
        <v>217</v>
      </c>
      <c r="O464" t="s">
        <v>271</v>
      </c>
      <c r="P464">
        <v>4.5556135881895617E-2</v>
      </c>
      <c r="Q464" t="s">
        <v>164</v>
      </c>
      <c r="S464" t="s">
        <v>237</v>
      </c>
      <c r="T464" t="s">
        <v>271</v>
      </c>
      <c r="U464">
        <v>3.3664750796975756E-2</v>
      </c>
      <c r="V464" t="s">
        <v>164</v>
      </c>
    </row>
    <row r="465" spans="9:22" x14ac:dyDescent="0.45">
      <c r="I465" t="s">
        <v>184</v>
      </c>
      <c r="J465" t="s">
        <v>272</v>
      </c>
      <c r="K465">
        <v>6.2400166600440647E-3</v>
      </c>
      <c r="L465" t="s">
        <v>164</v>
      </c>
      <c r="N465" t="s">
        <v>217</v>
      </c>
      <c r="O465" t="s">
        <v>272</v>
      </c>
      <c r="P465">
        <v>9.3840654122083859E-3</v>
      </c>
      <c r="Q465" t="s">
        <v>164</v>
      </c>
      <c r="S465" t="s">
        <v>237</v>
      </c>
      <c r="T465" t="s">
        <v>272</v>
      </c>
      <c r="U465">
        <v>6.0195881760406666E-3</v>
      </c>
      <c r="V465" t="s">
        <v>164</v>
      </c>
    </row>
    <row r="466" spans="9:22" x14ac:dyDescent="0.45">
      <c r="I466" t="s">
        <v>184</v>
      </c>
      <c r="J466" t="s">
        <v>273</v>
      </c>
      <c r="K466">
        <v>3.0552923611561343E-3</v>
      </c>
      <c r="L466" t="s">
        <v>164</v>
      </c>
      <c r="N466" t="s">
        <v>217</v>
      </c>
      <c r="O466" t="s">
        <v>273</v>
      </c>
      <c r="P466">
        <v>6.0015093207408089E-2</v>
      </c>
      <c r="Q466" t="s">
        <v>164</v>
      </c>
      <c r="S466" t="s">
        <v>237</v>
      </c>
      <c r="T466" t="s">
        <v>273</v>
      </c>
      <c r="U466">
        <v>4.8434430883343316E-2</v>
      </c>
      <c r="V466" t="s">
        <v>164</v>
      </c>
    </row>
    <row r="467" spans="9:22" x14ac:dyDescent="0.45">
      <c r="I467" t="s">
        <v>184</v>
      </c>
      <c r="J467" t="s">
        <v>274</v>
      </c>
      <c r="K467">
        <v>1.918535928720928E-2</v>
      </c>
      <c r="L467" t="s">
        <v>164</v>
      </c>
      <c r="N467" t="s">
        <v>217</v>
      </c>
      <c r="O467" t="s">
        <v>274</v>
      </c>
      <c r="P467">
        <v>5.4686221673277732E-2</v>
      </c>
      <c r="Q467" t="s">
        <v>164</v>
      </c>
      <c r="S467" t="s">
        <v>237</v>
      </c>
      <c r="T467" t="s">
        <v>274</v>
      </c>
      <c r="U467">
        <v>7.8828467133486804E-2</v>
      </c>
      <c r="V467" t="s">
        <v>164</v>
      </c>
    </row>
    <row r="468" spans="9:22" x14ac:dyDescent="0.45">
      <c r="I468" t="s">
        <v>184</v>
      </c>
      <c r="J468" t="s">
        <v>275</v>
      </c>
      <c r="K468">
        <v>1.3855352145663668E-2</v>
      </c>
      <c r="L468" t="s">
        <v>164</v>
      </c>
      <c r="N468" t="s">
        <v>217</v>
      </c>
      <c r="O468" t="s">
        <v>275</v>
      </c>
      <c r="P468">
        <v>4.1623765585771851E-3</v>
      </c>
      <c r="Q468" t="s">
        <v>164</v>
      </c>
      <c r="S468" t="s">
        <v>237</v>
      </c>
      <c r="T468" t="s">
        <v>275</v>
      </c>
      <c r="U468">
        <v>7.3658274180299198E-3</v>
      </c>
      <c r="V468" t="s">
        <v>164</v>
      </c>
    </row>
    <row r="469" spans="9:22" x14ac:dyDescent="0.45">
      <c r="I469" t="s">
        <v>184</v>
      </c>
      <c r="J469" t="s">
        <v>276</v>
      </c>
      <c r="K469">
        <v>1.6362383745449648E-2</v>
      </c>
      <c r="L469" t="s">
        <v>164</v>
      </c>
      <c r="N469" t="s">
        <v>217</v>
      </c>
      <c r="O469" t="s">
        <v>276</v>
      </c>
      <c r="P469">
        <v>4.3141456363805144E-3</v>
      </c>
      <c r="Q469" t="s">
        <v>164</v>
      </c>
      <c r="S469" t="s">
        <v>237</v>
      </c>
      <c r="T469" t="s">
        <v>276</v>
      </c>
      <c r="U469">
        <v>7.3169836975162305E-3</v>
      </c>
      <c r="V469" t="s">
        <v>164</v>
      </c>
    </row>
    <row r="470" spans="9:22" x14ac:dyDescent="0.45">
      <c r="I470" t="s">
        <v>184</v>
      </c>
      <c r="J470" t="s">
        <v>277</v>
      </c>
      <c r="K470">
        <v>9.8859910750533811E-2</v>
      </c>
      <c r="L470" t="s">
        <v>164</v>
      </c>
      <c r="N470" t="s">
        <v>217</v>
      </c>
      <c r="O470" t="s">
        <v>277</v>
      </c>
      <c r="P470">
        <v>3.3964622114125299E-2</v>
      </c>
      <c r="Q470" t="s">
        <v>164</v>
      </c>
      <c r="S470" t="s">
        <v>237</v>
      </c>
      <c r="T470" t="s">
        <v>277</v>
      </c>
      <c r="U470">
        <v>3.8779314381043789E-2</v>
      </c>
      <c r="V470" t="s">
        <v>164</v>
      </c>
    </row>
    <row r="471" spans="9:22" x14ac:dyDescent="0.45">
      <c r="I471" t="s">
        <v>184</v>
      </c>
      <c r="J471" t="s">
        <v>278</v>
      </c>
      <c r="K471">
        <v>8.4759242511282685E-3</v>
      </c>
      <c r="L471" t="s">
        <v>164</v>
      </c>
      <c r="N471" t="s">
        <v>217</v>
      </c>
      <c r="O471" t="s">
        <v>278</v>
      </c>
      <c r="P471">
        <v>7.5829446313554847E-3</v>
      </c>
      <c r="Q471" t="s">
        <v>164</v>
      </c>
      <c r="S471" t="s">
        <v>237</v>
      </c>
      <c r="T471" t="s">
        <v>278</v>
      </c>
      <c r="U471">
        <v>6.8623478923535769E-3</v>
      </c>
      <c r="V471" t="s">
        <v>164</v>
      </c>
    </row>
    <row r="472" spans="9:22" x14ac:dyDescent="0.45">
      <c r="I472" t="s">
        <v>184</v>
      </c>
      <c r="J472" t="s">
        <v>279</v>
      </c>
      <c r="K472">
        <v>4.8039811285876775E-3</v>
      </c>
      <c r="L472" t="s">
        <v>164</v>
      </c>
      <c r="N472" t="s">
        <v>217</v>
      </c>
      <c r="O472" t="s">
        <v>279</v>
      </c>
      <c r="P472">
        <v>4.8991453359693342E-2</v>
      </c>
      <c r="Q472" t="s">
        <v>164</v>
      </c>
      <c r="S472" t="s">
        <v>237</v>
      </c>
      <c r="T472" t="s">
        <v>279</v>
      </c>
      <c r="U472">
        <v>5.3251885192652844E-2</v>
      </c>
      <c r="V472" t="s">
        <v>164</v>
      </c>
    </row>
    <row r="473" spans="9:22" x14ac:dyDescent="0.45">
      <c r="I473" t="s">
        <v>184</v>
      </c>
      <c r="J473" t="s">
        <v>280</v>
      </c>
      <c r="K473">
        <v>2.2147039229166363E-2</v>
      </c>
      <c r="L473" t="s">
        <v>164</v>
      </c>
      <c r="N473" t="s">
        <v>217</v>
      </c>
      <c r="O473" t="s">
        <v>280</v>
      </c>
      <c r="P473">
        <v>3.1325818333896242E-2</v>
      </c>
      <c r="Q473" t="s">
        <v>164</v>
      </c>
      <c r="S473" t="s">
        <v>237</v>
      </c>
      <c r="T473" t="s">
        <v>280</v>
      </c>
      <c r="U473">
        <v>4.970711377522815E-2</v>
      </c>
      <c r="V473" t="s">
        <v>164</v>
      </c>
    </row>
    <row r="474" spans="9:22" x14ac:dyDescent="0.45">
      <c r="I474" t="s">
        <v>184</v>
      </c>
      <c r="J474" t="s">
        <v>281</v>
      </c>
      <c r="K474">
        <v>1.7270424384975957E-2</v>
      </c>
      <c r="L474" t="s">
        <v>164</v>
      </c>
      <c r="N474" t="s">
        <v>217</v>
      </c>
      <c r="O474" t="s">
        <v>281</v>
      </c>
      <c r="P474">
        <v>2.5861987675067895E-3</v>
      </c>
      <c r="Q474" t="s">
        <v>164</v>
      </c>
      <c r="S474" t="s">
        <v>237</v>
      </c>
      <c r="T474" t="s">
        <v>281</v>
      </c>
      <c r="U474">
        <v>5.2802827855342157E-3</v>
      </c>
      <c r="V474" t="s">
        <v>164</v>
      </c>
    </row>
    <row r="475" spans="9:22" x14ac:dyDescent="0.45">
      <c r="I475" t="s">
        <v>184</v>
      </c>
      <c r="J475" t="s">
        <v>282</v>
      </c>
      <c r="K475">
        <v>1.8860600082983178E-2</v>
      </c>
      <c r="L475" t="s">
        <v>164</v>
      </c>
      <c r="N475" t="s">
        <v>217</v>
      </c>
      <c r="O475" t="s">
        <v>282</v>
      </c>
      <c r="P475">
        <v>2.5271236848220593E-3</v>
      </c>
      <c r="Q475" t="s">
        <v>164</v>
      </c>
      <c r="S475" t="s">
        <v>237</v>
      </c>
      <c r="T475" t="s">
        <v>282</v>
      </c>
      <c r="U475">
        <v>5.0251691540025567E-3</v>
      </c>
      <c r="V475" t="s">
        <v>164</v>
      </c>
    </row>
    <row r="476" spans="9:22" x14ac:dyDescent="0.45">
      <c r="I476" t="s">
        <v>184</v>
      </c>
      <c r="J476" t="s">
        <v>283</v>
      </c>
      <c r="K476">
        <v>0.10661347772869813</v>
      </c>
      <c r="L476" t="s">
        <v>164</v>
      </c>
      <c r="N476" t="s">
        <v>217</v>
      </c>
      <c r="O476" t="s">
        <v>283</v>
      </c>
      <c r="P476">
        <v>1.685402369944608E-2</v>
      </c>
      <c r="Q476" t="s">
        <v>164</v>
      </c>
      <c r="S476" t="s">
        <v>237</v>
      </c>
      <c r="T476" t="s">
        <v>283</v>
      </c>
      <c r="U476">
        <v>2.3870280656029697E-2</v>
      </c>
      <c r="V476" t="s">
        <v>164</v>
      </c>
    </row>
    <row r="477" spans="9:22" x14ac:dyDescent="0.45">
      <c r="I477" t="s">
        <v>184</v>
      </c>
      <c r="J477" t="s">
        <v>284</v>
      </c>
      <c r="K477">
        <v>8.8244948973608215E-3</v>
      </c>
      <c r="L477" t="s">
        <v>164</v>
      </c>
      <c r="N477" t="s">
        <v>217</v>
      </c>
      <c r="O477" t="s">
        <v>284</v>
      </c>
      <c r="P477">
        <v>3.8341823710694332E-3</v>
      </c>
      <c r="Q477" t="s">
        <v>164</v>
      </c>
      <c r="S477" t="s">
        <v>237</v>
      </c>
      <c r="T477" t="s">
        <v>284</v>
      </c>
      <c r="U477">
        <v>3.8718024071421175E-3</v>
      </c>
      <c r="V477" t="s">
        <v>164</v>
      </c>
    </row>
    <row r="478" spans="9:22" x14ac:dyDescent="0.45">
      <c r="I478" t="s">
        <v>184</v>
      </c>
      <c r="J478" t="s">
        <v>285</v>
      </c>
      <c r="K478">
        <v>4.2552985777032908E-3</v>
      </c>
      <c r="L478" t="s">
        <v>164</v>
      </c>
      <c r="N478" t="s">
        <v>217</v>
      </c>
      <c r="O478" t="s">
        <v>285</v>
      </c>
      <c r="P478">
        <v>2.8136617475793567E-2</v>
      </c>
      <c r="Q478" t="s">
        <v>164</v>
      </c>
      <c r="S478" t="s">
        <v>237</v>
      </c>
      <c r="T478" t="s">
        <v>285</v>
      </c>
      <c r="U478">
        <v>3.2555708491211845E-2</v>
      </c>
      <c r="V478" t="s">
        <v>164</v>
      </c>
    </row>
    <row r="479" spans="9:22" x14ac:dyDescent="0.45">
      <c r="I479" t="s">
        <v>184</v>
      </c>
      <c r="J479" t="s">
        <v>286</v>
      </c>
      <c r="K479">
        <v>2.2817609708967422E-2</v>
      </c>
      <c r="L479" t="s">
        <v>164</v>
      </c>
      <c r="N479" t="s">
        <v>217</v>
      </c>
      <c r="O479" t="s">
        <v>286</v>
      </c>
      <c r="P479">
        <v>4.7469168552401304E-2</v>
      </c>
      <c r="Q479" t="s">
        <v>164</v>
      </c>
      <c r="S479" t="s">
        <v>237</v>
      </c>
      <c r="T479" t="s">
        <v>286</v>
      </c>
      <c r="U479">
        <v>5.2880385022111565E-2</v>
      </c>
      <c r="V479" t="s">
        <v>164</v>
      </c>
    </row>
    <row r="480" spans="9:22" x14ac:dyDescent="0.45">
      <c r="I480" t="s">
        <v>184</v>
      </c>
      <c r="J480" t="s">
        <v>287</v>
      </c>
      <c r="K480">
        <v>1.7734925018085487E-2</v>
      </c>
      <c r="L480" t="s">
        <v>164</v>
      </c>
      <c r="N480" t="s">
        <v>217</v>
      </c>
      <c r="O480" t="s">
        <v>287</v>
      </c>
      <c r="P480">
        <v>4.0712973827963577E-3</v>
      </c>
      <c r="Q480" t="s">
        <v>164</v>
      </c>
      <c r="S480" t="s">
        <v>237</v>
      </c>
      <c r="T480" t="s">
        <v>287</v>
      </c>
      <c r="U480">
        <v>5.3453922666014059E-3</v>
      </c>
      <c r="V480" t="s">
        <v>164</v>
      </c>
    </row>
    <row r="481" spans="9:22" x14ac:dyDescent="0.45">
      <c r="I481" t="s">
        <v>184</v>
      </c>
      <c r="J481" t="s">
        <v>288</v>
      </c>
      <c r="K481">
        <v>1.9269988923872189E-2</v>
      </c>
      <c r="L481" t="s">
        <v>164</v>
      </c>
      <c r="N481" t="s">
        <v>217</v>
      </c>
      <c r="O481" t="s">
        <v>288</v>
      </c>
      <c r="P481">
        <v>4.1041335687956133E-3</v>
      </c>
      <c r="Q481" t="s">
        <v>164</v>
      </c>
      <c r="S481" t="s">
        <v>237</v>
      </c>
      <c r="T481" t="s">
        <v>288</v>
      </c>
      <c r="U481">
        <v>5.0512657895777817E-3</v>
      </c>
      <c r="V481" t="s">
        <v>164</v>
      </c>
    </row>
    <row r="482" spans="9:22" x14ac:dyDescent="0.45">
      <c r="I482" t="s">
        <v>184</v>
      </c>
      <c r="J482" t="s">
        <v>289</v>
      </c>
      <c r="K482">
        <v>0.10103678115080875</v>
      </c>
      <c r="L482" t="s">
        <v>164</v>
      </c>
      <c r="N482" t="s">
        <v>217</v>
      </c>
      <c r="O482" t="s">
        <v>289</v>
      </c>
      <c r="P482">
        <v>2.8945822953605819E-2</v>
      </c>
      <c r="Q482" t="s">
        <v>164</v>
      </c>
      <c r="S482" t="s">
        <v>237</v>
      </c>
      <c r="T482" t="s">
        <v>289</v>
      </c>
      <c r="U482">
        <v>2.4260138847409036E-2</v>
      </c>
      <c r="V482" t="s">
        <v>164</v>
      </c>
    </row>
    <row r="483" spans="9:22" x14ac:dyDescent="0.45">
      <c r="I483" t="s">
        <v>184</v>
      </c>
      <c r="J483" t="s">
        <v>290</v>
      </c>
      <c r="K483">
        <v>7.393323945902047E-3</v>
      </c>
      <c r="L483" t="s">
        <v>164</v>
      </c>
      <c r="N483" t="s">
        <v>217</v>
      </c>
      <c r="O483" t="s">
        <v>290</v>
      </c>
      <c r="P483">
        <v>6.3802460078187535E-3</v>
      </c>
      <c r="Q483" t="s">
        <v>164</v>
      </c>
      <c r="S483" t="s">
        <v>237</v>
      </c>
      <c r="T483" t="s">
        <v>290</v>
      </c>
      <c r="U483">
        <v>4.2331007078508179E-3</v>
      </c>
      <c r="V483" t="s">
        <v>164</v>
      </c>
    </row>
    <row r="484" spans="9:22" x14ac:dyDescent="0.45">
      <c r="I484" t="s">
        <v>184</v>
      </c>
      <c r="J484" t="s">
        <v>291</v>
      </c>
      <c r="K484">
        <v>0</v>
      </c>
      <c r="L484" t="s">
        <v>164</v>
      </c>
      <c r="N484" t="s">
        <v>217</v>
      </c>
      <c r="O484" t="s">
        <v>291</v>
      </c>
      <c r="P484">
        <v>4.3748010936370742E-2</v>
      </c>
      <c r="Q484" t="s">
        <v>164</v>
      </c>
      <c r="S484" t="s">
        <v>237</v>
      </c>
      <c r="T484" t="s">
        <v>291</v>
      </c>
      <c r="U484">
        <v>3.3480150016225542E-2</v>
      </c>
      <c r="V484" t="s">
        <v>164</v>
      </c>
    </row>
    <row r="485" spans="9:22" x14ac:dyDescent="0.45">
      <c r="I485" t="s">
        <v>184</v>
      </c>
      <c r="J485" t="s">
        <v>292</v>
      </c>
      <c r="K485">
        <v>9.8574051755904221E-3</v>
      </c>
      <c r="L485" t="s">
        <v>164</v>
      </c>
      <c r="N485" t="s">
        <v>217</v>
      </c>
      <c r="O485" t="s">
        <v>292</v>
      </c>
      <c r="P485">
        <v>3.2428974861326024E-2</v>
      </c>
      <c r="Q485" t="s">
        <v>164</v>
      </c>
      <c r="S485" t="s">
        <v>237</v>
      </c>
      <c r="T485" t="s">
        <v>292</v>
      </c>
      <c r="U485">
        <v>4.7900063218418089E-2</v>
      </c>
      <c r="V485" t="s">
        <v>164</v>
      </c>
    </row>
    <row r="486" spans="9:22" x14ac:dyDescent="0.45">
      <c r="I486" t="s">
        <v>184</v>
      </c>
      <c r="J486" t="s">
        <v>293</v>
      </c>
      <c r="K486">
        <v>8.9559635379682749E-3</v>
      </c>
      <c r="L486" t="s">
        <v>164</v>
      </c>
      <c r="N486" t="s">
        <v>217</v>
      </c>
      <c r="O486" t="s">
        <v>293</v>
      </c>
      <c r="P486">
        <v>3.2112662316487938E-3</v>
      </c>
      <c r="Q486" t="s">
        <v>164</v>
      </c>
      <c r="S486" t="s">
        <v>237</v>
      </c>
      <c r="T486" t="s">
        <v>293</v>
      </c>
      <c r="U486">
        <v>5.4674940873679183E-3</v>
      </c>
      <c r="V486" t="s">
        <v>164</v>
      </c>
    </row>
    <row r="487" spans="9:22" x14ac:dyDescent="0.45">
      <c r="I487" t="s">
        <v>184</v>
      </c>
      <c r="J487" t="s">
        <v>294</v>
      </c>
      <c r="K487">
        <v>1.0092944172190668E-2</v>
      </c>
      <c r="L487" t="s">
        <v>164</v>
      </c>
      <c r="N487" t="s">
        <v>217</v>
      </c>
      <c r="O487" t="s">
        <v>294</v>
      </c>
      <c r="P487">
        <v>3.2729178271016916E-3</v>
      </c>
      <c r="Q487" t="s">
        <v>164</v>
      </c>
      <c r="S487" t="s">
        <v>237</v>
      </c>
      <c r="T487" t="s">
        <v>294</v>
      </c>
      <c r="U487">
        <v>5.4182305989977676E-3</v>
      </c>
      <c r="V487" t="s">
        <v>164</v>
      </c>
    </row>
    <row r="488" spans="9:22" x14ac:dyDescent="0.45">
      <c r="I488" t="s">
        <v>184</v>
      </c>
      <c r="J488" t="s">
        <v>295</v>
      </c>
      <c r="K488">
        <v>5.4036239874184572E-2</v>
      </c>
      <c r="L488" t="s">
        <v>164</v>
      </c>
      <c r="N488" t="s">
        <v>217</v>
      </c>
      <c r="O488" t="s">
        <v>295</v>
      </c>
      <c r="P488">
        <v>2.2551688639253803E-2</v>
      </c>
      <c r="Q488" t="s">
        <v>164</v>
      </c>
      <c r="S488" t="s">
        <v>237</v>
      </c>
      <c r="T488" t="s">
        <v>295</v>
      </c>
      <c r="U488">
        <v>2.989954328919156E-2</v>
      </c>
      <c r="V488" t="s">
        <v>164</v>
      </c>
    </row>
    <row r="489" spans="9:22" x14ac:dyDescent="0.45">
      <c r="I489" t="s">
        <v>184</v>
      </c>
      <c r="J489" t="s">
        <v>296</v>
      </c>
      <c r="K489">
        <v>4.6036612586897695E-3</v>
      </c>
      <c r="L489" t="s">
        <v>164</v>
      </c>
      <c r="N489" t="s">
        <v>217</v>
      </c>
      <c r="O489" t="s">
        <v>296</v>
      </c>
      <c r="P489">
        <v>4.2159126966681637E-3</v>
      </c>
      <c r="Q489" t="s">
        <v>164</v>
      </c>
      <c r="S489" t="s">
        <v>237</v>
      </c>
      <c r="T489" t="s">
        <v>296</v>
      </c>
      <c r="U489">
        <v>5.207436557011621E-3</v>
      </c>
      <c r="V489" t="s">
        <v>164</v>
      </c>
    </row>
    <row r="490" spans="9:22" x14ac:dyDescent="0.45">
      <c r="I490" t="s">
        <v>184</v>
      </c>
      <c r="J490" t="s">
        <v>297</v>
      </c>
      <c r="K490">
        <v>0</v>
      </c>
      <c r="L490" t="s">
        <v>164</v>
      </c>
      <c r="N490" t="s">
        <v>217</v>
      </c>
      <c r="O490" t="s">
        <v>297</v>
      </c>
      <c r="P490">
        <v>2.6720118188169887E-2</v>
      </c>
      <c r="Q490" t="s">
        <v>164</v>
      </c>
      <c r="S490" t="s">
        <v>237</v>
      </c>
      <c r="T490" t="s">
        <v>297</v>
      </c>
      <c r="U490">
        <v>3.4075458618578372E-2</v>
      </c>
      <c r="V490" t="s">
        <v>164</v>
      </c>
    </row>
    <row r="491" spans="9:22" x14ac:dyDescent="0.45">
      <c r="I491" t="s">
        <v>185</v>
      </c>
      <c r="J491" t="s">
        <v>163</v>
      </c>
      <c r="K491">
        <v>1.1970887095785334E-2</v>
      </c>
      <c r="L491" t="s">
        <v>164</v>
      </c>
      <c r="N491" t="s">
        <v>218</v>
      </c>
      <c r="O491" t="s">
        <v>163</v>
      </c>
      <c r="P491">
        <v>3.6599198127652541E-2</v>
      </c>
      <c r="Q491" t="s">
        <v>164</v>
      </c>
      <c r="S491" t="s">
        <v>238</v>
      </c>
      <c r="T491" t="s">
        <v>163</v>
      </c>
      <c r="U491">
        <v>4.4709710265539521E-2</v>
      </c>
      <c r="V491" t="s">
        <v>164</v>
      </c>
    </row>
    <row r="492" spans="9:22" x14ac:dyDescent="0.45">
      <c r="I492" t="s">
        <v>185</v>
      </c>
      <c r="J492" t="s">
        <v>165</v>
      </c>
      <c r="K492">
        <v>9.7615538477878096E-3</v>
      </c>
      <c r="L492" t="s">
        <v>164</v>
      </c>
      <c r="N492" t="s">
        <v>218</v>
      </c>
      <c r="O492" t="s">
        <v>165</v>
      </c>
      <c r="P492">
        <v>4.2302568918111561E-3</v>
      </c>
      <c r="Q492" t="s">
        <v>164</v>
      </c>
      <c r="S492" t="s">
        <v>238</v>
      </c>
      <c r="T492" t="s">
        <v>165</v>
      </c>
      <c r="U492">
        <v>4.7811493969767095E-3</v>
      </c>
      <c r="V492" t="s">
        <v>164</v>
      </c>
    </row>
    <row r="493" spans="9:22" x14ac:dyDescent="0.45">
      <c r="I493" t="s">
        <v>185</v>
      </c>
      <c r="J493" t="s">
        <v>166</v>
      </c>
      <c r="K493">
        <v>1.079589606751841E-2</v>
      </c>
      <c r="L493" t="s">
        <v>164</v>
      </c>
      <c r="N493" t="s">
        <v>218</v>
      </c>
      <c r="O493" t="s">
        <v>166</v>
      </c>
      <c r="P493">
        <v>4.437291556032192E-3</v>
      </c>
      <c r="Q493" t="s">
        <v>164</v>
      </c>
      <c r="S493" t="s">
        <v>238</v>
      </c>
      <c r="T493" t="s">
        <v>166</v>
      </c>
      <c r="U493">
        <v>4.7810489482409688E-3</v>
      </c>
      <c r="V493" t="s">
        <v>164</v>
      </c>
    </row>
    <row r="494" spans="9:22" x14ac:dyDescent="0.45">
      <c r="I494" t="s">
        <v>185</v>
      </c>
      <c r="J494" t="s">
        <v>262</v>
      </c>
      <c r="K494">
        <v>5.6736775093004468E-2</v>
      </c>
      <c r="L494" t="s">
        <v>164</v>
      </c>
      <c r="N494" t="s">
        <v>218</v>
      </c>
      <c r="O494" t="s">
        <v>262</v>
      </c>
      <c r="P494">
        <v>2.8841054902609131E-2</v>
      </c>
      <c r="Q494" t="s">
        <v>164</v>
      </c>
      <c r="S494" t="s">
        <v>238</v>
      </c>
      <c r="T494" t="s">
        <v>262</v>
      </c>
      <c r="U494">
        <v>2.6173820695904144E-2</v>
      </c>
      <c r="V494" t="s">
        <v>164</v>
      </c>
    </row>
    <row r="495" spans="9:22" x14ac:dyDescent="0.45">
      <c r="I495" t="s">
        <v>185</v>
      </c>
      <c r="J495" t="s">
        <v>263</v>
      </c>
      <c r="K495">
        <v>5.3221605044865361E-3</v>
      </c>
      <c r="L495" t="s">
        <v>164</v>
      </c>
      <c r="N495" t="s">
        <v>218</v>
      </c>
      <c r="O495" t="s">
        <v>263</v>
      </c>
      <c r="P495">
        <v>4.7726336026608336E-3</v>
      </c>
      <c r="Q495" t="s">
        <v>164</v>
      </c>
      <c r="S495" t="s">
        <v>238</v>
      </c>
      <c r="T495" t="s">
        <v>263</v>
      </c>
      <c r="U495">
        <v>4.3426327173940451E-3</v>
      </c>
      <c r="V495" t="s">
        <v>164</v>
      </c>
    </row>
    <row r="496" spans="9:22" x14ac:dyDescent="0.45">
      <c r="I496" t="s">
        <v>185</v>
      </c>
      <c r="J496" t="s">
        <v>264</v>
      </c>
      <c r="K496">
        <v>2.3396456328419924E-3</v>
      </c>
      <c r="L496" t="s">
        <v>164</v>
      </c>
      <c r="N496" t="s">
        <v>218</v>
      </c>
      <c r="O496" t="s">
        <v>264</v>
      </c>
      <c r="P496">
        <v>2.8865659483841104E-2</v>
      </c>
      <c r="Q496" t="s">
        <v>164</v>
      </c>
      <c r="S496" t="s">
        <v>238</v>
      </c>
      <c r="T496" t="s">
        <v>264</v>
      </c>
      <c r="U496">
        <v>2.808322672832371E-2</v>
      </c>
      <c r="V496" t="s">
        <v>164</v>
      </c>
    </row>
    <row r="497" spans="9:22" x14ac:dyDescent="0.45">
      <c r="I497" t="s">
        <v>185</v>
      </c>
      <c r="J497" t="s">
        <v>167</v>
      </c>
      <c r="K497">
        <v>1.0540899271117267E-2</v>
      </c>
      <c r="L497" t="s">
        <v>164</v>
      </c>
      <c r="N497" t="s">
        <v>218</v>
      </c>
      <c r="O497" t="s">
        <v>167</v>
      </c>
      <c r="P497">
        <v>3.1934383845767834E-2</v>
      </c>
      <c r="Q497" t="s">
        <v>164</v>
      </c>
      <c r="S497" t="s">
        <v>238</v>
      </c>
      <c r="T497" t="s">
        <v>167</v>
      </c>
      <c r="U497">
        <v>4.1913516015979292E-2</v>
      </c>
      <c r="V497" t="s">
        <v>164</v>
      </c>
    </row>
    <row r="498" spans="9:22" x14ac:dyDescent="0.45">
      <c r="I498" t="s">
        <v>185</v>
      </c>
      <c r="J498" t="s">
        <v>168</v>
      </c>
      <c r="K498">
        <v>8.6253889074686587E-3</v>
      </c>
      <c r="L498" t="s">
        <v>164</v>
      </c>
      <c r="N498" t="s">
        <v>218</v>
      </c>
      <c r="O498" t="s">
        <v>168</v>
      </c>
      <c r="P498">
        <v>3.6997420001369024E-3</v>
      </c>
      <c r="Q498" t="s">
        <v>164</v>
      </c>
      <c r="S498" t="s">
        <v>238</v>
      </c>
      <c r="T498" t="s">
        <v>168</v>
      </c>
      <c r="U498">
        <v>3.9897992435843884E-3</v>
      </c>
      <c r="V498" t="s">
        <v>164</v>
      </c>
    </row>
    <row r="499" spans="9:22" x14ac:dyDescent="0.45">
      <c r="I499" t="s">
        <v>185</v>
      </c>
      <c r="J499" t="s">
        <v>169</v>
      </c>
      <c r="K499">
        <v>9.7213327481531029E-3</v>
      </c>
      <c r="L499" t="s">
        <v>164</v>
      </c>
      <c r="N499" t="s">
        <v>218</v>
      </c>
      <c r="O499" t="s">
        <v>169</v>
      </c>
      <c r="P499">
        <v>3.8621309595531015E-3</v>
      </c>
      <c r="Q499" t="s">
        <v>164</v>
      </c>
      <c r="S499" t="s">
        <v>238</v>
      </c>
      <c r="T499" t="s">
        <v>169</v>
      </c>
      <c r="U499">
        <v>4.0934449537858054E-3</v>
      </c>
      <c r="V499" t="s">
        <v>164</v>
      </c>
    </row>
    <row r="500" spans="9:22" x14ac:dyDescent="0.45">
      <c r="I500" t="s">
        <v>185</v>
      </c>
      <c r="J500" t="s">
        <v>265</v>
      </c>
      <c r="K500">
        <v>5.251821279447038E-2</v>
      </c>
      <c r="L500" t="s">
        <v>164</v>
      </c>
      <c r="N500" t="s">
        <v>218</v>
      </c>
      <c r="O500" t="s">
        <v>265</v>
      </c>
      <c r="P500">
        <v>2.5511272740210599E-2</v>
      </c>
      <c r="Q500" t="s">
        <v>164</v>
      </c>
      <c r="S500" t="s">
        <v>238</v>
      </c>
      <c r="T500" t="s">
        <v>265</v>
      </c>
      <c r="U500">
        <v>2.1631200059912755E-2</v>
      </c>
      <c r="V500" t="s">
        <v>164</v>
      </c>
    </row>
    <row r="501" spans="9:22" x14ac:dyDescent="0.45">
      <c r="I501" t="s">
        <v>185</v>
      </c>
      <c r="J501" t="s">
        <v>266</v>
      </c>
      <c r="K501">
        <v>4.9984034670053383E-3</v>
      </c>
      <c r="L501" t="s">
        <v>164</v>
      </c>
      <c r="N501" t="s">
        <v>218</v>
      </c>
      <c r="O501" t="s">
        <v>266</v>
      </c>
      <c r="P501">
        <v>4.3483748946603982E-3</v>
      </c>
      <c r="Q501" t="s">
        <v>164</v>
      </c>
      <c r="S501" t="s">
        <v>238</v>
      </c>
      <c r="T501" t="s">
        <v>266</v>
      </c>
      <c r="U501">
        <v>3.3419286021936488E-3</v>
      </c>
      <c r="V501" t="s">
        <v>164</v>
      </c>
    </row>
    <row r="502" spans="9:22" x14ac:dyDescent="0.45">
      <c r="I502" t="s">
        <v>185</v>
      </c>
      <c r="J502" t="s">
        <v>267</v>
      </c>
      <c r="K502">
        <v>3.0526064097173662E-3</v>
      </c>
      <c r="L502" t="s">
        <v>164</v>
      </c>
      <c r="N502" t="s">
        <v>218</v>
      </c>
      <c r="O502" t="s">
        <v>267</v>
      </c>
      <c r="P502">
        <v>2.5577741172481031E-2</v>
      </c>
      <c r="Q502" t="s">
        <v>164</v>
      </c>
      <c r="S502" t="s">
        <v>238</v>
      </c>
      <c r="T502" t="s">
        <v>267</v>
      </c>
      <c r="U502">
        <v>2.31039268193164E-2</v>
      </c>
      <c r="V502" t="s">
        <v>164</v>
      </c>
    </row>
    <row r="503" spans="9:22" x14ac:dyDescent="0.45">
      <c r="I503" t="s">
        <v>185</v>
      </c>
      <c r="J503" t="s">
        <v>170</v>
      </c>
      <c r="K503">
        <v>7.9596574382281172E-3</v>
      </c>
      <c r="L503" t="s">
        <v>164</v>
      </c>
      <c r="N503" t="s">
        <v>218</v>
      </c>
      <c r="O503" t="s">
        <v>170</v>
      </c>
      <c r="P503">
        <v>3.5878005085460268E-2</v>
      </c>
      <c r="Q503" t="s">
        <v>164</v>
      </c>
      <c r="S503" t="s">
        <v>238</v>
      </c>
      <c r="T503" t="s">
        <v>170</v>
      </c>
      <c r="U503">
        <v>2.5555230909300411E-2</v>
      </c>
      <c r="V503" t="s">
        <v>164</v>
      </c>
    </row>
    <row r="504" spans="9:22" x14ac:dyDescent="0.45">
      <c r="I504" t="s">
        <v>185</v>
      </c>
      <c r="J504" t="s">
        <v>171</v>
      </c>
      <c r="K504">
        <v>7.4778950003931447E-3</v>
      </c>
      <c r="L504" t="s">
        <v>164</v>
      </c>
      <c r="N504" t="s">
        <v>218</v>
      </c>
      <c r="O504" t="s">
        <v>171</v>
      </c>
      <c r="P504">
        <v>4.0843116984528921E-3</v>
      </c>
      <c r="Q504" t="s">
        <v>164</v>
      </c>
      <c r="S504" t="s">
        <v>238</v>
      </c>
      <c r="T504" t="s">
        <v>171</v>
      </c>
      <c r="U504">
        <v>2.8421552193788014E-3</v>
      </c>
      <c r="V504" t="s">
        <v>164</v>
      </c>
    </row>
    <row r="505" spans="9:22" x14ac:dyDescent="0.45">
      <c r="I505" t="s">
        <v>185</v>
      </c>
      <c r="J505" t="s">
        <v>172</v>
      </c>
      <c r="K505">
        <v>9.0357872025123784E-3</v>
      </c>
      <c r="L505" t="s">
        <v>164</v>
      </c>
      <c r="N505" t="s">
        <v>218</v>
      </c>
      <c r="O505" t="s">
        <v>172</v>
      </c>
      <c r="P505">
        <v>4.103254972534315E-3</v>
      </c>
      <c r="Q505" t="s">
        <v>164</v>
      </c>
      <c r="S505" t="s">
        <v>238</v>
      </c>
      <c r="T505" t="s">
        <v>172</v>
      </c>
      <c r="U505">
        <v>2.855311997312383E-3</v>
      </c>
      <c r="V505" t="s">
        <v>164</v>
      </c>
    </row>
    <row r="506" spans="9:22" x14ac:dyDescent="0.45">
      <c r="I506" t="s">
        <v>185</v>
      </c>
      <c r="J506" t="s">
        <v>268</v>
      </c>
      <c r="K506">
        <v>5.0364125121813014E-2</v>
      </c>
      <c r="L506" t="s">
        <v>164</v>
      </c>
      <c r="N506" t="s">
        <v>218</v>
      </c>
      <c r="O506" t="s">
        <v>268</v>
      </c>
      <c r="P506">
        <v>2.6805270251312935E-2</v>
      </c>
      <c r="Q506" t="s">
        <v>164</v>
      </c>
      <c r="S506" t="s">
        <v>238</v>
      </c>
      <c r="T506" t="s">
        <v>268</v>
      </c>
      <c r="U506">
        <v>1.4079086234542751E-2</v>
      </c>
      <c r="V506" t="s">
        <v>164</v>
      </c>
    </row>
    <row r="507" spans="9:22" x14ac:dyDescent="0.45">
      <c r="I507" t="s">
        <v>185</v>
      </c>
      <c r="J507" t="s">
        <v>269</v>
      </c>
      <c r="K507">
        <v>3.6624434854765917E-3</v>
      </c>
      <c r="L507" t="s">
        <v>164</v>
      </c>
      <c r="N507" t="s">
        <v>218</v>
      </c>
      <c r="O507" t="s">
        <v>269</v>
      </c>
      <c r="P507">
        <v>4.6323259413518746E-3</v>
      </c>
      <c r="Q507" t="s">
        <v>164</v>
      </c>
      <c r="S507" t="s">
        <v>238</v>
      </c>
      <c r="T507" t="s">
        <v>269</v>
      </c>
      <c r="U507">
        <v>2.2390358178148912E-3</v>
      </c>
      <c r="V507" t="s">
        <v>164</v>
      </c>
    </row>
    <row r="508" spans="9:22" x14ac:dyDescent="0.45">
      <c r="I508" t="s">
        <v>185</v>
      </c>
      <c r="J508" t="s">
        <v>270</v>
      </c>
      <c r="K508">
        <v>1.9394555791300899E-3</v>
      </c>
      <c r="L508" t="s">
        <v>164</v>
      </c>
      <c r="N508" t="s">
        <v>218</v>
      </c>
      <c r="O508" t="s">
        <v>270</v>
      </c>
      <c r="P508">
        <v>2.7803480050244453E-2</v>
      </c>
      <c r="Q508" t="s">
        <v>164</v>
      </c>
      <c r="S508" t="s">
        <v>238</v>
      </c>
      <c r="T508" t="s">
        <v>270</v>
      </c>
      <c r="U508">
        <v>1.5586397913013309E-2</v>
      </c>
      <c r="V508" t="s">
        <v>164</v>
      </c>
    </row>
    <row r="509" spans="9:22" x14ac:dyDescent="0.45">
      <c r="I509" t="s">
        <v>185</v>
      </c>
      <c r="J509" t="s">
        <v>173</v>
      </c>
      <c r="K509">
        <v>1.7635324821591691E-2</v>
      </c>
      <c r="L509" t="s">
        <v>164</v>
      </c>
      <c r="N509" t="s">
        <v>218</v>
      </c>
      <c r="O509" t="s">
        <v>173</v>
      </c>
      <c r="P509">
        <v>6.1125375767089832E-2</v>
      </c>
      <c r="Q509" t="s">
        <v>164</v>
      </c>
      <c r="S509" t="s">
        <v>238</v>
      </c>
      <c r="T509" t="s">
        <v>173</v>
      </c>
      <c r="U509">
        <v>6.9392451867774235E-2</v>
      </c>
      <c r="V509" t="s">
        <v>164</v>
      </c>
    </row>
    <row r="510" spans="9:22" x14ac:dyDescent="0.45">
      <c r="I510" t="s">
        <v>185</v>
      </c>
      <c r="J510" t="s">
        <v>174</v>
      </c>
      <c r="K510">
        <v>1.4318648593004914E-2</v>
      </c>
      <c r="L510" t="s">
        <v>164</v>
      </c>
      <c r="N510" t="s">
        <v>218</v>
      </c>
      <c r="O510" t="s">
        <v>174</v>
      </c>
      <c r="P510">
        <v>6.5229377113054749E-3</v>
      </c>
      <c r="Q510" t="s">
        <v>164</v>
      </c>
      <c r="S510" t="s">
        <v>238</v>
      </c>
      <c r="T510" t="s">
        <v>174</v>
      </c>
      <c r="U510">
        <v>6.6157598545666888E-3</v>
      </c>
      <c r="V510" t="s">
        <v>164</v>
      </c>
    </row>
    <row r="511" spans="9:22" x14ac:dyDescent="0.45">
      <c r="I511" t="s">
        <v>185</v>
      </c>
      <c r="J511" t="s">
        <v>175</v>
      </c>
      <c r="K511">
        <v>1.6926071791805834E-2</v>
      </c>
      <c r="L511" t="s">
        <v>164</v>
      </c>
      <c r="N511" t="s">
        <v>218</v>
      </c>
      <c r="O511" t="s">
        <v>175</v>
      </c>
      <c r="P511">
        <v>6.5680779479989418E-3</v>
      </c>
      <c r="Q511" t="s">
        <v>164</v>
      </c>
      <c r="S511" t="s">
        <v>238</v>
      </c>
      <c r="T511" t="s">
        <v>175</v>
      </c>
      <c r="U511">
        <v>6.5482780235598618E-3</v>
      </c>
      <c r="V511" t="s">
        <v>164</v>
      </c>
    </row>
    <row r="512" spans="9:22" x14ac:dyDescent="0.45">
      <c r="I512" t="s">
        <v>185</v>
      </c>
      <c r="J512" t="s">
        <v>271</v>
      </c>
      <c r="K512">
        <v>9.2244938785384714E-2</v>
      </c>
      <c r="L512" t="s">
        <v>164</v>
      </c>
      <c r="N512" t="s">
        <v>218</v>
      </c>
      <c r="O512" t="s">
        <v>271</v>
      </c>
      <c r="P512">
        <v>4.3834585932127308E-2</v>
      </c>
      <c r="Q512" t="s">
        <v>164</v>
      </c>
      <c r="S512" t="s">
        <v>238</v>
      </c>
      <c r="T512" t="s">
        <v>271</v>
      </c>
      <c r="U512">
        <v>3.4165575903212342E-2</v>
      </c>
      <c r="V512" t="s">
        <v>164</v>
      </c>
    </row>
    <row r="513" spans="9:22" x14ac:dyDescent="0.45">
      <c r="I513" t="s">
        <v>185</v>
      </c>
      <c r="J513" t="s">
        <v>272</v>
      </c>
      <c r="K513">
        <v>5.8155774528722056E-3</v>
      </c>
      <c r="L513" t="s">
        <v>164</v>
      </c>
      <c r="N513" t="s">
        <v>218</v>
      </c>
      <c r="O513" t="s">
        <v>272</v>
      </c>
      <c r="P513">
        <v>7.8438182830763547E-3</v>
      </c>
      <c r="Q513" t="s">
        <v>164</v>
      </c>
      <c r="S513" t="s">
        <v>238</v>
      </c>
      <c r="T513" t="s">
        <v>272</v>
      </c>
      <c r="U513">
        <v>6.0252194286956294E-3</v>
      </c>
      <c r="V513" t="s">
        <v>164</v>
      </c>
    </row>
    <row r="514" spans="9:22" x14ac:dyDescent="0.45">
      <c r="I514" t="s">
        <v>185</v>
      </c>
      <c r="J514" t="s">
        <v>273</v>
      </c>
      <c r="K514">
        <v>2.7625665687998329E-3</v>
      </c>
      <c r="L514" t="s">
        <v>164</v>
      </c>
      <c r="N514" t="s">
        <v>218</v>
      </c>
      <c r="O514" t="s">
        <v>273</v>
      </c>
      <c r="P514">
        <v>4.7755201103230185E-2</v>
      </c>
      <c r="Q514" t="s">
        <v>164</v>
      </c>
      <c r="S514" t="s">
        <v>238</v>
      </c>
      <c r="T514" t="s">
        <v>273</v>
      </c>
      <c r="U514">
        <v>4.6343259852157564E-2</v>
      </c>
      <c r="V514" t="s">
        <v>164</v>
      </c>
    </row>
    <row r="515" spans="9:22" x14ac:dyDescent="0.45">
      <c r="I515" t="s">
        <v>185</v>
      </c>
      <c r="J515" t="s">
        <v>274</v>
      </c>
      <c r="K515">
        <v>2.1153085272303185E-2</v>
      </c>
      <c r="L515" t="s">
        <v>164</v>
      </c>
      <c r="N515" t="s">
        <v>218</v>
      </c>
      <c r="O515" t="s">
        <v>274</v>
      </c>
      <c r="P515">
        <v>7.2360042012218018E-2</v>
      </c>
      <c r="Q515" t="s">
        <v>164</v>
      </c>
      <c r="S515" t="s">
        <v>238</v>
      </c>
      <c r="T515" t="s">
        <v>274</v>
      </c>
      <c r="U515">
        <v>7.9518483342955359E-2</v>
      </c>
      <c r="V515" t="s">
        <v>164</v>
      </c>
    </row>
    <row r="516" spans="9:22" x14ac:dyDescent="0.45">
      <c r="I516" t="s">
        <v>185</v>
      </c>
      <c r="J516" t="s">
        <v>275</v>
      </c>
      <c r="K516">
        <v>1.5052993662063519E-2</v>
      </c>
      <c r="L516" t="s">
        <v>164</v>
      </c>
      <c r="N516" t="s">
        <v>218</v>
      </c>
      <c r="O516" t="s">
        <v>275</v>
      </c>
      <c r="P516">
        <v>7.7644113259871155E-3</v>
      </c>
      <c r="Q516" t="s">
        <v>164</v>
      </c>
      <c r="S516" t="s">
        <v>238</v>
      </c>
      <c r="T516" t="s">
        <v>275</v>
      </c>
      <c r="U516">
        <v>7.6378412931599237E-3</v>
      </c>
      <c r="V516" t="s">
        <v>164</v>
      </c>
    </row>
    <row r="517" spans="9:22" x14ac:dyDescent="0.45">
      <c r="I517" t="s">
        <v>185</v>
      </c>
      <c r="J517" t="s">
        <v>276</v>
      </c>
      <c r="K517">
        <v>1.7588316168449046E-2</v>
      </c>
      <c r="L517" t="s">
        <v>164</v>
      </c>
      <c r="N517" t="s">
        <v>218</v>
      </c>
      <c r="O517" t="s">
        <v>276</v>
      </c>
      <c r="P517">
        <v>7.9378480285142283E-3</v>
      </c>
      <c r="Q517" t="s">
        <v>164</v>
      </c>
      <c r="S517" t="s">
        <v>238</v>
      </c>
      <c r="T517" t="s">
        <v>276</v>
      </c>
      <c r="U517">
        <v>7.6664565658298382E-3</v>
      </c>
      <c r="V517" t="s">
        <v>164</v>
      </c>
    </row>
    <row r="518" spans="9:22" x14ac:dyDescent="0.45">
      <c r="I518" t="s">
        <v>185</v>
      </c>
      <c r="J518" t="s">
        <v>277</v>
      </c>
      <c r="K518">
        <v>9.8808689703250713E-2</v>
      </c>
      <c r="L518" t="s">
        <v>164</v>
      </c>
      <c r="N518" t="s">
        <v>218</v>
      </c>
      <c r="O518" t="s">
        <v>277</v>
      </c>
      <c r="P518">
        <v>5.1718553852755894E-2</v>
      </c>
      <c r="Q518" t="s">
        <v>164</v>
      </c>
      <c r="S518" t="s">
        <v>238</v>
      </c>
      <c r="T518" t="s">
        <v>277</v>
      </c>
      <c r="U518">
        <v>3.9648365586871556E-2</v>
      </c>
      <c r="V518" t="s">
        <v>164</v>
      </c>
    </row>
    <row r="519" spans="9:22" x14ac:dyDescent="0.45">
      <c r="I519" t="s">
        <v>185</v>
      </c>
      <c r="J519" t="s">
        <v>278</v>
      </c>
      <c r="K519">
        <v>7.5825193861954578E-3</v>
      </c>
      <c r="L519" t="s">
        <v>164</v>
      </c>
      <c r="N519" t="s">
        <v>218</v>
      </c>
      <c r="O519" t="s">
        <v>278</v>
      </c>
      <c r="P519">
        <v>9.1801185255589567E-3</v>
      </c>
      <c r="Q519" t="s">
        <v>164</v>
      </c>
      <c r="S519" t="s">
        <v>238</v>
      </c>
      <c r="T519" t="s">
        <v>278</v>
      </c>
      <c r="U519">
        <v>7.0377682557983962E-3</v>
      </c>
      <c r="V519" t="s">
        <v>164</v>
      </c>
    </row>
    <row r="520" spans="9:22" x14ac:dyDescent="0.45">
      <c r="I520" t="s">
        <v>185</v>
      </c>
      <c r="J520" t="s">
        <v>279</v>
      </c>
      <c r="K520">
        <v>4.2063287986944791E-3</v>
      </c>
      <c r="L520" t="s">
        <v>164</v>
      </c>
      <c r="N520" t="s">
        <v>218</v>
      </c>
      <c r="O520" t="s">
        <v>279</v>
      </c>
      <c r="P520">
        <v>5.5264868412132649E-2</v>
      </c>
      <c r="Q520" t="s">
        <v>164</v>
      </c>
      <c r="S520" t="s">
        <v>238</v>
      </c>
      <c r="T520" t="s">
        <v>279</v>
      </c>
      <c r="U520">
        <v>5.0444924315521174E-2</v>
      </c>
      <c r="V520" t="s">
        <v>164</v>
      </c>
    </row>
    <row r="521" spans="9:22" x14ac:dyDescent="0.45">
      <c r="I521" t="s">
        <v>185</v>
      </c>
      <c r="J521" t="s">
        <v>280</v>
      </c>
      <c r="K521">
        <v>2.0228701063338732E-2</v>
      </c>
      <c r="L521" t="s">
        <v>164</v>
      </c>
      <c r="N521" t="s">
        <v>218</v>
      </c>
      <c r="O521" t="s">
        <v>280</v>
      </c>
      <c r="P521">
        <v>4.2462142702645866E-2</v>
      </c>
      <c r="Q521" t="s">
        <v>164</v>
      </c>
      <c r="S521" t="s">
        <v>238</v>
      </c>
      <c r="T521" t="s">
        <v>280</v>
      </c>
      <c r="U521">
        <v>4.6337116418230934E-2</v>
      </c>
      <c r="V521" t="s">
        <v>164</v>
      </c>
    </row>
    <row r="522" spans="9:22" x14ac:dyDescent="0.45">
      <c r="I522" t="s">
        <v>185</v>
      </c>
      <c r="J522" t="s">
        <v>281</v>
      </c>
      <c r="K522">
        <v>1.6177173648226312E-2</v>
      </c>
      <c r="L522" t="s">
        <v>164</v>
      </c>
      <c r="N522" t="s">
        <v>218</v>
      </c>
      <c r="O522" t="s">
        <v>281</v>
      </c>
      <c r="P522">
        <v>4.0459322656988539E-3</v>
      </c>
      <c r="Q522" t="s">
        <v>164</v>
      </c>
      <c r="S522" t="s">
        <v>238</v>
      </c>
      <c r="T522" t="s">
        <v>281</v>
      </c>
      <c r="U522">
        <v>5.1021189339816421E-3</v>
      </c>
      <c r="V522" t="s">
        <v>164</v>
      </c>
    </row>
    <row r="523" spans="9:22" x14ac:dyDescent="0.45">
      <c r="I523" t="s">
        <v>185</v>
      </c>
      <c r="J523" t="s">
        <v>282</v>
      </c>
      <c r="K523">
        <v>1.8776779454608289E-2</v>
      </c>
      <c r="L523" t="s">
        <v>164</v>
      </c>
      <c r="N523" t="s">
        <v>218</v>
      </c>
      <c r="O523" t="s">
        <v>282</v>
      </c>
      <c r="P523">
        <v>4.0579517617254195E-3</v>
      </c>
      <c r="Q523" t="s">
        <v>164</v>
      </c>
      <c r="S523" t="s">
        <v>238</v>
      </c>
      <c r="T523" t="s">
        <v>282</v>
      </c>
      <c r="U523">
        <v>4.9741015555223259E-3</v>
      </c>
      <c r="V523" t="s">
        <v>164</v>
      </c>
    </row>
    <row r="524" spans="9:22" x14ac:dyDescent="0.45">
      <c r="I524" t="s">
        <v>185</v>
      </c>
      <c r="J524" t="s">
        <v>283</v>
      </c>
      <c r="K524">
        <v>0.1001978355662773</v>
      </c>
      <c r="L524" t="s">
        <v>164</v>
      </c>
      <c r="N524" t="s">
        <v>218</v>
      </c>
      <c r="O524" t="s">
        <v>283</v>
      </c>
      <c r="P524">
        <v>2.8236589872021756E-2</v>
      </c>
      <c r="Q524" t="s">
        <v>164</v>
      </c>
      <c r="S524" t="s">
        <v>238</v>
      </c>
      <c r="T524" t="s">
        <v>283</v>
      </c>
      <c r="U524">
        <v>2.3126718180577349E-2</v>
      </c>
      <c r="V524" t="s">
        <v>164</v>
      </c>
    </row>
    <row r="525" spans="9:22" x14ac:dyDescent="0.45">
      <c r="I525" t="s">
        <v>185</v>
      </c>
      <c r="J525" t="s">
        <v>284</v>
      </c>
      <c r="K525">
        <v>6.3754722756993688E-3</v>
      </c>
      <c r="L525" t="s">
        <v>164</v>
      </c>
      <c r="N525" t="s">
        <v>218</v>
      </c>
      <c r="O525" t="s">
        <v>284</v>
      </c>
      <c r="P525">
        <v>5.3606133371245125E-3</v>
      </c>
      <c r="Q525" t="s">
        <v>164</v>
      </c>
      <c r="S525" t="s">
        <v>238</v>
      </c>
      <c r="T525" t="s">
        <v>284</v>
      </c>
      <c r="U525">
        <v>3.3947125811366343E-3</v>
      </c>
      <c r="V525" t="s">
        <v>164</v>
      </c>
    </row>
    <row r="526" spans="9:22" x14ac:dyDescent="0.45">
      <c r="I526" t="s">
        <v>185</v>
      </c>
      <c r="J526" t="s">
        <v>285</v>
      </c>
      <c r="K526">
        <v>3.2874903611009123E-3</v>
      </c>
      <c r="L526" t="s">
        <v>164</v>
      </c>
      <c r="N526" t="s">
        <v>218</v>
      </c>
      <c r="O526" t="s">
        <v>285</v>
      </c>
      <c r="P526">
        <v>3.4417001010615872E-2</v>
      </c>
      <c r="Q526" t="s">
        <v>164</v>
      </c>
      <c r="S526" t="s">
        <v>238</v>
      </c>
      <c r="T526" t="s">
        <v>285</v>
      </c>
      <c r="U526">
        <v>2.8240192303659754E-2</v>
      </c>
      <c r="V526" t="s">
        <v>164</v>
      </c>
    </row>
    <row r="527" spans="9:22" x14ac:dyDescent="0.45">
      <c r="I527" t="s">
        <v>185</v>
      </c>
      <c r="J527" t="s">
        <v>286</v>
      </c>
      <c r="K527">
        <v>2.2630592671960541E-2</v>
      </c>
      <c r="L527" t="s">
        <v>164</v>
      </c>
      <c r="N527" t="s">
        <v>218</v>
      </c>
      <c r="O527" t="s">
        <v>286</v>
      </c>
      <c r="P527">
        <v>3.6786676934947291E-2</v>
      </c>
      <c r="Q527" t="s">
        <v>164</v>
      </c>
      <c r="S527" t="s">
        <v>238</v>
      </c>
      <c r="T527" t="s">
        <v>286</v>
      </c>
      <c r="U527">
        <v>5.4586840120281158E-2</v>
      </c>
      <c r="V527" t="s">
        <v>164</v>
      </c>
    </row>
    <row r="528" spans="9:22" x14ac:dyDescent="0.45">
      <c r="I528" t="s">
        <v>185</v>
      </c>
      <c r="J528" t="s">
        <v>287</v>
      </c>
      <c r="K528">
        <v>1.7473408511873581E-2</v>
      </c>
      <c r="L528" t="s">
        <v>164</v>
      </c>
      <c r="N528" t="s">
        <v>218</v>
      </c>
      <c r="O528" t="s">
        <v>287</v>
      </c>
      <c r="P528">
        <v>3.6062034225723631E-3</v>
      </c>
      <c r="Q528" t="s">
        <v>164</v>
      </c>
      <c r="S528" t="s">
        <v>238</v>
      </c>
      <c r="T528" t="s">
        <v>287</v>
      </c>
      <c r="U528">
        <v>5.9643164061936559E-3</v>
      </c>
      <c r="V528" t="s">
        <v>164</v>
      </c>
    </row>
    <row r="529" spans="9:22" x14ac:dyDescent="0.45">
      <c r="I529" t="s">
        <v>185</v>
      </c>
      <c r="J529" t="s">
        <v>288</v>
      </c>
      <c r="K529">
        <v>1.9451109259500825E-2</v>
      </c>
      <c r="L529" t="s">
        <v>164</v>
      </c>
      <c r="N529" t="s">
        <v>218</v>
      </c>
      <c r="O529" t="s">
        <v>288</v>
      </c>
      <c r="P529">
        <v>3.6501100776493373E-3</v>
      </c>
      <c r="Q529" t="s">
        <v>164</v>
      </c>
      <c r="S529" t="s">
        <v>238</v>
      </c>
      <c r="T529" t="s">
        <v>288</v>
      </c>
      <c r="U529">
        <v>5.8951967745597862E-3</v>
      </c>
      <c r="V529" t="s">
        <v>164</v>
      </c>
    </row>
    <row r="530" spans="9:22" x14ac:dyDescent="0.45">
      <c r="I530" t="s">
        <v>185</v>
      </c>
      <c r="J530" t="s">
        <v>289</v>
      </c>
      <c r="K530">
        <v>9.8375098291305321E-2</v>
      </c>
      <c r="L530" t="s">
        <v>164</v>
      </c>
      <c r="N530" t="s">
        <v>218</v>
      </c>
      <c r="O530" t="s">
        <v>289</v>
      </c>
      <c r="P530">
        <v>2.6823631208918286E-2</v>
      </c>
      <c r="Q530" t="s">
        <v>164</v>
      </c>
      <c r="S530" t="s">
        <v>238</v>
      </c>
      <c r="T530" t="s">
        <v>289</v>
      </c>
      <c r="U530">
        <v>2.8390174395281544E-2</v>
      </c>
      <c r="V530" t="s">
        <v>164</v>
      </c>
    </row>
    <row r="531" spans="9:22" x14ac:dyDescent="0.45">
      <c r="I531" t="s">
        <v>185</v>
      </c>
      <c r="J531" t="s">
        <v>290</v>
      </c>
      <c r="K531">
        <v>6.2778339302341267E-3</v>
      </c>
      <c r="L531" t="s">
        <v>164</v>
      </c>
      <c r="N531" t="s">
        <v>218</v>
      </c>
      <c r="O531" t="s">
        <v>290</v>
      </c>
      <c r="P531">
        <v>5.3319422181242089E-3</v>
      </c>
      <c r="Q531" t="s">
        <v>164</v>
      </c>
      <c r="S531" t="s">
        <v>238</v>
      </c>
      <c r="T531" t="s">
        <v>290</v>
      </c>
      <c r="U531">
        <v>4.7382881868938652E-3</v>
      </c>
      <c r="V531" t="s">
        <v>164</v>
      </c>
    </row>
    <row r="532" spans="9:22" x14ac:dyDescent="0.45">
      <c r="I532" t="s">
        <v>185</v>
      </c>
      <c r="J532" t="s">
        <v>291</v>
      </c>
      <c r="K532">
        <v>0</v>
      </c>
      <c r="L532" t="s">
        <v>164</v>
      </c>
      <c r="N532" t="s">
        <v>218</v>
      </c>
      <c r="O532" t="s">
        <v>291</v>
      </c>
      <c r="P532">
        <v>3.3398646880154509E-2</v>
      </c>
      <c r="Q532" t="s">
        <v>164</v>
      </c>
      <c r="S532" t="s">
        <v>238</v>
      </c>
      <c r="T532" t="s">
        <v>291</v>
      </c>
      <c r="U532">
        <v>3.45467288629316E-2</v>
      </c>
      <c r="V532" t="s">
        <v>164</v>
      </c>
    </row>
    <row r="533" spans="9:22" x14ac:dyDescent="0.45">
      <c r="I533" t="s">
        <v>185</v>
      </c>
      <c r="J533" t="s">
        <v>292</v>
      </c>
      <c r="K533">
        <v>1.1781172555333008E-2</v>
      </c>
      <c r="L533" t="s">
        <v>164</v>
      </c>
      <c r="N533" t="s">
        <v>218</v>
      </c>
      <c r="O533" t="s">
        <v>292</v>
      </c>
      <c r="P533">
        <v>2.9028305997001166E-2</v>
      </c>
      <c r="Q533" t="s">
        <v>164</v>
      </c>
      <c r="S533" t="s">
        <v>238</v>
      </c>
      <c r="T533" t="s">
        <v>292</v>
      </c>
      <c r="U533">
        <v>4.4481576220453775E-2</v>
      </c>
      <c r="V533" t="s">
        <v>164</v>
      </c>
    </row>
    <row r="534" spans="9:22" x14ac:dyDescent="0.45">
      <c r="I534" t="s">
        <v>185</v>
      </c>
      <c r="J534" t="s">
        <v>293</v>
      </c>
      <c r="K534">
        <v>9.4013179158205368E-3</v>
      </c>
      <c r="L534" t="s">
        <v>164</v>
      </c>
      <c r="N534" t="s">
        <v>218</v>
      </c>
      <c r="O534" t="s">
        <v>293</v>
      </c>
      <c r="P534">
        <v>3.2122241910586802E-3</v>
      </c>
      <c r="Q534" t="s">
        <v>164</v>
      </c>
      <c r="S534" t="s">
        <v>238</v>
      </c>
      <c r="T534" t="s">
        <v>293</v>
      </c>
      <c r="U534">
        <v>4.992005460455716E-3</v>
      </c>
      <c r="V534" t="s">
        <v>164</v>
      </c>
    </row>
    <row r="535" spans="9:22" x14ac:dyDescent="0.45">
      <c r="I535" t="s">
        <v>185</v>
      </c>
      <c r="J535" t="s">
        <v>294</v>
      </c>
      <c r="K535">
        <v>1.0244593807971944E-2</v>
      </c>
      <c r="L535" t="s">
        <v>164</v>
      </c>
      <c r="N535" t="s">
        <v>218</v>
      </c>
      <c r="O535" t="s">
        <v>294</v>
      </c>
      <c r="P535">
        <v>3.3756580771230659E-3</v>
      </c>
      <c r="Q535" t="s">
        <v>164</v>
      </c>
      <c r="S535" t="s">
        <v>238</v>
      </c>
      <c r="T535" t="s">
        <v>294</v>
      </c>
      <c r="U535">
        <v>5.0624412898464715E-3</v>
      </c>
      <c r="V535" t="s">
        <v>164</v>
      </c>
    </row>
    <row r="536" spans="9:22" x14ac:dyDescent="0.45">
      <c r="I536" t="s">
        <v>185</v>
      </c>
      <c r="J536" t="s">
        <v>295</v>
      </c>
      <c r="K536">
        <v>5.3905989503362291E-2</v>
      </c>
      <c r="L536" t="s">
        <v>164</v>
      </c>
      <c r="N536" t="s">
        <v>218</v>
      </c>
      <c r="O536" t="s">
        <v>295</v>
      </c>
      <c r="P536">
        <v>2.3463062095524383E-2</v>
      </c>
      <c r="Q536" t="s">
        <v>164</v>
      </c>
      <c r="S536" t="s">
        <v>238</v>
      </c>
      <c r="T536" t="s">
        <v>295</v>
      </c>
      <c r="U536">
        <v>2.8805681619571373E-2</v>
      </c>
      <c r="V536" t="s">
        <v>164</v>
      </c>
    </row>
    <row r="537" spans="9:22" x14ac:dyDescent="0.45">
      <c r="I537" t="s">
        <v>185</v>
      </c>
      <c r="J537" t="s">
        <v>296</v>
      </c>
      <c r="K537">
        <v>4.4972445120638671E-3</v>
      </c>
      <c r="L537" t="s">
        <v>164</v>
      </c>
      <c r="N537" t="s">
        <v>218</v>
      </c>
      <c r="O537" t="s">
        <v>296</v>
      </c>
      <c r="P537">
        <v>4.0481951366339655E-3</v>
      </c>
      <c r="Q537" t="s">
        <v>164</v>
      </c>
      <c r="S537" t="s">
        <v>238</v>
      </c>
      <c r="T537" t="s">
        <v>296</v>
      </c>
      <c r="U537">
        <v>4.7929367103489821E-3</v>
      </c>
      <c r="V537" t="s">
        <v>164</v>
      </c>
    </row>
    <row r="538" spans="9:22" x14ac:dyDescent="0.45">
      <c r="I538" t="s">
        <v>185</v>
      </c>
      <c r="J538" t="s">
        <v>297</v>
      </c>
      <c r="K538">
        <v>0</v>
      </c>
      <c r="L538" t="s">
        <v>164</v>
      </c>
      <c r="N538" t="s">
        <v>218</v>
      </c>
      <c r="O538" t="s">
        <v>297</v>
      </c>
      <c r="P538">
        <v>2.4832885731690846E-2</v>
      </c>
      <c r="Q538" t="s">
        <v>164</v>
      </c>
      <c r="S538" t="s">
        <v>238</v>
      </c>
      <c r="T538" t="s">
        <v>297</v>
      </c>
      <c r="U538">
        <v>3.1421847151458605E-2</v>
      </c>
      <c r="V538" t="s">
        <v>164</v>
      </c>
    </row>
    <row r="539" spans="9:22" x14ac:dyDescent="0.45">
      <c r="I539" t="s">
        <v>186</v>
      </c>
      <c r="J539" t="s">
        <v>163</v>
      </c>
      <c r="K539">
        <v>1.0015847069822083E-2</v>
      </c>
      <c r="L539" t="s">
        <v>164</v>
      </c>
      <c r="N539" t="s">
        <v>219</v>
      </c>
      <c r="O539" t="s">
        <v>163</v>
      </c>
      <c r="P539">
        <v>3.3707603215737812E-2</v>
      </c>
      <c r="Q539" t="s">
        <v>164</v>
      </c>
      <c r="S539" t="s">
        <v>239</v>
      </c>
      <c r="T539" t="s">
        <v>163</v>
      </c>
      <c r="U539">
        <v>3.9968823111365806E-2</v>
      </c>
      <c r="V539" t="s">
        <v>164</v>
      </c>
    </row>
    <row r="540" spans="9:22" x14ac:dyDescent="0.45">
      <c r="I540" t="s">
        <v>186</v>
      </c>
      <c r="J540" t="s">
        <v>165</v>
      </c>
      <c r="K540">
        <v>8.5040746267514618E-3</v>
      </c>
      <c r="L540" t="s">
        <v>164</v>
      </c>
      <c r="N540" t="s">
        <v>219</v>
      </c>
      <c r="O540" t="s">
        <v>165</v>
      </c>
      <c r="P540">
        <v>5.4395191275349048E-3</v>
      </c>
      <c r="Q540" t="s">
        <v>164</v>
      </c>
      <c r="S540" t="s">
        <v>239</v>
      </c>
      <c r="T540" t="s">
        <v>165</v>
      </c>
      <c r="U540">
        <v>4.5335806702292685E-3</v>
      </c>
      <c r="V540" t="s">
        <v>164</v>
      </c>
    </row>
    <row r="541" spans="9:22" x14ac:dyDescent="0.45">
      <c r="I541" t="s">
        <v>186</v>
      </c>
      <c r="J541" t="s">
        <v>166</v>
      </c>
      <c r="K541">
        <v>9.9433127220423904E-3</v>
      </c>
      <c r="L541" t="s">
        <v>164</v>
      </c>
      <c r="N541" t="s">
        <v>219</v>
      </c>
      <c r="O541" t="s">
        <v>166</v>
      </c>
      <c r="P541">
        <v>6.3405979265860144E-3</v>
      </c>
      <c r="Q541" t="s">
        <v>164</v>
      </c>
      <c r="S541" t="s">
        <v>239</v>
      </c>
      <c r="T541" t="s">
        <v>166</v>
      </c>
      <c r="U541">
        <v>4.383789895275385E-3</v>
      </c>
      <c r="V541" t="s">
        <v>164</v>
      </c>
    </row>
    <row r="542" spans="9:22" x14ac:dyDescent="0.45">
      <c r="I542" t="s">
        <v>186</v>
      </c>
      <c r="J542" t="s">
        <v>262</v>
      </c>
      <c r="K542">
        <v>5.8119196190521395E-2</v>
      </c>
      <c r="L542" t="s">
        <v>164</v>
      </c>
      <c r="N542" t="s">
        <v>219</v>
      </c>
      <c r="O542" t="s">
        <v>262</v>
      </c>
      <c r="P542">
        <v>4.2196443299080115E-2</v>
      </c>
      <c r="Q542" t="s">
        <v>164</v>
      </c>
      <c r="S542" t="s">
        <v>239</v>
      </c>
      <c r="T542" t="s">
        <v>262</v>
      </c>
      <c r="U542">
        <v>1.9206552332521797E-2</v>
      </c>
      <c r="V542" t="s">
        <v>164</v>
      </c>
    </row>
    <row r="543" spans="9:22" x14ac:dyDescent="0.45">
      <c r="I543" t="s">
        <v>186</v>
      </c>
      <c r="J543" t="s">
        <v>263</v>
      </c>
      <c r="K543">
        <v>5.7900451159610426E-3</v>
      </c>
      <c r="L543" t="s">
        <v>164</v>
      </c>
      <c r="N543" t="s">
        <v>219</v>
      </c>
      <c r="O543" t="s">
        <v>263</v>
      </c>
      <c r="P543">
        <v>6.8164579488630608E-3</v>
      </c>
      <c r="Q543" t="s">
        <v>164</v>
      </c>
      <c r="S543" t="s">
        <v>239</v>
      </c>
      <c r="T543" t="s">
        <v>263</v>
      </c>
      <c r="U543">
        <v>3.0824880376017312E-3</v>
      </c>
      <c r="V543" t="s">
        <v>164</v>
      </c>
    </row>
    <row r="544" spans="9:22" x14ac:dyDescent="0.45">
      <c r="I544" t="s">
        <v>186</v>
      </c>
      <c r="J544" t="s">
        <v>264</v>
      </c>
      <c r="K544">
        <v>3.8930724222896607E-3</v>
      </c>
      <c r="L544" t="s">
        <v>164</v>
      </c>
      <c r="N544" t="s">
        <v>219</v>
      </c>
      <c r="O544" t="s">
        <v>264</v>
      </c>
      <c r="P544">
        <v>4.1080368179530029E-2</v>
      </c>
      <c r="Q544" t="s">
        <v>164</v>
      </c>
      <c r="S544" t="s">
        <v>239</v>
      </c>
      <c r="T544" t="s">
        <v>264</v>
      </c>
      <c r="U544">
        <v>2.5079765618076406E-2</v>
      </c>
      <c r="V544" t="s">
        <v>164</v>
      </c>
    </row>
    <row r="545" spans="9:22" x14ac:dyDescent="0.45">
      <c r="I545" t="s">
        <v>186</v>
      </c>
      <c r="J545" t="s">
        <v>167</v>
      </c>
      <c r="K545">
        <v>8.3162645298054186E-3</v>
      </c>
      <c r="L545" t="s">
        <v>164</v>
      </c>
      <c r="N545" t="s">
        <v>219</v>
      </c>
      <c r="O545" t="s">
        <v>167</v>
      </c>
      <c r="P545">
        <v>2.4623561278652506E-2</v>
      </c>
      <c r="Q545" t="s">
        <v>164</v>
      </c>
      <c r="S545" t="s">
        <v>239</v>
      </c>
      <c r="T545" t="s">
        <v>167</v>
      </c>
      <c r="U545">
        <v>5.0146856960582104E-2</v>
      </c>
      <c r="V545" t="s">
        <v>164</v>
      </c>
    </row>
    <row r="546" spans="9:22" x14ac:dyDescent="0.45">
      <c r="I546" t="s">
        <v>186</v>
      </c>
      <c r="J546" t="s">
        <v>168</v>
      </c>
      <c r="K546">
        <v>7.3150289476521585E-3</v>
      </c>
      <c r="L546" t="s">
        <v>164</v>
      </c>
      <c r="N546" t="s">
        <v>219</v>
      </c>
      <c r="O546" t="s">
        <v>168</v>
      </c>
      <c r="P546">
        <v>4.862203985820367E-3</v>
      </c>
      <c r="Q546" t="s">
        <v>164</v>
      </c>
      <c r="S546" t="s">
        <v>239</v>
      </c>
      <c r="T546" t="s">
        <v>168</v>
      </c>
      <c r="U546">
        <v>5.4958586602765619E-3</v>
      </c>
      <c r="V546" t="s">
        <v>164</v>
      </c>
    </row>
    <row r="547" spans="9:22" x14ac:dyDescent="0.45">
      <c r="I547" t="s">
        <v>186</v>
      </c>
      <c r="J547" t="s">
        <v>169</v>
      </c>
      <c r="K547">
        <v>8.4579473038122067E-3</v>
      </c>
      <c r="L547" t="s">
        <v>164</v>
      </c>
      <c r="N547" t="s">
        <v>219</v>
      </c>
      <c r="O547" t="s">
        <v>169</v>
      </c>
      <c r="P547">
        <v>5.4228111846525854E-3</v>
      </c>
      <c r="Q547" t="s">
        <v>164</v>
      </c>
      <c r="S547" t="s">
        <v>239</v>
      </c>
      <c r="T547" t="s">
        <v>169</v>
      </c>
      <c r="U547">
        <v>5.3764037447139434E-3</v>
      </c>
      <c r="V547" t="s">
        <v>164</v>
      </c>
    </row>
    <row r="548" spans="9:22" x14ac:dyDescent="0.45">
      <c r="I548" t="s">
        <v>186</v>
      </c>
      <c r="J548" t="s">
        <v>265</v>
      </c>
      <c r="K548">
        <v>5.1360927310897989E-2</v>
      </c>
      <c r="L548" t="s">
        <v>164</v>
      </c>
      <c r="N548" t="s">
        <v>219</v>
      </c>
      <c r="O548" t="s">
        <v>265</v>
      </c>
      <c r="P548">
        <v>3.0890998857500362E-2</v>
      </c>
      <c r="Q548" t="s">
        <v>164</v>
      </c>
      <c r="S548" t="s">
        <v>239</v>
      </c>
      <c r="T548" t="s">
        <v>265</v>
      </c>
      <c r="U548">
        <v>2.6493444160272592E-2</v>
      </c>
      <c r="V548" t="s">
        <v>164</v>
      </c>
    </row>
    <row r="549" spans="9:22" x14ac:dyDescent="0.45">
      <c r="I549" t="s">
        <v>186</v>
      </c>
      <c r="J549" t="s">
        <v>266</v>
      </c>
      <c r="K549">
        <v>5.232289036285905E-3</v>
      </c>
      <c r="L549" t="s">
        <v>164</v>
      </c>
      <c r="N549" t="s">
        <v>219</v>
      </c>
      <c r="O549" t="s">
        <v>266</v>
      </c>
      <c r="P549">
        <v>5.2490567533363805E-3</v>
      </c>
      <c r="Q549" t="s">
        <v>164</v>
      </c>
      <c r="S549" t="s">
        <v>239</v>
      </c>
      <c r="T549" t="s">
        <v>266</v>
      </c>
      <c r="U549">
        <v>4.4497019172806494E-3</v>
      </c>
      <c r="V549" t="s">
        <v>164</v>
      </c>
    </row>
    <row r="550" spans="9:22" x14ac:dyDescent="0.45">
      <c r="I550" t="s">
        <v>186</v>
      </c>
      <c r="J550" t="s">
        <v>267</v>
      </c>
      <c r="K550">
        <v>3.2595299536688905E-3</v>
      </c>
      <c r="L550" t="s">
        <v>164</v>
      </c>
      <c r="N550" t="s">
        <v>219</v>
      </c>
      <c r="O550" t="s">
        <v>267</v>
      </c>
      <c r="P550">
        <v>3.1440420145405025E-2</v>
      </c>
      <c r="Q550" t="s">
        <v>164</v>
      </c>
      <c r="S550" t="s">
        <v>239</v>
      </c>
      <c r="T550" t="s">
        <v>267</v>
      </c>
      <c r="U550">
        <v>3.2789216280695185E-2</v>
      </c>
      <c r="V550" t="s">
        <v>164</v>
      </c>
    </row>
    <row r="551" spans="9:22" x14ac:dyDescent="0.45">
      <c r="I551" t="s">
        <v>186</v>
      </c>
      <c r="J551" t="s">
        <v>170</v>
      </c>
      <c r="K551">
        <v>7.4241015323785135E-3</v>
      </c>
      <c r="L551" t="s">
        <v>164</v>
      </c>
      <c r="N551" t="s">
        <v>219</v>
      </c>
      <c r="O551" t="s">
        <v>170</v>
      </c>
      <c r="P551">
        <v>2.395191287764219E-2</v>
      </c>
      <c r="Q551" t="s">
        <v>164</v>
      </c>
      <c r="S551" t="s">
        <v>239</v>
      </c>
      <c r="T551" t="s">
        <v>170</v>
      </c>
      <c r="U551">
        <v>4.1634245726887675E-2</v>
      </c>
      <c r="V551" t="s">
        <v>164</v>
      </c>
    </row>
    <row r="552" spans="9:22" x14ac:dyDescent="0.45">
      <c r="I552" t="s">
        <v>186</v>
      </c>
      <c r="J552" t="s">
        <v>171</v>
      </c>
      <c r="K552">
        <v>6.9074856399537815E-3</v>
      </c>
      <c r="L552" t="s">
        <v>164</v>
      </c>
      <c r="N552" t="s">
        <v>219</v>
      </c>
      <c r="O552" t="s">
        <v>171</v>
      </c>
      <c r="P552">
        <v>3.8734819720749256E-3</v>
      </c>
      <c r="Q552" t="s">
        <v>164</v>
      </c>
      <c r="S552" t="s">
        <v>239</v>
      </c>
      <c r="T552" t="s">
        <v>171</v>
      </c>
      <c r="U552">
        <v>4.758544708556833E-3</v>
      </c>
      <c r="V552" t="s">
        <v>164</v>
      </c>
    </row>
    <row r="553" spans="9:22" x14ac:dyDescent="0.45">
      <c r="I553" t="s">
        <v>186</v>
      </c>
      <c r="J553" t="s">
        <v>172</v>
      </c>
      <c r="K553">
        <v>8.2683864145963251E-3</v>
      </c>
      <c r="L553" t="s">
        <v>164</v>
      </c>
      <c r="N553" t="s">
        <v>219</v>
      </c>
      <c r="O553" t="s">
        <v>172</v>
      </c>
      <c r="P553">
        <v>4.2697097371749634E-3</v>
      </c>
      <c r="Q553" t="s">
        <v>164</v>
      </c>
      <c r="S553" t="s">
        <v>239</v>
      </c>
      <c r="T553" t="s">
        <v>172</v>
      </c>
      <c r="U553">
        <v>4.5761800431845428E-3</v>
      </c>
      <c r="V553" t="s">
        <v>164</v>
      </c>
    </row>
    <row r="554" spans="9:22" x14ac:dyDescent="0.45">
      <c r="I554" t="s">
        <v>186</v>
      </c>
      <c r="J554" t="s">
        <v>268</v>
      </c>
      <c r="K554">
        <v>5.1207707287545055E-2</v>
      </c>
      <c r="L554" t="s">
        <v>164</v>
      </c>
      <c r="N554" t="s">
        <v>219</v>
      </c>
      <c r="O554" t="s">
        <v>268</v>
      </c>
      <c r="P554">
        <v>2.5358991958785295E-2</v>
      </c>
      <c r="Q554" t="s">
        <v>164</v>
      </c>
      <c r="S554" t="s">
        <v>239</v>
      </c>
      <c r="T554" t="s">
        <v>268</v>
      </c>
      <c r="U554">
        <v>2.1176320740720386E-2</v>
      </c>
      <c r="V554" t="s">
        <v>164</v>
      </c>
    </row>
    <row r="555" spans="9:22" x14ac:dyDescent="0.45">
      <c r="I555" t="s">
        <v>186</v>
      </c>
      <c r="J555" t="s">
        <v>269</v>
      </c>
      <c r="K555">
        <v>4.0091016450237516E-3</v>
      </c>
      <c r="L555" t="s">
        <v>164</v>
      </c>
      <c r="N555" t="s">
        <v>219</v>
      </c>
      <c r="O555" t="s">
        <v>269</v>
      </c>
      <c r="P555">
        <v>4.2952114795325909E-3</v>
      </c>
      <c r="Q555" t="s">
        <v>164</v>
      </c>
      <c r="S555" t="s">
        <v>239</v>
      </c>
      <c r="T555" t="s">
        <v>269</v>
      </c>
      <c r="U555">
        <v>3.4783103275449912E-3</v>
      </c>
      <c r="V555" t="s">
        <v>164</v>
      </c>
    </row>
    <row r="556" spans="9:22" x14ac:dyDescent="0.45">
      <c r="I556" t="s">
        <v>186</v>
      </c>
      <c r="J556" t="s">
        <v>270</v>
      </c>
      <c r="K556">
        <v>2.1422488117400834E-3</v>
      </c>
      <c r="L556" t="s">
        <v>164</v>
      </c>
      <c r="N556" t="s">
        <v>219</v>
      </c>
      <c r="O556" t="s">
        <v>270</v>
      </c>
      <c r="P556">
        <v>2.5525160636279534E-2</v>
      </c>
      <c r="Q556" t="s">
        <v>164</v>
      </c>
      <c r="S556" t="s">
        <v>239</v>
      </c>
      <c r="T556" t="s">
        <v>270</v>
      </c>
      <c r="U556">
        <v>2.6692926542912256E-2</v>
      </c>
      <c r="V556" t="s">
        <v>164</v>
      </c>
    </row>
    <row r="557" spans="9:22" x14ac:dyDescent="0.45">
      <c r="I557" t="s">
        <v>186</v>
      </c>
      <c r="J557" t="s">
        <v>173</v>
      </c>
      <c r="K557">
        <v>1.4259870333364533E-2</v>
      </c>
      <c r="L557" t="s">
        <v>164</v>
      </c>
      <c r="N557" t="s">
        <v>219</v>
      </c>
      <c r="O557" t="s">
        <v>173</v>
      </c>
      <c r="P557">
        <v>3.7277529346092693E-2</v>
      </c>
      <c r="Q557" t="s">
        <v>164</v>
      </c>
      <c r="S557" t="s">
        <v>239</v>
      </c>
      <c r="T557" t="s">
        <v>173</v>
      </c>
      <c r="U557">
        <v>8.270129312187538E-2</v>
      </c>
      <c r="V557" t="s">
        <v>164</v>
      </c>
    </row>
    <row r="558" spans="9:22" x14ac:dyDescent="0.45">
      <c r="I558" t="s">
        <v>186</v>
      </c>
      <c r="J558" t="s">
        <v>174</v>
      </c>
      <c r="K558">
        <v>1.3002112343768489E-2</v>
      </c>
      <c r="L558" t="s">
        <v>164</v>
      </c>
      <c r="N558" t="s">
        <v>219</v>
      </c>
      <c r="O558" t="s">
        <v>174</v>
      </c>
      <c r="P558">
        <v>5.5710495072062473E-3</v>
      </c>
      <c r="Q558" t="s">
        <v>164</v>
      </c>
      <c r="S558" t="s">
        <v>239</v>
      </c>
      <c r="T558" t="s">
        <v>174</v>
      </c>
      <c r="U558">
        <v>8.4174840292537551E-3</v>
      </c>
      <c r="V558" t="s">
        <v>164</v>
      </c>
    </row>
    <row r="559" spans="9:22" x14ac:dyDescent="0.45">
      <c r="I559" t="s">
        <v>186</v>
      </c>
      <c r="J559" t="s">
        <v>175</v>
      </c>
      <c r="K559">
        <v>1.5956202688894972E-2</v>
      </c>
      <c r="L559" t="s">
        <v>164</v>
      </c>
      <c r="N559" t="s">
        <v>219</v>
      </c>
      <c r="O559" t="s">
        <v>175</v>
      </c>
      <c r="P559">
        <v>6.1903634135536158E-3</v>
      </c>
      <c r="Q559" t="s">
        <v>164</v>
      </c>
      <c r="S559" t="s">
        <v>239</v>
      </c>
      <c r="T559" t="s">
        <v>175</v>
      </c>
      <c r="U559">
        <v>8.2473849438154806E-3</v>
      </c>
      <c r="V559" t="s">
        <v>164</v>
      </c>
    </row>
    <row r="560" spans="9:22" x14ac:dyDescent="0.45">
      <c r="I560" t="s">
        <v>186</v>
      </c>
      <c r="J560" t="s">
        <v>271</v>
      </c>
      <c r="K560">
        <v>9.6826404906115798E-2</v>
      </c>
      <c r="L560" t="s">
        <v>164</v>
      </c>
      <c r="N560" t="s">
        <v>219</v>
      </c>
      <c r="O560" t="s">
        <v>271</v>
      </c>
      <c r="P560">
        <v>3.6805990346019474E-2</v>
      </c>
      <c r="Q560" t="s">
        <v>164</v>
      </c>
      <c r="S560" t="s">
        <v>239</v>
      </c>
      <c r="T560" t="s">
        <v>271</v>
      </c>
      <c r="U560">
        <v>4.0232714913038536E-2</v>
      </c>
      <c r="V560" t="s">
        <v>164</v>
      </c>
    </row>
    <row r="561" spans="9:22" x14ac:dyDescent="0.45">
      <c r="I561" t="s">
        <v>186</v>
      </c>
      <c r="J561" t="s">
        <v>272</v>
      </c>
      <c r="K561">
        <v>6.3746597879289803E-3</v>
      </c>
      <c r="L561" t="s">
        <v>164</v>
      </c>
      <c r="N561" t="s">
        <v>219</v>
      </c>
      <c r="O561" t="s">
        <v>272</v>
      </c>
      <c r="P561">
        <v>5.3826436548287887E-3</v>
      </c>
      <c r="Q561" t="s">
        <v>164</v>
      </c>
      <c r="S561" t="s">
        <v>239</v>
      </c>
      <c r="T561" t="s">
        <v>272</v>
      </c>
      <c r="U561">
        <v>7.1591772919889808E-3</v>
      </c>
      <c r="V561" t="s">
        <v>164</v>
      </c>
    </row>
    <row r="562" spans="9:22" x14ac:dyDescent="0.45">
      <c r="I562" t="s">
        <v>186</v>
      </c>
      <c r="J562" t="s">
        <v>273</v>
      </c>
      <c r="K562">
        <v>2.8559794665308134E-3</v>
      </c>
      <c r="L562" t="s">
        <v>164</v>
      </c>
      <c r="N562" t="s">
        <v>219</v>
      </c>
      <c r="O562" t="s">
        <v>273</v>
      </c>
      <c r="P562">
        <v>3.884192089702225E-2</v>
      </c>
      <c r="Q562" t="s">
        <v>164</v>
      </c>
      <c r="S562" t="s">
        <v>239</v>
      </c>
      <c r="T562" t="s">
        <v>273</v>
      </c>
      <c r="U562">
        <v>5.4583269904225649E-2</v>
      </c>
      <c r="V562" t="s">
        <v>164</v>
      </c>
    </row>
    <row r="563" spans="9:22" x14ac:dyDescent="0.45">
      <c r="I563" t="s">
        <v>186</v>
      </c>
      <c r="J563" t="s">
        <v>274</v>
      </c>
      <c r="K563">
        <v>1.5746798413612175E-2</v>
      </c>
      <c r="L563" t="s">
        <v>164</v>
      </c>
      <c r="N563" t="s">
        <v>219</v>
      </c>
      <c r="O563" t="s">
        <v>274</v>
      </c>
      <c r="P563">
        <v>5.5463237277972116E-2</v>
      </c>
      <c r="Q563" t="s">
        <v>164</v>
      </c>
      <c r="S563" t="s">
        <v>239</v>
      </c>
      <c r="T563" t="s">
        <v>274</v>
      </c>
      <c r="U563">
        <v>6.7860812436482662E-2</v>
      </c>
      <c r="V563" t="s">
        <v>164</v>
      </c>
    </row>
    <row r="564" spans="9:22" x14ac:dyDescent="0.45">
      <c r="I564" t="s">
        <v>186</v>
      </c>
      <c r="J564" t="s">
        <v>275</v>
      </c>
      <c r="K564">
        <v>1.3991599804455392E-2</v>
      </c>
      <c r="L564" t="s">
        <v>164</v>
      </c>
      <c r="N564" t="s">
        <v>219</v>
      </c>
      <c r="O564" t="s">
        <v>275</v>
      </c>
      <c r="P564">
        <v>1.0781077660273468E-2</v>
      </c>
      <c r="Q564" t="s">
        <v>164</v>
      </c>
      <c r="S564" t="s">
        <v>239</v>
      </c>
      <c r="T564" t="s">
        <v>275</v>
      </c>
      <c r="U564">
        <v>6.2157759056045096E-3</v>
      </c>
      <c r="V564" t="s">
        <v>164</v>
      </c>
    </row>
    <row r="565" spans="9:22" x14ac:dyDescent="0.45">
      <c r="I565" t="s">
        <v>186</v>
      </c>
      <c r="J565" t="s">
        <v>276</v>
      </c>
      <c r="K565">
        <v>1.7353184136021566E-2</v>
      </c>
      <c r="L565" t="s">
        <v>164</v>
      </c>
      <c r="N565" t="s">
        <v>219</v>
      </c>
      <c r="O565" t="s">
        <v>276</v>
      </c>
      <c r="P565">
        <v>1.2787424621014183E-2</v>
      </c>
      <c r="Q565" t="s">
        <v>164</v>
      </c>
      <c r="S565" t="s">
        <v>239</v>
      </c>
      <c r="T565" t="s">
        <v>276</v>
      </c>
      <c r="U565">
        <v>6.0742982072056993E-3</v>
      </c>
      <c r="V565" t="s">
        <v>164</v>
      </c>
    </row>
    <row r="566" spans="9:22" x14ac:dyDescent="0.45">
      <c r="I566" t="s">
        <v>186</v>
      </c>
      <c r="J566" t="s">
        <v>277</v>
      </c>
      <c r="K566">
        <v>0.10151584546328959</v>
      </c>
      <c r="L566" t="s">
        <v>164</v>
      </c>
      <c r="N566" t="s">
        <v>219</v>
      </c>
      <c r="O566" t="s">
        <v>277</v>
      </c>
      <c r="P566">
        <v>8.6703857258299086E-2</v>
      </c>
      <c r="Q566" t="s">
        <v>164</v>
      </c>
      <c r="S566" t="s">
        <v>239</v>
      </c>
      <c r="T566" t="s">
        <v>277</v>
      </c>
      <c r="U566">
        <v>3.1500808318704984E-2</v>
      </c>
      <c r="V566" t="s">
        <v>164</v>
      </c>
    </row>
    <row r="567" spans="9:22" x14ac:dyDescent="0.45">
      <c r="I567" t="s">
        <v>186</v>
      </c>
      <c r="J567" t="s">
        <v>278</v>
      </c>
      <c r="K567">
        <v>7.2765059961419432E-3</v>
      </c>
      <c r="L567" t="s">
        <v>164</v>
      </c>
      <c r="N567" t="s">
        <v>219</v>
      </c>
      <c r="O567" t="s">
        <v>278</v>
      </c>
      <c r="P567">
        <v>1.2357064702582557E-2</v>
      </c>
      <c r="Q567" t="s">
        <v>164</v>
      </c>
      <c r="S567" t="s">
        <v>239</v>
      </c>
      <c r="T567" t="s">
        <v>278</v>
      </c>
      <c r="U567">
        <v>5.8269198168712771E-3</v>
      </c>
      <c r="V567" t="s">
        <v>164</v>
      </c>
    </row>
    <row r="568" spans="9:22" x14ac:dyDescent="0.45">
      <c r="I568" t="s">
        <v>186</v>
      </c>
      <c r="J568" t="s">
        <v>279</v>
      </c>
      <c r="K568">
        <v>3.950366931557139E-3</v>
      </c>
      <c r="L568" t="s">
        <v>164</v>
      </c>
      <c r="N568" t="s">
        <v>219</v>
      </c>
      <c r="O568" t="s">
        <v>279</v>
      </c>
      <c r="P568">
        <v>6.0706683781663613E-2</v>
      </c>
      <c r="Q568" t="s">
        <v>164</v>
      </c>
      <c r="S568" t="s">
        <v>239</v>
      </c>
      <c r="T568" t="s">
        <v>279</v>
      </c>
      <c r="U568">
        <v>4.3542401245599563E-2</v>
      </c>
      <c r="V568" t="s">
        <v>164</v>
      </c>
    </row>
    <row r="569" spans="9:22" x14ac:dyDescent="0.45">
      <c r="I569" t="s">
        <v>186</v>
      </c>
      <c r="J569" t="s">
        <v>280</v>
      </c>
      <c r="K569">
        <v>1.5399471697890991E-2</v>
      </c>
      <c r="L569" t="s">
        <v>164</v>
      </c>
      <c r="N569" t="s">
        <v>219</v>
      </c>
      <c r="O569" t="s">
        <v>280</v>
      </c>
      <c r="P569">
        <v>2.4288641346671906E-2</v>
      </c>
      <c r="Q569" t="s">
        <v>164</v>
      </c>
      <c r="S569" t="s">
        <v>239</v>
      </c>
      <c r="T569" t="s">
        <v>280</v>
      </c>
      <c r="U569">
        <v>3.0669590031701895E-2</v>
      </c>
      <c r="V569" t="s">
        <v>164</v>
      </c>
    </row>
    <row r="570" spans="9:22" x14ac:dyDescent="0.45">
      <c r="I570" t="s">
        <v>186</v>
      </c>
      <c r="J570" t="s">
        <v>281</v>
      </c>
      <c r="K570">
        <v>1.5023022117498026E-2</v>
      </c>
      <c r="L570" t="s">
        <v>164</v>
      </c>
      <c r="N570" t="s">
        <v>219</v>
      </c>
      <c r="O570" t="s">
        <v>281</v>
      </c>
      <c r="P570">
        <v>5.1378752857873513E-3</v>
      </c>
      <c r="Q570" t="s">
        <v>164</v>
      </c>
      <c r="S570" t="s">
        <v>239</v>
      </c>
      <c r="T570" t="s">
        <v>281</v>
      </c>
      <c r="U570">
        <v>3.0385355858247418E-3</v>
      </c>
      <c r="V570" t="s">
        <v>164</v>
      </c>
    </row>
    <row r="571" spans="9:22" x14ac:dyDescent="0.45">
      <c r="I571" t="s">
        <v>186</v>
      </c>
      <c r="J571" t="s">
        <v>282</v>
      </c>
      <c r="K571">
        <v>1.8715141342386457E-2</v>
      </c>
      <c r="L571" t="s">
        <v>164</v>
      </c>
      <c r="N571" t="s">
        <v>219</v>
      </c>
      <c r="O571" t="s">
        <v>282</v>
      </c>
      <c r="P571">
        <v>6.6631929242311795E-3</v>
      </c>
      <c r="Q571" t="s">
        <v>164</v>
      </c>
      <c r="S571" t="s">
        <v>239</v>
      </c>
      <c r="T571" t="s">
        <v>282</v>
      </c>
      <c r="U571">
        <v>2.9343816363155474E-3</v>
      </c>
      <c r="V571" t="s">
        <v>164</v>
      </c>
    </row>
    <row r="572" spans="9:22" x14ac:dyDescent="0.45">
      <c r="I572" t="s">
        <v>186</v>
      </c>
      <c r="J572" t="s">
        <v>283</v>
      </c>
      <c r="K572">
        <v>0.10795643091676967</v>
      </c>
      <c r="L572" t="s">
        <v>164</v>
      </c>
      <c r="N572" t="s">
        <v>219</v>
      </c>
      <c r="O572" t="s">
        <v>283</v>
      </c>
      <c r="P572">
        <v>4.8815912040150906E-2</v>
      </c>
      <c r="Q572" t="s">
        <v>164</v>
      </c>
      <c r="S572" t="s">
        <v>239</v>
      </c>
      <c r="T572" t="s">
        <v>283</v>
      </c>
      <c r="U572">
        <v>1.4421666030524563E-2</v>
      </c>
      <c r="V572" t="s">
        <v>164</v>
      </c>
    </row>
    <row r="573" spans="9:22" x14ac:dyDescent="0.45">
      <c r="I573" t="s">
        <v>186</v>
      </c>
      <c r="J573" t="s">
        <v>284</v>
      </c>
      <c r="K573">
        <v>7.4724337538487166E-3</v>
      </c>
      <c r="L573" t="s">
        <v>164</v>
      </c>
      <c r="N573" t="s">
        <v>219</v>
      </c>
      <c r="O573" t="s">
        <v>284</v>
      </c>
      <c r="P573">
        <v>5.8984109188803587E-3</v>
      </c>
      <c r="Q573" t="s">
        <v>164</v>
      </c>
      <c r="S573" t="s">
        <v>239</v>
      </c>
      <c r="T573" t="s">
        <v>284</v>
      </c>
      <c r="U573">
        <v>2.4281949424376269E-3</v>
      </c>
      <c r="V573" t="s">
        <v>164</v>
      </c>
    </row>
    <row r="574" spans="9:22" x14ac:dyDescent="0.45">
      <c r="I574" t="s">
        <v>186</v>
      </c>
      <c r="J574" t="s">
        <v>285</v>
      </c>
      <c r="K574">
        <v>3.8839751166890569E-3</v>
      </c>
      <c r="L574" t="s">
        <v>164</v>
      </c>
      <c r="N574" t="s">
        <v>219</v>
      </c>
      <c r="O574" t="s">
        <v>285</v>
      </c>
      <c r="P574">
        <v>2.868224477326934E-2</v>
      </c>
      <c r="Q574" t="s">
        <v>164</v>
      </c>
      <c r="S574" t="s">
        <v>239</v>
      </c>
      <c r="T574" t="s">
        <v>285</v>
      </c>
      <c r="U574">
        <v>2.1946033081595429E-2</v>
      </c>
      <c r="V574" t="s">
        <v>164</v>
      </c>
    </row>
    <row r="575" spans="9:22" x14ac:dyDescent="0.45">
      <c r="I575" t="s">
        <v>186</v>
      </c>
      <c r="J575" t="s">
        <v>286</v>
      </c>
      <c r="K575">
        <v>1.97258534689136E-2</v>
      </c>
      <c r="L575" t="s">
        <v>164</v>
      </c>
      <c r="N575" t="s">
        <v>219</v>
      </c>
      <c r="O575" t="s">
        <v>286</v>
      </c>
      <c r="P575">
        <v>1.758928688019111E-2</v>
      </c>
      <c r="Q575" t="s">
        <v>164</v>
      </c>
      <c r="S575" t="s">
        <v>239</v>
      </c>
      <c r="T575" t="s">
        <v>286</v>
      </c>
      <c r="U575">
        <v>4.6962350918120975E-2</v>
      </c>
      <c r="V575" t="s">
        <v>164</v>
      </c>
    </row>
    <row r="576" spans="9:22" x14ac:dyDescent="0.45">
      <c r="I576" t="s">
        <v>186</v>
      </c>
      <c r="J576" t="s">
        <v>287</v>
      </c>
      <c r="K576">
        <v>1.7201373559205486E-2</v>
      </c>
      <c r="L576" t="s">
        <v>164</v>
      </c>
      <c r="N576" t="s">
        <v>219</v>
      </c>
      <c r="O576" t="s">
        <v>287</v>
      </c>
      <c r="P576">
        <v>3.3830434751362837E-3</v>
      </c>
      <c r="Q576" t="s">
        <v>164</v>
      </c>
      <c r="S576" t="s">
        <v>239</v>
      </c>
      <c r="T576" t="s">
        <v>287</v>
      </c>
      <c r="U576">
        <v>4.7495094444044575E-3</v>
      </c>
      <c r="V576" t="s">
        <v>164</v>
      </c>
    </row>
    <row r="577" spans="9:22" x14ac:dyDescent="0.45">
      <c r="I577" t="s">
        <v>186</v>
      </c>
      <c r="J577" t="s">
        <v>288</v>
      </c>
      <c r="K577">
        <v>1.96886701303669E-2</v>
      </c>
      <c r="L577" t="s">
        <v>164</v>
      </c>
      <c r="N577" t="s">
        <v>219</v>
      </c>
      <c r="O577" t="s">
        <v>288</v>
      </c>
      <c r="P577">
        <v>4.3341992774569909E-3</v>
      </c>
      <c r="Q577" t="s">
        <v>164</v>
      </c>
      <c r="S577" t="s">
        <v>239</v>
      </c>
      <c r="T577" t="s">
        <v>288</v>
      </c>
      <c r="U577">
        <v>4.6134675346532995E-3</v>
      </c>
      <c r="V577" t="s">
        <v>164</v>
      </c>
    </row>
    <row r="578" spans="9:22" x14ac:dyDescent="0.45">
      <c r="I578" t="s">
        <v>186</v>
      </c>
      <c r="J578" t="s">
        <v>289</v>
      </c>
      <c r="K578">
        <v>0.10743092327965842</v>
      </c>
      <c r="L578" t="s">
        <v>164</v>
      </c>
      <c r="N578" t="s">
        <v>219</v>
      </c>
      <c r="O578" t="s">
        <v>289</v>
      </c>
      <c r="P578">
        <v>3.2690151933064238E-2</v>
      </c>
      <c r="Q578" t="s">
        <v>164</v>
      </c>
      <c r="S578" t="s">
        <v>239</v>
      </c>
      <c r="T578" t="s">
        <v>289</v>
      </c>
      <c r="U578">
        <v>2.3629100348023013E-2</v>
      </c>
      <c r="V578" t="s">
        <v>164</v>
      </c>
    </row>
    <row r="579" spans="9:22" x14ac:dyDescent="0.45">
      <c r="I579" t="s">
        <v>186</v>
      </c>
      <c r="J579" t="s">
        <v>290</v>
      </c>
      <c r="K579">
        <v>7.5406551639262418E-3</v>
      </c>
      <c r="L579" t="s">
        <v>164</v>
      </c>
      <c r="N579" t="s">
        <v>219</v>
      </c>
      <c r="O579" t="s">
        <v>290</v>
      </c>
      <c r="P579">
        <v>5.0055710352352187E-3</v>
      </c>
      <c r="Q579" t="s">
        <v>164</v>
      </c>
      <c r="S579" t="s">
        <v>239</v>
      </c>
      <c r="T579" t="s">
        <v>290</v>
      </c>
      <c r="U579">
        <v>4.429493037788633E-3</v>
      </c>
      <c r="V579" t="s">
        <v>164</v>
      </c>
    </row>
    <row r="580" spans="9:22" x14ac:dyDescent="0.45">
      <c r="I580" t="s">
        <v>186</v>
      </c>
      <c r="J580" t="s">
        <v>291</v>
      </c>
      <c r="K580">
        <v>4.7537583241930237E-4</v>
      </c>
      <c r="L580" t="s">
        <v>164</v>
      </c>
      <c r="N580" t="s">
        <v>219</v>
      </c>
      <c r="O580" t="s">
        <v>291</v>
      </c>
      <c r="P580">
        <v>2.7349910521205684E-2</v>
      </c>
      <c r="Q580" t="s">
        <v>164</v>
      </c>
      <c r="S580" t="s">
        <v>239</v>
      </c>
      <c r="T580" t="s">
        <v>291</v>
      </c>
      <c r="U580">
        <v>3.4235672571473461E-2</v>
      </c>
      <c r="V580" t="s">
        <v>164</v>
      </c>
    </row>
    <row r="581" spans="9:22" x14ac:dyDescent="0.45">
      <c r="I581" t="s">
        <v>186</v>
      </c>
      <c r="J581" t="s">
        <v>292</v>
      </c>
      <c r="K581">
        <v>1.0540816823675655E-2</v>
      </c>
      <c r="L581" t="s">
        <v>164</v>
      </c>
      <c r="N581" t="s">
        <v>219</v>
      </c>
      <c r="O581" t="s">
        <v>292</v>
      </c>
      <c r="P581">
        <v>2.1478814899451849E-2</v>
      </c>
      <c r="Q581" t="s">
        <v>164</v>
      </c>
      <c r="S581" t="s">
        <v>239</v>
      </c>
      <c r="T581" t="s">
        <v>292</v>
      </c>
      <c r="U581">
        <v>4.7246231611834083E-2</v>
      </c>
      <c r="V581" t="s">
        <v>164</v>
      </c>
    </row>
    <row r="582" spans="9:22" x14ac:dyDescent="0.45">
      <c r="I582" t="s">
        <v>186</v>
      </c>
      <c r="J582" t="s">
        <v>293</v>
      </c>
      <c r="K582">
        <v>8.5968003898645572E-3</v>
      </c>
      <c r="L582" t="s">
        <v>164</v>
      </c>
      <c r="N582" t="s">
        <v>219</v>
      </c>
      <c r="O582" t="s">
        <v>293</v>
      </c>
      <c r="P582">
        <v>3.6838254202255383E-3</v>
      </c>
      <c r="Q582" t="s">
        <v>164</v>
      </c>
      <c r="S582" t="s">
        <v>239</v>
      </c>
      <c r="T582" t="s">
        <v>293</v>
      </c>
      <c r="U582">
        <v>5.4210818375551662E-3</v>
      </c>
      <c r="V582" t="s">
        <v>164</v>
      </c>
    </row>
    <row r="583" spans="9:22" x14ac:dyDescent="0.45">
      <c r="I583" t="s">
        <v>186</v>
      </c>
      <c r="J583" t="s">
        <v>294</v>
      </c>
      <c r="K583">
        <v>9.9215112832013123E-3</v>
      </c>
      <c r="L583" t="s">
        <v>164</v>
      </c>
      <c r="N583" t="s">
        <v>219</v>
      </c>
      <c r="O583" t="s">
        <v>294</v>
      </c>
      <c r="P583">
        <v>4.5477703224938411E-3</v>
      </c>
      <c r="Q583" t="s">
        <v>164</v>
      </c>
      <c r="S583" t="s">
        <v>239</v>
      </c>
      <c r="T583" t="s">
        <v>294</v>
      </c>
      <c r="U583">
        <v>5.1995469608450444E-3</v>
      </c>
      <c r="V583" t="s">
        <v>164</v>
      </c>
    </row>
    <row r="584" spans="9:22" x14ac:dyDescent="0.45">
      <c r="I584" t="s">
        <v>186</v>
      </c>
      <c r="J584" t="s">
        <v>295</v>
      </c>
      <c r="K584">
        <v>5.5316371330256714E-2</v>
      </c>
      <c r="L584" t="s">
        <v>164</v>
      </c>
      <c r="N584" t="s">
        <v>219</v>
      </c>
      <c r="O584" t="s">
        <v>295</v>
      </c>
      <c r="P584">
        <v>3.4351067630564149E-2</v>
      </c>
      <c r="Q584" t="s">
        <v>164</v>
      </c>
      <c r="S584" t="s">
        <v>239</v>
      </c>
      <c r="T584" t="s">
        <v>295</v>
      </c>
      <c r="U584">
        <v>2.6478440837191319E-2</v>
      </c>
      <c r="V584" t="s">
        <v>164</v>
      </c>
    </row>
    <row r="585" spans="9:22" x14ac:dyDescent="0.45">
      <c r="I585" t="s">
        <v>186</v>
      </c>
      <c r="J585" t="s">
        <v>296</v>
      </c>
      <c r="K585">
        <v>4.8049176738731878E-3</v>
      </c>
      <c r="L585" t="s">
        <v>164</v>
      </c>
      <c r="N585" t="s">
        <v>219</v>
      </c>
      <c r="O585" t="s">
        <v>296</v>
      </c>
      <c r="P585">
        <v>4.6156068104083415E-3</v>
      </c>
      <c r="Q585" t="s">
        <v>164</v>
      </c>
      <c r="S585" t="s">
        <v>239</v>
      </c>
      <c r="T585" t="s">
        <v>296</v>
      </c>
      <c r="U585">
        <v>4.4902635509652183E-3</v>
      </c>
      <c r="V585" t="s">
        <v>164</v>
      </c>
    </row>
    <row r="586" spans="9:22" x14ac:dyDescent="0.45">
      <c r="I586" t="s">
        <v>186</v>
      </c>
      <c r="J586" t="s">
        <v>297</v>
      </c>
      <c r="K586">
        <v>1.0301592871282735E-3</v>
      </c>
      <c r="L586" t="s">
        <v>164</v>
      </c>
      <c r="N586" t="s">
        <v>219</v>
      </c>
      <c r="O586" t="s">
        <v>297</v>
      </c>
      <c r="P586">
        <v>2.7271121474859189E-2</v>
      </c>
      <c r="Q586" t="s">
        <v>164</v>
      </c>
      <c r="S586" t="s">
        <v>239</v>
      </c>
      <c r="T586" t="s">
        <v>297</v>
      </c>
      <c r="U586">
        <v>3.1421090425379924E-2</v>
      </c>
      <c r="V586" t="s">
        <v>164</v>
      </c>
    </row>
    <row r="587" spans="9:22" x14ac:dyDescent="0.45">
      <c r="I587" t="s">
        <v>187</v>
      </c>
      <c r="J587" t="s">
        <v>163</v>
      </c>
      <c r="K587">
        <v>9.8729000105152228E-3</v>
      </c>
      <c r="L587" t="s">
        <v>164</v>
      </c>
      <c r="N587" t="s">
        <v>220</v>
      </c>
      <c r="O587" t="s">
        <v>163</v>
      </c>
      <c r="P587">
        <v>5.6969373819335456E-3</v>
      </c>
      <c r="Q587" t="s">
        <v>164</v>
      </c>
      <c r="S587" t="s">
        <v>240</v>
      </c>
      <c r="T587" t="s">
        <v>163</v>
      </c>
      <c r="U587">
        <v>3.7125556779962272E-2</v>
      </c>
      <c r="V587" t="s">
        <v>164</v>
      </c>
    </row>
    <row r="588" spans="9:22" x14ac:dyDescent="0.45">
      <c r="I588" t="s">
        <v>187</v>
      </c>
      <c r="J588" t="s">
        <v>165</v>
      </c>
      <c r="K588">
        <v>8.429086721714692E-3</v>
      </c>
      <c r="L588" t="s">
        <v>164</v>
      </c>
      <c r="N588" t="s">
        <v>220</v>
      </c>
      <c r="O588" t="s">
        <v>165</v>
      </c>
      <c r="P588">
        <v>2.2486973000708497E-3</v>
      </c>
      <c r="Q588" t="s">
        <v>164</v>
      </c>
      <c r="S588" t="s">
        <v>240</v>
      </c>
      <c r="T588" t="s">
        <v>165</v>
      </c>
      <c r="U588">
        <v>4.1807345489593079E-3</v>
      </c>
      <c r="V588" t="s">
        <v>164</v>
      </c>
    </row>
    <row r="589" spans="9:22" x14ac:dyDescent="0.45">
      <c r="I589" t="s">
        <v>187</v>
      </c>
      <c r="J589" t="s">
        <v>166</v>
      </c>
      <c r="K589">
        <v>1.0172776608053834E-2</v>
      </c>
      <c r="L589" t="s">
        <v>164</v>
      </c>
      <c r="N589" t="s">
        <v>220</v>
      </c>
      <c r="O589" t="s">
        <v>166</v>
      </c>
      <c r="P589">
        <v>4.2935307374238462E-3</v>
      </c>
      <c r="Q589" t="s">
        <v>164</v>
      </c>
      <c r="S589" t="s">
        <v>240</v>
      </c>
      <c r="T589" t="s">
        <v>166</v>
      </c>
      <c r="U589">
        <v>4.0951121181480648E-3</v>
      </c>
      <c r="V589" t="s">
        <v>164</v>
      </c>
    </row>
    <row r="590" spans="9:22" x14ac:dyDescent="0.45">
      <c r="I590" t="s">
        <v>187</v>
      </c>
      <c r="J590" t="s">
        <v>262</v>
      </c>
      <c r="K590">
        <v>6.1389355141342923E-2</v>
      </c>
      <c r="L590" t="s">
        <v>164</v>
      </c>
      <c r="N590" t="s">
        <v>220</v>
      </c>
      <c r="O590" t="s">
        <v>262</v>
      </c>
      <c r="P590">
        <v>2.9051899554818572E-2</v>
      </c>
      <c r="Q590" t="s">
        <v>164</v>
      </c>
      <c r="S590" t="s">
        <v>240</v>
      </c>
      <c r="T590" t="s">
        <v>262</v>
      </c>
      <c r="U590">
        <v>1.9235622527478468E-2</v>
      </c>
      <c r="V590" t="s">
        <v>164</v>
      </c>
    </row>
    <row r="591" spans="9:22" x14ac:dyDescent="0.45">
      <c r="I591" t="s">
        <v>187</v>
      </c>
      <c r="J591" t="s">
        <v>263</v>
      </c>
      <c r="K591">
        <v>6.4009491338261814E-3</v>
      </c>
      <c r="L591" t="s">
        <v>164</v>
      </c>
      <c r="N591" t="s">
        <v>220</v>
      </c>
      <c r="O591" t="s">
        <v>263</v>
      </c>
      <c r="P591">
        <v>3.8118921724167149E-3</v>
      </c>
      <c r="Q591" t="s">
        <v>164</v>
      </c>
      <c r="S591" t="s">
        <v>240</v>
      </c>
      <c r="T591" t="s">
        <v>263</v>
      </c>
      <c r="U591">
        <v>3.2293052884878157E-3</v>
      </c>
      <c r="V591" t="s">
        <v>164</v>
      </c>
    </row>
    <row r="592" spans="9:22" x14ac:dyDescent="0.45">
      <c r="I592" t="s">
        <v>187</v>
      </c>
      <c r="J592" t="s">
        <v>264</v>
      </c>
      <c r="K592">
        <v>4.1642707824647313E-3</v>
      </c>
      <c r="L592" t="s">
        <v>164</v>
      </c>
      <c r="N592" t="s">
        <v>220</v>
      </c>
      <c r="O592" t="s">
        <v>264</v>
      </c>
      <c r="P592">
        <v>2.0943285517432846E-2</v>
      </c>
      <c r="Q592" t="s">
        <v>164</v>
      </c>
      <c r="S592" t="s">
        <v>240</v>
      </c>
      <c r="T592" t="s">
        <v>264</v>
      </c>
      <c r="U592">
        <v>2.5289471242674728E-2</v>
      </c>
      <c r="V592" t="s">
        <v>164</v>
      </c>
    </row>
    <row r="593" spans="9:22" x14ac:dyDescent="0.45">
      <c r="I593" t="s">
        <v>187</v>
      </c>
      <c r="J593" t="s">
        <v>167</v>
      </c>
      <c r="K593">
        <v>9.0201025772294642E-3</v>
      </c>
      <c r="L593" t="s">
        <v>164</v>
      </c>
      <c r="N593" t="s">
        <v>220</v>
      </c>
      <c r="O593" t="s">
        <v>167</v>
      </c>
      <c r="P593">
        <v>6.444280303582222E-3</v>
      </c>
      <c r="Q593" t="s">
        <v>164</v>
      </c>
      <c r="S593" t="s">
        <v>240</v>
      </c>
      <c r="T593" t="s">
        <v>167</v>
      </c>
      <c r="U593">
        <v>4.7278940219817017E-2</v>
      </c>
      <c r="V593" t="s">
        <v>164</v>
      </c>
    </row>
    <row r="594" spans="9:22" x14ac:dyDescent="0.45">
      <c r="I594" t="s">
        <v>187</v>
      </c>
      <c r="J594" t="s">
        <v>168</v>
      </c>
      <c r="K594">
        <v>7.7987934108334931E-3</v>
      </c>
      <c r="L594" t="s">
        <v>164</v>
      </c>
      <c r="N594" t="s">
        <v>220</v>
      </c>
      <c r="O594" t="s">
        <v>168</v>
      </c>
      <c r="P594">
        <v>2.9699714344991225E-3</v>
      </c>
      <c r="Q594" t="s">
        <v>164</v>
      </c>
      <c r="S594" t="s">
        <v>240</v>
      </c>
      <c r="T594" t="s">
        <v>168</v>
      </c>
      <c r="U594">
        <v>5.3053196655394857E-3</v>
      </c>
      <c r="V594" t="s">
        <v>164</v>
      </c>
    </row>
    <row r="595" spans="9:22" x14ac:dyDescent="0.45">
      <c r="I595" t="s">
        <v>187</v>
      </c>
      <c r="J595" t="s">
        <v>169</v>
      </c>
      <c r="K595">
        <v>9.2531188258830541E-3</v>
      </c>
      <c r="L595" t="s">
        <v>164</v>
      </c>
      <c r="N595" t="s">
        <v>220</v>
      </c>
      <c r="O595" t="s">
        <v>169</v>
      </c>
      <c r="P595">
        <v>4.6395309946770571E-3</v>
      </c>
      <c r="Q595" t="s">
        <v>164</v>
      </c>
      <c r="S595" t="s">
        <v>240</v>
      </c>
      <c r="T595" t="s">
        <v>169</v>
      </c>
      <c r="U595">
        <v>5.1286828389938343E-3</v>
      </c>
      <c r="V595" t="s">
        <v>164</v>
      </c>
    </row>
    <row r="596" spans="9:22" x14ac:dyDescent="0.45">
      <c r="I596" t="s">
        <v>187</v>
      </c>
      <c r="J596" t="s">
        <v>265</v>
      </c>
      <c r="K596">
        <v>5.8663132354050511E-2</v>
      </c>
      <c r="L596" t="s">
        <v>164</v>
      </c>
      <c r="N596" t="s">
        <v>220</v>
      </c>
      <c r="O596" t="s">
        <v>265</v>
      </c>
      <c r="P596">
        <v>2.8194166334357243E-2</v>
      </c>
      <c r="Q596" t="s">
        <v>164</v>
      </c>
      <c r="S596" t="s">
        <v>240</v>
      </c>
      <c r="T596" t="s">
        <v>265</v>
      </c>
      <c r="U596">
        <v>2.519889590169596E-2</v>
      </c>
      <c r="V596" t="s">
        <v>164</v>
      </c>
    </row>
    <row r="597" spans="9:22" x14ac:dyDescent="0.45">
      <c r="I597" t="s">
        <v>187</v>
      </c>
      <c r="J597" t="s">
        <v>266</v>
      </c>
      <c r="K597">
        <v>6.5709386991768311E-3</v>
      </c>
      <c r="L597" t="s">
        <v>164</v>
      </c>
      <c r="N597" t="s">
        <v>220</v>
      </c>
      <c r="O597" t="s">
        <v>266</v>
      </c>
      <c r="P597">
        <v>3.2662413104542149E-3</v>
      </c>
      <c r="Q597" t="s">
        <v>164</v>
      </c>
      <c r="S597" t="s">
        <v>240</v>
      </c>
      <c r="T597" t="s">
        <v>266</v>
      </c>
      <c r="U597">
        <v>4.4681066413357739E-3</v>
      </c>
      <c r="V597" t="s">
        <v>164</v>
      </c>
    </row>
    <row r="598" spans="9:22" x14ac:dyDescent="0.45">
      <c r="I598" t="s">
        <v>187</v>
      </c>
      <c r="J598" t="s">
        <v>267</v>
      </c>
      <c r="K598">
        <v>3.8418103131469756E-3</v>
      </c>
      <c r="L598" t="s">
        <v>164</v>
      </c>
      <c r="N598" t="s">
        <v>220</v>
      </c>
      <c r="O598" t="s">
        <v>267</v>
      </c>
      <c r="P598">
        <v>1.6976183492270591E-2</v>
      </c>
      <c r="Q598" t="s">
        <v>164</v>
      </c>
      <c r="S598" t="s">
        <v>240</v>
      </c>
      <c r="T598" t="s">
        <v>267</v>
      </c>
      <c r="U598">
        <v>3.184932325274125E-2</v>
      </c>
      <c r="V598" t="s">
        <v>164</v>
      </c>
    </row>
    <row r="599" spans="9:22" x14ac:dyDescent="0.45">
      <c r="I599" t="s">
        <v>187</v>
      </c>
      <c r="J599" t="s">
        <v>170</v>
      </c>
      <c r="K599">
        <v>6.1225969751087959E-3</v>
      </c>
      <c r="L599" t="s">
        <v>164</v>
      </c>
      <c r="N599" t="s">
        <v>220</v>
      </c>
      <c r="O599" t="s">
        <v>170</v>
      </c>
      <c r="P599">
        <v>8.4373738393722867E-3</v>
      </c>
      <c r="Q599" t="s">
        <v>164</v>
      </c>
      <c r="S599" t="s">
        <v>240</v>
      </c>
      <c r="T599" t="s">
        <v>170</v>
      </c>
      <c r="U599">
        <v>4.5110734556633059E-2</v>
      </c>
      <c r="V599" t="s">
        <v>164</v>
      </c>
    </row>
    <row r="600" spans="9:22" x14ac:dyDescent="0.45">
      <c r="I600" t="s">
        <v>187</v>
      </c>
      <c r="J600" t="s">
        <v>171</v>
      </c>
      <c r="K600">
        <v>6.3435299719952183E-3</v>
      </c>
      <c r="L600" t="s">
        <v>164</v>
      </c>
      <c r="N600" t="s">
        <v>220</v>
      </c>
      <c r="O600" t="s">
        <v>171</v>
      </c>
      <c r="P600">
        <v>6.3490415384513223E-3</v>
      </c>
      <c r="Q600" t="s">
        <v>164</v>
      </c>
      <c r="S600" t="s">
        <v>240</v>
      </c>
      <c r="T600" t="s">
        <v>171</v>
      </c>
      <c r="U600">
        <v>5.0257492503608808E-3</v>
      </c>
      <c r="V600" t="s">
        <v>164</v>
      </c>
    </row>
    <row r="601" spans="9:22" x14ac:dyDescent="0.45">
      <c r="I601" t="s">
        <v>187</v>
      </c>
      <c r="J601" t="s">
        <v>172</v>
      </c>
      <c r="K601">
        <v>8.2348103951730318E-3</v>
      </c>
      <c r="L601" t="s">
        <v>164</v>
      </c>
      <c r="N601" t="s">
        <v>220</v>
      </c>
      <c r="O601" t="s">
        <v>172</v>
      </c>
      <c r="P601">
        <v>8.5724429250244039E-3</v>
      </c>
      <c r="Q601" t="s">
        <v>164</v>
      </c>
      <c r="S601" t="s">
        <v>240</v>
      </c>
      <c r="T601" t="s">
        <v>172</v>
      </c>
      <c r="U601">
        <v>5.0053254674110202E-3</v>
      </c>
      <c r="V601" t="s">
        <v>164</v>
      </c>
    </row>
    <row r="602" spans="9:22" x14ac:dyDescent="0.45">
      <c r="I602" t="s">
        <v>187</v>
      </c>
      <c r="J602" t="s">
        <v>268</v>
      </c>
      <c r="K602">
        <v>5.6962308849751134E-2</v>
      </c>
      <c r="L602" t="s">
        <v>164</v>
      </c>
      <c r="N602" t="s">
        <v>220</v>
      </c>
      <c r="O602" t="s">
        <v>268</v>
      </c>
      <c r="P602">
        <v>3.9750545127416728E-2</v>
      </c>
      <c r="Q602" t="s">
        <v>164</v>
      </c>
      <c r="S602" t="s">
        <v>240</v>
      </c>
      <c r="T602" t="s">
        <v>268</v>
      </c>
      <c r="U602">
        <v>2.4957527918614466E-2</v>
      </c>
      <c r="V602" t="s">
        <v>164</v>
      </c>
    </row>
    <row r="603" spans="9:22" x14ac:dyDescent="0.45">
      <c r="I603" t="s">
        <v>187</v>
      </c>
      <c r="J603" t="s">
        <v>269</v>
      </c>
      <c r="K603">
        <v>4.4608001675747293E-3</v>
      </c>
      <c r="L603" t="s">
        <v>164</v>
      </c>
      <c r="N603" t="s">
        <v>220</v>
      </c>
      <c r="O603" t="s">
        <v>269</v>
      </c>
      <c r="P603">
        <v>2.8778157209960495E-3</v>
      </c>
      <c r="Q603" t="s">
        <v>164</v>
      </c>
      <c r="S603" t="s">
        <v>240</v>
      </c>
      <c r="T603" t="s">
        <v>269</v>
      </c>
      <c r="U603">
        <v>4.4435879090580378E-3</v>
      </c>
      <c r="V603" t="s">
        <v>164</v>
      </c>
    </row>
    <row r="604" spans="9:22" x14ac:dyDescent="0.45">
      <c r="I604" t="s">
        <v>187</v>
      </c>
      <c r="J604" t="s">
        <v>270</v>
      </c>
      <c r="K604">
        <v>2.1616061039617051E-3</v>
      </c>
      <c r="L604" t="s">
        <v>164</v>
      </c>
      <c r="N604" t="s">
        <v>220</v>
      </c>
      <c r="O604" t="s">
        <v>270</v>
      </c>
      <c r="P604">
        <v>1.3031437830366548E-2</v>
      </c>
      <c r="Q604" t="s">
        <v>164</v>
      </c>
      <c r="S604" t="s">
        <v>240</v>
      </c>
      <c r="T604" t="s">
        <v>270</v>
      </c>
      <c r="U604">
        <v>3.1510066644637222E-2</v>
      </c>
      <c r="V604" t="s">
        <v>164</v>
      </c>
    </row>
    <row r="605" spans="9:22" x14ac:dyDescent="0.45">
      <c r="I605" t="s">
        <v>187</v>
      </c>
      <c r="J605" t="s">
        <v>173</v>
      </c>
      <c r="K605">
        <v>1.1448955699018751E-2</v>
      </c>
      <c r="L605" t="s">
        <v>164</v>
      </c>
      <c r="N605" t="s">
        <v>220</v>
      </c>
      <c r="O605" t="s">
        <v>173</v>
      </c>
      <c r="P605">
        <v>1.6885926974955227E-2</v>
      </c>
      <c r="Q605" t="s">
        <v>164</v>
      </c>
      <c r="S605" t="s">
        <v>240</v>
      </c>
      <c r="T605" t="s">
        <v>173</v>
      </c>
      <c r="U605">
        <v>8.2280968900713763E-2</v>
      </c>
      <c r="V605" t="s">
        <v>164</v>
      </c>
    </row>
    <row r="606" spans="9:22" x14ac:dyDescent="0.45">
      <c r="I606" t="s">
        <v>187</v>
      </c>
      <c r="J606" t="s">
        <v>174</v>
      </c>
      <c r="K606">
        <v>1.1790186728246978E-2</v>
      </c>
      <c r="L606" t="s">
        <v>164</v>
      </c>
      <c r="N606" t="s">
        <v>220</v>
      </c>
      <c r="O606" t="s">
        <v>174</v>
      </c>
      <c r="P606">
        <v>1.100904385403682E-2</v>
      </c>
      <c r="Q606" t="s">
        <v>164</v>
      </c>
      <c r="S606" t="s">
        <v>240</v>
      </c>
      <c r="T606" t="s">
        <v>174</v>
      </c>
      <c r="U606">
        <v>8.3310182392214681E-3</v>
      </c>
      <c r="V606" t="s">
        <v>164</v>
      </c>
    </row>
    <row r="607" spans="9:22" x14ac:dyDescent="0.45">
      <c r="I607" t="s">
        <v>187</v>
      </c>
      <c r="J607" t="s">
        <v>175</v>
      </c>
      <c r="K607">
        <v>1.4976624618223607E-2</v>
      </c>
      <c r="L607" t="s">
        <v>164</v>
      </c>
      <c r="N607" t="s">
        <v>220</v>
      </c>
      <c r="O607" t="s">
        <v>175</v>
      </c>
      <c r="P607">
        <v>1.4509484971082901E-2</v>
      </c>
      <c r="Q607" t="s">
        <v>164</v>
      </c>
      <c r="S607" t="s">
        <v>240</v>
      </c>
      <c r="T607" t="s">
        <v>175</v>
      </c>
      <c r="U607">
        <v>7.9970748230958205E-3</v>
      </c>
      <c r="V607" t="s">
        <v>164</v>
      </c>
    </row>
    <row r="608" spans="9:22" x14ac:dyDescent="0.45">
      <c r="I608" t="s">
        <v>187</v>
      </c>
      <c r="J608" t="s">
        <v>271</v>
      </c>
      <c r="K608">
        <v>0.1035567413527355</v>
      </c>
      <c r="L608" t="s">
        <v>164</v>
      </c>
      <c r="N608" t="s">
        <v>220</v>
      </c>
      <c r="O608" t="s">
        <v>271</v>
      </c>
      <c r="P608">
        <v>7.2144836954768546E-2</v>
      </c>
      <c r="Q608" t="s">
        <v>164</v>
      </c>
      <c r="S608" t="s">
        <v>240</v>
      </c>
      <c r="T608" t="s">
        <v>271</v>
      </c>
      <c r="U608">
        <v>4.1179805366617007E-2</v>
      </c>
      <c r="V608" t="s">
        <v>164</v>
      </c>
    </row>
    <row r="609" spans="9:22" x14ac:dyDescent="0.45">
      <c r="I609" t="s">
        <v>187</v>
      </c>
      <c r="J609" t="s">
        <v>272</v>
      </c>
      <c r="K609">
        <v>7.9843070152283736E-3</v>
      </c>
      <c r="L609" t="s">
        <v>164</v>
      </c>
      <c r="N609" t="s">
        <v>220</v>
      </c>
      <c r="O609" t="s">
        <v>272</v>
      </c>
      <c r="P609">
        <v>4.3461495293127166E-3</v>
      </c>
      <c r="Q609" t="s">
        <v>164</v>
      </c>
      <c r="S609" t="s">
        <v>240</v>
      </c>
      <c r="T609" t="s">
        <v>272</v>
      </c>
      <c r="U609">
        <v>7.9407919123697865E-3</v>
      </c>
      <c r="V609" t="s">
        <v>164</v>
      </c>
    </row>
    <row r="610" spans="9:22" x14ac:dyDescent="0.45">
      <c r="I610" t="s">
        <v>187</v>
      </c>
      <c r="J610" t="s">
        <v>273</v>
      </c>
      <c r="K610">
        <v>3.5275591600144895E-3</v>
      </c>
      <c r="L610" t="s">
        <v>164</v>
      </c>
      <c r="N610" t="s">
        <v>220</v>
      </c>
      <c r="O610" t="s">
        <v>273</v>
      </c>
      <c r="P610">
        <v>1.655991184907292E-2</v>
      </c>
      <c r="Q610" t="s">
        <v>164</v>
      </c>
      <c r="S610" t="s">
        <v>240</v>
      </c>
      <c r="T610" t="s">
        <v>273</v>
      </c>
      <c r="U610">
        <v>5.635425524767132E-2</v>
      </c>
      <c r="V610" t="s">
        <v>164</v>
      </c>
    </row>
    <row r="611" spans="9:22" x14ac:dyDescent="0.45">
      <c r="I611" t="s">
        <v>187</v>
      </c>
      <c r="J611" t="s">
        <v>274</v>
      </c>
      <c r="K611">
        <v>1.0671379647183199E-2</v>
      </c>
      <c r="L611" t="s">
        <v>164</v>
      </c>
      <c r="N611" t="s">
        <v>220</v>
      </c>
      <c r="O611" t="s">
        <v>274</v>
      </c>
      <c r="P611">
        <v>4.3903015862426717E-2</v>
      </c>
      <c r="Q611" t="s">
        <v>164</v>
      </c>
      <c r="S611" t="s">
        <v>240</v>
      </c>
      <c r="T611" t="s">
        <v>274</v>
      </c>
      <c r="U611">
        <v>6.1464163125852039E-2</v>
      </c>
      <c r="V611" t="s">
        <v>164</v>
      </c>
    </row>
    <row r="612" spans="9:22" x14ac:dyDescent="0.45">
      <c r="I612" t="s">
        <v>187</v>
      </c>
      <c r="J612" t="s">
        <v>275</v>
      </c>
      <c r="K612">
        <v>1.0700829968074841E-2</v>
      </c>
      <c r="L612" t="s">
        <v>164</v>
      </c>
      <c r="N612" t="s">
        <v>220</v>
      </c>
      <c r="O612" t="s">
        <v>275</v>
      </c>
      <c r="P612">
        <v>1.7204356314818967E-2</v>
      </c>
      <c r="Q612" t="s">
        <v>164</v>
      </c>
      <c r="S612" t="s">
        <v>240</v>
      </c>
      <c r="T612" t="s">
        <v>275</v>
      </c>
      <c r="U612">
        <v>5.4949504965138962E-3</v>
      </c>
      <c r="V612" t="s">
        <v>164</v>
      </c>
    </row>
    <row r="613" spans="9:22" x14ac:dyDescent="0.45">
      <c r="I613" t="s">
        <v>187</v>
      </c>
      <c r="J613" t="s">
        <v>276</v>
      </c>
      <c r="K613">
        <v>1.4333113291182305E-2</v>
      </c>
      <c r="L613" t="s">
        <v>164</v>
      </c>
      <c r="N613" t="s">
        <v>220</v>
      </c>
      <c r="O613" t="s">
        <v>276</v>
      </c>
      <c r="P613">
        <v>2.4054197312294898E-2</v>
      </c>
      <c r="Q613" t="s">
        <v>164</v>
      </c>
      <c r="S613" t="s">
        <v>240</v>
      </c>
      <c r="T613" t="s">
        <v>276</v>
      </c>
      <c r="U613">
        <v>5.202830363090348E-3</v>
      </c>
      <c r="V613" t="s">
        <v>164</v>
      </c>
    </row>
    <row r="614" spans="9:22" x14ac:dyDescent="0.45">
      <c r="I614" t="s">
        <v>187</v>
      </c>
      <c r="J614" t="s">
        <v>277</v>
      </c>
      <c r="K614">
        <v>0.10359361369881719</v>
      </c>
      <c r="L614" t="s">
        <v>164</v>
      </c>
      <c r="N614" t="s">
        <v>220</v>
      </c>
      <c r="O614" t="s">
        <v>277</v>
      </c>
      <c r="P614">
        <v>0.14330521733690182</v>
      </c>
      <c r="Q614" t="s">
        <v>164</v>
      </c>
      <c r="S614" t="s">
        <v>240</v>
      </c>
      <c r="T614" t="s">
        <v>277</v>
      </c>
      <c r="U614">
        <v>2.9827358670623954E-2</v>
      </c>
      <c r="V614" t="s">
        <v>164</v>
      </c>
    </row>
    <row r="615" spans="9:22" x14ac:dyDescent="0.45">
      <c r="I615" t="s">
        <v>187</v>
      </c>
      <c r="J615" t="s">
        <v>278</v>
      </c>
      <c r="K615">
        <v>8.0976854567600693E-3</v>
      </c>
      <c r="L615" t="s">
        <v>164</v>
      </c>
      <c r="N615" t="s">
        <v>220</v>
      </c>
      <c r="O615" t="s">
        <v>278</v>
      </c>
      <c r="P615">
        <v>1.0918191092898523E-2</v>
      </c>
      <c r="Q615" t="s">
        <v>164</v>
      </c>
      <c r="S615" t="s">
        <v>240</v>
      </c>
      <c r="T615" t="s">
        <v>278</v>
      </c>
      <c r="U615">
        <v>5.9881800618585036E-3</v>
      </c>
      <c r="V615" t="s">
        <v>164</v>
      </c>
    </row>
    <row r="616" spans="9:22" x14ac:dyDescent="0.45">
      <c r="I616" t="s">
        <v>187</v>
      </c>
      <c r="J616" t="s">
        <v>279</v>
      </c>
      <c r="K616">
        <v>4.0420044802466385E-3</v>
      </c>
      <c r="L616" t="s">
        <v>164</v>
      </c>
      <c r="N616" t="s">
        <v>220</v>
      </c>
      <c r="O616" t="s">
        <v>279</v>
      </c>
      <c r="P616">
        <v>2.8432403965253407E-2</v>
      </c>
      <c r="Q616" t="s">
        <v>164</v>
      </c>
      <c r="S616" t="s">
        <v>240</v>
      </c>
      <c r="T616" t="s">
        <v>279</v>
      </c>
      <c r="U616">
        <v>4.3015054729758112E-2</v>
      </c>
      <c r="V616" t="s">
        <v>164</v>
      </c>
    </row>
    <row r="617" spans="9:22" x14ac:dyDescent="0.45">
      <c r="I617" t="s">
        <v>187</v>
      </c>
      <c r="J617" t="s">
        <v>280</v>
      </c>
      <c r="K617">
        <v>9.4657052214383516E-3</v>
      </c>
      <c r="L617" t="s">
        <v>164</v>
      </c>
      <c r="N617" t="s">
        <v>220</v>
      </c>
      <c r="O617" t="s">
        <v>280</v>
      </c>
      <c r="P617">
        <v>3.3428028237123333E-2</v>
      </c>
      <c r="Q617" t="s">
        <v>164</v>
      </c>
      <c r="S617" t="s">
        <v>240</v>
      </c>
      <c r="T617" t="s">
        <v>280</v>
      </c>
      <c r="U617">
        <v>3.0619268301547677E-2</v>
      </c>
      <c r="V617" t="s">
        <v>164</v>
      </c>
    </row>
    <row r="618" spans="9:22" x14ac:dyDescent="0.45">
      <c r="I618" t="s">
        <v>187</v>
      </c>
      <c r="J618" t="s">
        <v>281</v>
      </c>
      <c r="K618">
        <v>1.1210125062306991E-2</v>
      </c>
      <c r="L618" t="s">
        <v>164</v>
      </c>
      <c r="N618" t="s">
        <v>220</v>
      </c>
      <c r="O618" t="s">
        <v>281</v>
      </c>
      <c r="P618">
        <v>1.5191820889583872E-2</v>
      </c>
      <c r="Q618" t="s">
        <v>164</v>
      </c>
      <c r="S618" t="s">
        <v>240</v>
      </c>
      <c r="T618" t="s">
        <v>281</v>
      </c>
      <c r="U618">
        <v>2.9325051819251071E-3</v>
      </c>
      <c r="V618" t="s">
        <v>164</v>
      </c>
    </row>
    <row r="619" spans="9:22" x14ac:dyDescent="0.45">
      <c r="I619" t="s">
        <v>187</v>
      </c>
      <c r="J619" t="s">
        <v>282</v>
      </c>
      <c r="K619">
        <v>1.5283629916429895E-2</v>
      </c>
      <c r="L619" t="s">
        <v>164</v>
      </c>
      <c r="N619" t="s">
        <v>220</v>
      </c>
      <c r="O619" t="s">
        <v>282</v>
      </c>
      <c r="P619">
        <v>2.0631615904802274E-2</v>
      </c>
      <c r="Q619" t="s">
        <v>164</v>
      </c>
      <c r="S619" t="s">
        <v>240</v>
      </c>
      <c r="T619" t="s">
        <v>282</v>
      </c>
      <c r="U619">
        <v>2.8446339248470506E-3</v>
      </c>
      <c r="V619" t="s">
        <v>164</v>
      </c>
    </row>
    <row r="620" spans="9:22" x14ac:dyDescent="0.45">
      <c r="I620" t="s">
        <v>187</v>
      </c>
      <c r="J620" t="s">
        <v>283</v>
      </c>
      <c r="K620">
        <v>0.10873291613066907</v>
      </c>
      <c r="L620" t="s">
        <v>164</v>
      </c>
      <c r="N620" t="s">
        <v>220</v>
      </c>
      <c r="O620" t="s">
        <v>283</v>
      </c>
      <c r="P620">
        <v>0.12328641654974933</v>
      </c>
      <c r="Q620" t="s">
        <v>164</v>
      </c>
      <c r="S620" t="s">
        <v>240</v>
      </c>
      <c r="T620" t="s">
        <v>283</v>
      </c>
      <c r="U620">
        <v>1.5774313920683347E-2</v>
      </c>
      <c r="V620" t="s">
        <v>164</v>
      </c>
    </row>
    <row r="621" spans="9:22" x14ac:dyDescent="0.45">
      <c r="I621" t="s">
        <v>187</v>
      </c>
      <c r="J621" t="s">
        <v>284</v>
      </c>
      <c r="K621">
        <v>8.3267838878235655E-3</v>
      </c>
      <c r="L621" t="s">
        <v>164</v>
      </c>
      <c r="N621" t="s">
        <v>220</v>
      </c>
      <c r="O621" t="s">
        <v>284</v>
      </c>
      <c r="P621">
        <v>9.5368721295202817E-3</v>
      </c>
      <c r="Q621" t="s">
        <v>164</v>
      </c>
      <c r="S621" t="s">
        <v>240</v>
      </c>
      <c r="T621" t="s">
        <v>284</v>
      </c>
      <c r="U621">
        <v>3.3738592177957869E-3</v>
      </c>
      <c r="V621" t="s">
        <v>164</v>
      </c>
    </row>
    <row r="622" spans="9:22" x14ac:dyDescent="0.45">
      <c r="I622" t="s">
        <v>187</v>
      </c>
      <c r="J622" t="s">
        <v>285</v>
      </c>
      <c r="K622">
        <v>4.0723796305939652E-3</v>
      </c>
      <c r="L622" t="s">
        <v>164</v>
      </c>
      <c r="N622" t="s">
        <v>220</v>
      </c>
      <c r="O622" t="s">
        <v>285</v>
      </c>
      <c r="P622">
        <v>2.0750664597600325E-2</v>
      </c>
      <c r="Q622" t="s">
        <v>164</v>
      </c>
      <c r="S622" t="s">
        <v>240</v>
      </c>
      <c r="T622" t="s">
        <v>285</v>
      </c>
      <c r="U622">
        <v>2.5273158150219223E-2</v>
      </c>
      <c r="V622" t="s">
        <v>164</v>
      </c>
    </row>
    <row r="623" spans="9:22" x14ac:dyDescent="0.45">
      <c r="I623" t="s">
        <v>187</v>
      </c>
      <c r="J623" t="s">
        <v>286</v>
      </c>
      <c r="K623">
        <v>1.3749323624361383E-2</v>
      </c>
      <c r="L623" t="s">
        <v>164</v>
      </c>
      <c r="N623" t="s">
        <v>220</v>
      </c>
      <c r="O623" t="s">
        <v>286</v>
      </c>
      <c r="P623">
        <v>9.5604897842943605E-3</v>
      </c>
      <c r="Q623" t="s">
        <v>164</v>
      </c>
      <c r="S623" t="s">
        <v>240</v>
      </c>
      <c r="T623" t="s">
        <v>286</v>
      </c>
      <c r="U623">
        <v>4.7312106613318465E-2</v>
      </c>
      <c r="V623" t="s">
        <v>164</v>
      </c>
    </row>
    <row r="624" spans="9:22" x14ac:dyDescent="0.45">
      <c r="I624" t="s">
        <v>187</v>
      </c>
      <c r="J624" t="s">
        <v>287</v>
      </c>
      <c r="K624">
        <v>1.3751835291883596E-2</v>
      </c>
      <c r="L624" t="s">
        <v>164</v>
      </c>
      <c r="N624" t="s">
        <v>220</v>
      </c>
      <c r="O624" t="s">
        <v>287</v>
      </c>
      <c r="P624">
        <v>6.6293340140003883E-3</v>
      </c>
      <c r="Q624" t="s">
        <v>164</v>
      </c>
      <c r="S624" t="s">
        <v>240</v>
      </c>
      <c r="T624" t="s">
        <v>287</v>
      </c>
      <c r="U624">
        <v>4.7909844943378015E-3</v>
      </c>
      <c r="V624" t="s">
        <v>164</v>
      </c>
    </row>
    <row r="625" spans="9:22" x14ac:dyDescent="0.45">
      <c r="I625" t="s">
        <v>187</v>
      </c>
      <c r="J625" t="s">
        <v>288</v>
      </c>
      <c r="K625">
        <v>1.716021910272068E-2</v>
      </c>
      <c r="L625" t="s">
        <v>164</v>
      </c>
      <c r="N625" t="s">
        <v>220</v>
      </c>
      <c r="O625" t="s">
        <v>288</v>
      </c>
      <c r="P625">
        <v>1.0148247853887503E-2</v>
      </c>
      <c r="Q625" t="s">
        <v>164</v>
      </c>
      <c r="S625" t="s">
        <v>240</v>
      </c>
      <c r="T625" t="s">
        <v>288</v>
      </c>
      <c r="U625">
        <v>4.469584521499214E-3</v>
      </c>
      <c r="V625" t="s">
        <v>164</v>
      </c>
    </row>
    <row r="626" spans="9:22" x14ac:dyDescent="0.45">
      <c r="I626" t="s">
        <v>187</v>
      </c>
      <c r="J626" t="s">
        <v>289</v>
      </c>
      <c r="K626">
        <v>0.11103929149738717</v>
      </c>
      <c r="L626" t="s">
        <v>164</v>
      </c>
      <c r="N626" t="s">
        <v>220</v>
      </c>
      <c r="O626" t="s">
        <v>289</v>
      </c>
      <c r="P626">
        <v>6.2389347778945024E-2</v>
      </c>
      <c r="Q626" t="s">
        <v>164</v>
      </c>
      <c r="S626" t="s">
        <v>240</v>
      </c>
      <c r="T626" t="s">
        <v>289</v>
      </c>
      <c r="U626">
        <v>2.4067634832943479E-2</v>
      </c>
      <c r="V626" t="s">
        <v>164</v>
      </c>
    </row>
    <row r="627" spans="9:22" x14ac:dyDescent="0.45">
      <c r="I627" t="s">
        <v>187</v>
      </c>
      <c r="J627" t="s">
        <v>290</v>
      </c>
      <c r="K627">
        <v>8.5361321425578424E-3</v>
      </c>
      <c r="L627" t="s">
        <v>164</v>
      </c>
      <c r="N627" t="s">
        <v>220</v>
      </c>
      <c r="O627" t="s">
        <v>290</v>
      </c>
      <c r="P627">
        <v>4.5001584621839081E-3</v>
      </c>
      <c r="Q627" t="s">
        <v>164</v>
      </c>
      <c r="S627" t="s">
        <v>240</v>
      </c>
      <c r="T627" t="s">
        <v>290</v>
      </c>
      <c r="U627">
        <v>5.2558363386295557E-3</v>
      </c>
      <c r="V627" t="s">
        <v>164</v>
      </c>
    </row>
    <row r="628" spans="9:22" x14ac:dyDescent="0.45">
      <c r="I628" t="s">
        <v>187</v>
      </c>
      <c r="J628" t="s">
        <v>291</v>
      </c>
      <c r="K628">
        <v>2.2262759489125985E-4</v>
      </c>
      <c r="L628" t="s">
        <v>164</v>
      </c>
      <c r="N628" t="s">
        <v>220</v>
      </c>
      <c r="O628" t="s">
        <v>291</v>
      </c>
      <c r="P628">
        <v>1.3913507240400557E-2</v>
      </c>
      <c r="Q628" t="s">
        <v>164</v>
      </c>
      <c r="S628" t="s">
        <v>240</v>
      </c>
      <c r="T628" t="s">
        <v>291</v>
      </c>
      <c r="U628">
        <v>3.8339905241259624E-2</v>
      </c>
      <c r="V628" t="s">
        <v>164</v>
      </c>
    </row>
    <row r="629" spans="9:22" x14ac:dyDescent="0.45">
      <c r="I629" t="s">
        <v>187</v>
      </c>
      <c r="J629" t="s">
        <v>292</v>
      </c>
      <c r="K629">
        <v>9.524890690012262E-3</v>
      </c>
      <c r="L629" t="s">
        <v>164</v>
      </c>
      <c r="N629" t="s">
        <v>220</v>
      </c>
      <c r="O629" t="s">
        <v>292</v>
      </c>
      <c r="P629">
        <v>3.9868105951601108E-3</v>
      </c>
      <c r="Q629" t="s">
        <v>164</v>
      </c>
      <c r="S629" t="s">
        <v>240</v>
      </c>
      <c r="T629" t="s">
        <v>292</v>
      </c>
      <c r="U629">
        <v>4.2764847215056037E-2</v>
      </c>
      <c r="V629" t="s">
        <v>164</v>
      </c>
    </row>
    <row r="630" spans="9:22" x14ac:dyDescent="0.45">
      <c r="I630" t="s">
        <v>187</v>
      </c>
      <c r="J630" t="s">
        <v>293</v>
      </c>
      <c r="K630">
        <v>8.2588713129513585E-3</v>
      </c>
      <c r="L630" t="s">
        <v>164</v>
      </c>
      <c r="N630" t="s">
        <v>220</v>
      </c>
      <c r="O630" t="s">
        <v>293</v>
      </c>
      <c r="P630">
        <v>2.8512217227219718E-3</v>
      </c>
      <c r="Q630" t="s">
        <v>164</v>
      </c>
      <c r="S630" t="s">
        <v>240</v>
      </c>
      <c r="T630" t="s">
        <v>293</v>
      </c>
      <c r="U630">
        <v>4.6776410828986209E-3</v>
      </c>
      <c r="V630" t="s">
        <v>164</v>
      </c>
    </row>
    <row r="631" spans="9:22" x14ac:dyDescent="0.45">
      <c r="I631" t="s">
        <v>187</v>
      </c>
      <c r="J631" t="s">
        <v>294</v>
      </c>
      <c r="K631">
        <v>9.9401505285961079E-3</v>
      </c>
      <c r="L631" t="s">
        <v>164</v>
      </c>
      <c r="N631" t="s">
        <v>220</v>
      </c>
      <c r="O631" t="s">
        <v>294</v>
      </c>
      <c r="P631">
        <v>4.5223424510062657E-3</v>
      </c>
      <c r="Q631" t="s">
        <v>164</v>
      </c>
      <c r="S631" t="s">
        <v>240</v>
      </c>
      <c r="T631" t="s">
        <v>294</v>
      </c>
      <c r="U631">
        <v>4.5591932974875082E-3</v>
      </c>
      <c r="V631" t="s">
        <v>164</v>
      </c>
    </row>
    <row r="632" spans="9:22" x14ac:dyDescent="0.45">
      <c r="I632" t="s">
        <v>187</v>
      </c>
      <c r="J632" t="s">
        <v>295</v>
      </c>
      <c r="K632">
        <v>6.0292052653373764E-2</v>
      </c>
      <c r="L632" t="s">
        <v>164</v>
      </c>
      <c r="N632" t="s">
        <v>220</v>
      </c>
      <c r="O632" t="s">
        <v>295</v>
      </c>
      <c r="P632">
        <v>3.2503122183583269E-2</v>
      </c>
      <c r="Q632" t="s">
        <v>164</v>
      </c>
      <c r="S632" t="s">
        <v>240</v>
      </c>
      <c r="T632" t="s">
        <v>295</v>
      </c>
      <c r="U632">
        <v>2.4237247522448102E-2</v>
      </c>
      <c r="V632" t="s">
        <v>164</v>
      </c>
    </row>
    <row r="633" spans="9:22" x14ac:dyDescent="0.45">
      <c r="I633" t="s">
        <v>187</v>
      </c>
      <c r="J633" t="s">
        <v>296</v>
      </c>
      <c r="K633">
        <v>5.5928530868959488E-3</v>
      </c>
      <c r="L633" t="s">
        <v>164</v>
      </c>
      <c r="N633" t="s">
        <v>220</v>
      </c>
      <c r="O633" t="s">
        <v>296</v>
      </c>
      <c r="P633">
        <v>2.6995035976219665E-3</v>
      </c>
      <c r="Q633" t="s">
        <v>164</v>
      </c>
      <c r="S633" t="s">
        <v>240</v>
      </c>
      <c r="T633" t="s">
        <v>296</v>
      </c>
      <c r="U633">
        <v>4.4125423069770126E-3</v>
      </c>
      <c r="V633" t="s">
        <v>164</v>
      </c>
    </row>
    <row r="634" spans="9:22" x14ac:dyDescent="0.45">
      <c r="I634" t="s">
        <v>187</v>
      </c>
      <c r="J634" t="s">
        <v>297</v>
      </c>
      <c r="K634">
        <v>2.5432446757295897E-4</v>
      </c>
      <c r="L634" t="s">
        <v>164</v>
      </c>
      <c r="N634" t="s">
        <v>220</v>
      </c>
      <c r="O634" t="s">
        <v>297</v>
      </c>
      <c r="P634">
        <v>1.2642486474427367E-2</v>
      </c>
      <c r="Q634" t="s">
        <v>164</v>
      </c>
      <c r="S634" t="s">
        <v>240</v>
      </c>
      <c r="T634" t="s">
        <v>297</v>
      </c>
      <c r="U634">
        <v>3.078022312619037E-2</v>
      </c>
      <c r="V634" t="s">
        <v>164</v>
      </c>
    </row>
    <row r="635" spans="9:22" x14ac:dyDescent="0.45">
      <c r="I635" t="s">
        <v>188</v>
      </c>
      <c r="J635" t="s">
        <v>163</v>
      </c>
      <c r="K635">
        <v>1.1018045414355622E-2</v>
      </c>
      <c r="L635" t="s">
        <v>164</v>
      </c>
      <c r="N635" t="s">
        <v>221</v>
      </c>
      <c r="O635" t="s">
        <v>163</v>
      </c>
      <c r="P635">
        <v>7.9093415168116285E-2</v>
      </c>
      <c r="Q635" t="s">
        <v>164</v>
      </c>
      <c r="S635" t="s">
        <v>241</v>
      </c>
      <c r="T635" t="s">
        <v>163</v>
      </c>
      <c r="U635">
        <v>4.1867859486808899E-2</v>
      </c>
      <c r="V635" t="s">
        <v>164</v>
      </c>
    </row>
    <row r="636" spans="9:22" x14ac:dyDescent="0.45">
      <c r="I636" t="s">
        <v>188</v>
      </c>
      <c r="J636" t="s">
        <v>165</v>
      </c>
      <c r="K636">
        <v>9.5175883966962128E-3</v>
      </c>
      <c r="L636" t="s">
        <v>164</v>
      </c>
      <c r="N636" t="s">
        <v>221</v>
      </c>
      <c r="O636" t="s">
        <v>165</v>
      </c>
      <c r="P636">
        <v>1.0287718990136361E-2</v>
      </c>
      <c r="Q636" t="s">
        <v>164</v>
      </c>
      <c r="S636" t="s">
        <v>241</v>
      </c>
      <c r="T636" t="s">
        <v>165</v>
      </c>
      <c r="U636">
        <v>4.6561622860484863E-3</v>
      </c>
      <c r="V636" t="s">
        <v>164</v>
      </c>
    </row>
    <row r="637" spans="9:22" x14ac:dyDescent="0.45">
      <c r="I637" t="s">
        <v>188</v>
      </c>
      <c r="J637" t="s">
        <v>166</v>
      </c>
      <c r="K637">
        <v>1.0745656687001665E-2</v>
      </c>
      <c r="L637" t="s">
        <v>164</v>
      </c>
      <c r="N637" t="s">
        <v>221</v>
      </c>
      <c r="O637" t="s">
        <v>166</v>
      </c>
      <c r="P637">
        <v>1.0120176763384158E-2</v>
      </c>
      <c r="Q637" t="s">
        <v>164</v>
      </c>
      <c r="S637" t="s">
        <v>241</v>
      </c>
      <c r="T637" t="s">
        <v>166</v>
      </c>
      <c r="U637">
        <v>4.7133311711903651E-3</v>
      </c>
      <c r="V637" t="s">
        <v>164</v>
      </c>
    </row>
    <row r="638" spans="9:22" x14ac:dyDescent="0.45">
      <c r="I638" t="s">
        <v>188</v>
      </c>
      <c r="J638" t="s">
        <v>262</v>
      </c>
      <c r="K638">
        <v>5.9732400047797021E-2</v>
      </c>
      <c r="L638" t="s">
        <v>164</v>
      </c>
      <c r="N638" t="s">
        <v>221</v>
      </c>
      <c r="O638" t="s">
        <v>262</v>
      </c>
      <c r="P638">
        <v>3.5876736507597644E-2</v>
      </c>
      <c r="Q638" t="s">
        <v>164</v>
      </c>
      <c r="S638" t="s">
        <v>241</v>
      </c>
      <c r="T638" t="s">
        <v>262</v>
      </c>
      <c r="U638">
        <v>2.5509598668275527E-2</v>
      </c>
      <c r="V638" t="s">
        <v>164</v>
      </c>
    </row>
    <row r="639" spans="9:22" x14ac:dyDescent="0.45">
      <c r="I639" t="s">
        <v>188</v>
      </c>
      <c r="J639" t="s">
        <v>263</v>
      </c>
      <c r="K639">
        <v>6.7162464821229036E-3</v>
      </c>
      <c r="L639" t="s">
        <v>164</v>
      </c>
      <c r="N639" t="s">
        <v>221</v>
      </c>
      <c r="O639" t="s">
        <v>263</v>
      </c>
      <c r="P639">
        <v>4.9899028793970925E-3</v>
      </c>
      <c r="Q639" t="s">
        <v>164</v>
      </c>
      <c r="S639" t="s">
        <v>241</v>
      </c>
      <c r="T639" t="s">
        <v>263</v>
      </c>
      <c r="U639">
        <v>4.0974502578576301E-3</v>
      </c>
      <c r="V639" t="s">
        <v>164</v>
      </c>
    </row>
    <row r="640" spans="9:22" x14ac:dyDescent="0.45">
      <c r="I640" t="s">
        <v>188</v>
      </c>
      <c r="J640" t="s">
        <v>264</v>
      </c>
      <c r="K640">
        <v>4.4533078632402311E-3</v>
      </c>
      <c r="L640" t="s">
        <v>164</v>
      </c>
      <c r="N640" t="s">
        <v>221</v>
      </c>
      <c r="O640" t="s">
        <v>264</v>
      </c>
      <c r="P640">
        <v>5.5578399308913694E-2</v>
      </c>
      <c r="Q640" t="s">
        <v>164</v>
      </c>
      <c r="S640" t="s">
        <v>241</v>
      </c>
      <c r="T640" t="s">
        <v>264</v>
      </c>
      <c r="U640">
        <v>2.5716574252050109E-2</v>
      </c>
      <c r="V640" t="s">
        <v>164</v>
      </c>
    </row>
    <row r="641" spans="9:22" x14ac:dyDescent="0.45">
      <c r="I641" t="s">
        <v>188</v>
      </c>
      <c r="J641" t="s">
        <v>167</v>
      </c>
      <c r="K641">
        <v>9.6918067091704644E-3</v>
      </c>
      <c r="L641" t="s">
        <v>164</v>
      </c>
      <c r="N641" t="s">
        <v>221</v>
      </c>
      <c r="O641" t="s">
        <v>167</v>
      </c>
      <c r="P641">
        <v>7.7755495072688474E-2</v>
      </c>
      <c r="Q641" t="s">
        <v>164</v>
      </c>
      <c r="S641" t="s">
        <v>241</v>
      </c>
      <c r="T641" t="s">
        <v>167</v>
      </c>
      <c r="U641">
        <v>4.241486576202616E-2</v>
      </c>
      <c r="V641" t="s">
        <v>164</v>
      </c>
    </row>
    <row r="642" spans="9:22" x14ac:dyDescent="0.45">
      <c r="I642" t="s">
        <v>188</v>
      </c>
      <c r="J642" t="s">
        <v>168</v>
      </c>
      <c r="K642">
        <v>8.4686323814005052E-3</v>
      </c>
      <c r="L642" t="s">
        <v>164</v>
      </c>
      <c r="N642" t="s">
        <v>221</v>
      </c>
      <c r="O642" t="s">
        <v>168</v>
      </c>
      <c r="P642">
        <v>9.7217469422672832E-3</v>
      </c>
      <c r="Q642" t="s">
        <v>164</v>
      </c>
      <c r="S642" t="s">
        <v>241</v>
      </c>
      <c r="T642" t="s">
        <v>168</v>
      </c>
      <c r="U642">
        <v>4.2100907149960698E-3</v>
      </c>
      <c r="V642" t="s">
        <v>164</v>
      </c>
    </row>
    <row r="643" spans="9:22" x14ac:dyDescent="0.45">
      <c r="I643" t="s">
        <v>188</v>
      </c>
      <c r="J643" t="s">
        <v>169</v>
      </c>
      <c r="K643">
        <v>9.5175926587132993E-3</v>
      </c>
      <c r="L643" t="s">
        <v>164</v>
      </c>
      <c r="N643" t="s">
        <v>221</v>
      </c>
      <c r="O643" t="s">
        <v>169</v>
      </c>
      <c r="P643">
        <v>8.7543121786333878E-3</v>
      </c>
      <c r="Q643" t="s">
        <v>164</v>
      </c>
      <c r="S643" t="s">
        <v>241</v>
      </c>
      <c r="T643" t="s">
        <v>169</v>
      </c>
      <c r="U643">
        <v>4.2464613518262886E-3</v>
      </c>
      <c r="V643" t="s">
        <v>164</v>
      </c>
    </row>
    <row r="644" spans="9:22" x14ac:dyDescent="0.45">
      <c r="I644" t="s">
        <v>188</v>
      </c>
      <c r="J644" t="s">
        <v>265</v>
      </c>
      <c r="K644">
        <v>5.5226628073661257E-2</v>
      </c>
      <c r="L644" t="s">
        <v>164</v>
      </c>
      <c r="N644" t="s">
        <v>221</v>
      </c>
      <c r="O644" t="s">
        <v>265</v>
      </c>
      <c r="P644">
        <v>3.081493543151104E-2</v>
      </c>
      <c r="Q644" t="s">
        <v>164</v>
      </c>
      <c r="S644" t="s">
        <v>241</v>
      </c>
      <c r="T644" t="s">
        <v>265</v>
      </c>
      <c r="U644">
        <v>2.1833356965449278E-2</v>
      </c>
      <c r="V644" t="s">
        <v>164</v>
      </c>
    </row>
    <row r="645" spans="9:22" x14ac:dyDescent="0.45">
      <c r="I645" t="s">
        <v>188</v>
      </c>
      <c r="J645" t="s">
        <v>266</v>
      </c>
      <c r="K645">
        <v>6.4231536978279742E-3</v>
      </c>
      <c r="L645" t="s">
        <v>164</v>
      </c>
      <c r="N645" t="s">
        <v>221</v>
      </c>
      <c r="O645" t="s">
        <v>266</v>
      </c>
      <c r="P645">
        <v>3.5622575721138169E-3</v>
      </c>
      <c r="Q645" t="s">
        <v>164</v>
      </c>
      <c r="S645" t="s">
        <v>241</v>
      </c>
      <c r="T645" t="s">
        <v>266</v>
      </c>
      <c r="U645">
        <v>3.3690609507028022E-3</v>
      </c>
      <c r="V645" t="s">
        <v>164</v>
      </c>
    </row>
    <row r="646" spans="9:22" x14ac:dyDescent="0.45">
      <c r="I646" t="s">
        <v>188</v>
      </c>
      <c r="J646" t="s">
        <v>267</v>
      </c>
      <c r="K646">
        <v>3.9533939989203921E-3</v>
      </c>
      <c r="L646" t="s">
        <v>164</v>
      </c>
      <c r="N646" t="s">
        <v>221</v>
      </c>
      <c r="O646" t="s">
        <v>267</v>
      </c>
      <c r="P646">
        <v>5.1449500213160866E-2</v>
      </c>
      <c r="Q646" t="s">
        <v>164</v>
      </c>
      <c r="S646" t="s">
        <v>241</v>
      </c>
      <c r="T646" t="s">
        <v>267</v>
      </c>
      <c r="U646">
        <v>2.2950060681832651E-2</v>
      </c>
      <c r="V646" t="s">
        <v>164</v>
      </c>
    </row>
    <row r="647" spans="9:22" x14ac:dyDescent="0.45">
      <c r="I647" t="s">
        <v>188</v>
      </c>
      <c r="J647" t="s">
        <v>170</v>
      </c>
      <c r="K647">
        <v>7.1469910681830088E-3</v>
      </c>
      <c r="L647" t="s">
        <v>164</v>
      </c>
      <c r="N647" t="s">
        <v>221</v>
      </c>
      <c r="O647" t="s">
        <v>170</v>
      </c>
      <c r="P647">
        <v>6.4940449148691695E-2</v>
      </c>
      <c r="Q647" t="s">
        <v>164</v>
      </c>
      <c r="S647" t="s">
        <v>241</v>
      </c>
      <c r="T647" t="s">
        <v>170</v>
      </c>
      <c r="U647">
        <v>3.7966808739617386E-2</v>
      </c>
      <c r="V647" t="s">
        <v>164</v>
      </c>
    </row>
    <row r="648" spans="9:22" x14ac:dyDescent="0.45">
      <c r="I648" t="s">
        <v>188</v>
      </c>
      <c r="J648" t="s">
        <v>171</v>
      </c>
      <c r="K648">
        <v>6.9721024485697586E-3</v>
      </c>
      <c r="L648" t="s">
        <v>164</v>
      </c>
      <c r="N648" t="s">
        <v>221</v>
      </c>
      <c r="O648" t="s">
        <v>171</v>
      </c>
      <c r="P648">
        <v>7.9057439536083275E-3</v>
      </c>
      <c r="Q648" t="s">
        <v>164</v>
      </c>
      <c r="S648" t="s">
        <v>241</v>
      </c>
      <c r="T648" t="s">
        <v>171</v>
      </c>
      <c r="U648">
        <v>3.8600423731681823E-3</v>
      </c>
      <c r="V648" t="s">
        <v>164</v>
      </c>
    </row>
    <row r="649" spans="9:22" x14ac:dyDescent="0.45">
      <c r="I649" t="s">
        <v>188</v>
      </c>
      <c r="J649" t="s">
        <v>172</v>
      </c>
      <c r="K649">
        <v>8.4003617828994886E-3</v>
      </c>
      <c r="L649" t="s">
        <v>164</v>
      </c>
      <c r="N649" t="s">
        <v>221</v>
      </c>
      <c r="O649" t="s">
        <v>172</v>
      </c>
      <c r="P649">
        <v>6.5018327592447182E-3</v>
      </c>
      <c r="Q649" t="s">
        <v>164</v>
      </c>
      <c r="S649" t="s">
        <v>241</v>
      </c>
      <c r="T649" t="s">
        <v>172</v>
      </c>
      <c r="U649">
        <v>3.9713648139143151E-3</v>
      </c>
      <c r="V649" t="s">
        <v>164</v>
      </c>
    </row>
    <row r="650" spans="9:22" x14ac:dyDescent="0.45">
      <c r="I650" t="s">
        <v>188</v>
      </c>
      <c r="J650" t="s">
        <v>268</v>
      </c>
      <c r="K650">
        <v>5.121318662107107E-2</v>
      </c>
      <c r="L650" t="s">
        <v>164</v>
      </c>
      <c r="N650" t="s">
        <v>221</v>
      </c>
      <c r="O650" t="s">
        <v>268</v>
      </c>
      <c r="P650">
        <v>2.0979580594445491E-2</v>
      </c>
      <c r="Q650" t="s">
        <v>164</v>
      </c>
      <c r="S650" t="s">
        <v>241</v>
      </c>
      <c r="T650" t="s">
        <v>268</v>
      </c>
      <c r="U650">
        <v>2.0824840810029149E-2</v>
      </c>
      <c r="V650" t="s">
        <v>164</v>
      </c>
    </row>
    <row r="651" spans="9:22" x14ac:dyDescent="0.45">
      <c r="I651" t="s">
        <v>188</v>
      </c>
      <c r="J651" t="s">
        <v>269</v>
      </c>
      <c r="K651">
        <v>3.8609488091323014E-3</v>
      </c>
      <c r="L651" t="s">
        <v>164</v>
      </c>
      <c r="N651" t="s">
        <v>221</v>
      </c>
      <c r="O651" t="s">
        <v>269</v>
      </c>
      <c r="P651">
        <v>2.8275168506790489E-3</v>
      </c>
      <c r="Q651" t="s">
        <v>164</v>
      </c>
      <c r="S651" t="s">
        <v>241</v>
      </c>
      <c r="T651" t="s">
        <v>269</v>
      </c>
      <c r="U651">
        <v>3.4162079605873654E-3</v>
      </c>
      <c r="V651" t="s">
        <v>164</v>
      </c>
    </row>
    <row r="652" spans="9:22" x14ac:dyDescent="0.45">
      <c r="I652" t="s">
        <v>188</v>
      </c>
      <c r="J652" t="s">
        <v>270</v>
      </c>
      <c r="K652">
        <v>2.1138384575661619E-3</v>
      </c>
      <c r="L652" t="s">
        <v>164</v>
      </c>
      <c r="N652" t="s">
        <v>221</v>
      </c>
      <c r="O652" t="s">
        <v>270</v>
      </c>
      <c r="P652">
        <v>4.0457244678986058E-2</v>
      </c>
      <c r="Q652" t="s">
        <v>164</v>
      </c>
      <c r="S652" t="s">
        <v>241</v>
      </c>
      <c r="T652" t="s">
        <v>270</v>
      </c>
      <c r="U652">
        <v>2.3581176454342778E-2</v>
      </c>
      <c r="V652" t="s">
        <v>164</v>
      </c>
    </row>
    <row r="653" spans="9:22" x14ac:dyDescent="0.45">
      <c r="I653" t="s">
        <v>188</v>
      </c>
      <c r="J653" t="s">
        <v>173</v>
      </c>
      <c r="K653">
        <v>1.5138770582625064E-2</v>
      </c>
      <c r="L653" t="s">
        <v>164</v>
      </c>
      <c r="N653" t="s">
        <v>221</v>
      </c>
      <c r="O653" t="s">
        <v>173</v>
      </c>
      <c r="P653">
        <v>6.0419177815845999E-2</v>
      </c>
      <c r="Q653" t="s">
        <v>164</v>
      </c>
      <c r="S653" t="s">
        <v>241</v>
      </c>
      <c r="T653" t="s">
        <v>173</v>
      </c>
      <c r="U653">
        <v>7.3046383215923091E-2</v>
      </c>
      <c r="V653" t="s">
        <v>164</v>
      </c>
    </row>
    <row r="654" spans="9:22" x14ac:dyDescent="0.45">
      <c r="I654" t="s">
        <v>188</v>
      </c>
      <c r="J654" t="s">
        <v>174</v>
      </c>
      <c r="K654">
        <v>1.3480498581059467E-2</v>
      </c>
      <c r="L654" t="s">
        <v>164</v>
      </c>
      <c r="N654" t="s">
        <v>221</v>
      </c>
      <c r="O654" t="s">
        <v>174</v>
      </c>
      <c r="P654">
        <v>7.2282851351935544E-3</v>
      </c>
      <c r="Q654" t="s">
        <v>164</v>
      </c>
      <c r="S654" t="s">
        <v>241</v>
      </c>
      <c r="T654" t="s">
        <v>174</v>
      </c>
      <c r="U654">
        <v>6.8173159593581467E-3</v>
      </c>
      <c r="V654" t="s">
        <v>164</v>
      </c>
    </row>
    <row r="655" spans="9:22" x14ac:dyDescent="0.45">
      <c r="I655" t="s">
        <v>188</v>
      </c>
      <c r="J655" t="s">
        <v>175</v>
      </c>
      <c r="K655">
        <v>1.6017250714296424E-2</v>
      </c>
      <c r="L655" t="s">
        <v>164</v>
      </c>
      <c r="N655" t="s">
        <v>221</v>
      </c>
      <c r="O655" t="s">
        <v>175</v>
      </c>
      <c r="P655">
        <v>6.5262743883947403E-3</v>
      </c>
      <c r="Q655" t="s">
        <v>164</v>
      </c>
      <c r="S655" t="s">
        <v>241</v>
      </c>
      <c r="T655" t="s">
        <v>175</v>
      </c>
      <c r="U655">
        <v>6.8147820694184789E-3</v>
      </c>
      <c r="V655" t="s">
        <v>164</v>
      </c>
    </row>
    <row r="656" spans="9:22" x14ac:dyDescent="0.45">
      <c r="I656" t="s">
        <v>188</v>
      </c>
      <c r="J656" t="s">
        <v>271</v>
      </c>
      <c r="K656">
        <v>9.382867685575999E-2</v>
      </c>
      <c r="L656" t="s">
        <v>164</v>
      </c>
      <c r="N656" t="s">
        <v>221</v>
      </c>
      <c r="O656" t="s">
        <v>271</v>
      </c>
      <c r="P656">
        <v>2.0378233643003573E-2</v>
      </c>
      <c r="Q656" t="s">
        <v>164</v>
      </c>
      <c r="S656" t="s">
        <v>241</v>
      </c>
      <c r="T656" t="s">
        <v>271</v>
      </c>
      <c r="U656">
        <v>3.6816682588325912E-2</v>
      </c>
      <c r="V656" t="s">
        <v>164</v>
      </c>
    </row>
    <row r="657" spans="9:22" x14ac:dyDescent="0.45">
      <c r="I657" t="s">
        <v>188</v>
      </c>
      <c r="J657" t="s">
        <v>272</v>
      </c>
      <c r="K657">
        <v>6.8232008999709473E-3</v>
      </c>
      <c r="L657" t="s">
        <v>164</v>
      </c>
      <c r="N657" t="s">
        <v>221</v>
      </c>
      <c r="O657" t="s">
        <v>272</v>
      </c>
      <c r="P657">
        <v>2.2470844834615793E-3</v>
      </c>
      <c r="Q657" t="s">
        <v>164</v>
      </c>
      <c r="S657" t="s">
        <v>241</v>
      </c>
      <c r="T657" t="s">
        <v>272</v>
      </c>
      <c r="U657">
        <v>6.4793668677143954E-3</v>
      </c>
      <c r="V657" t="s">
        <v>164</v>
      </c>
    </row>
    <row r="658" spans="9:22" x14ac:dyDescent="0.45">
      <c r="I658" t="s">
        <v>188</v>
      </c>
      <c r="J658" t="s">
        <v>273</v>
      </c>
      <c r="K658">
        <v>3.1820401633792794E-3</v>
      </c>
      <c r="L658" t="s">
        <v>164</v>
      </c>
      <c r="N658" t="s">
        <v>221</v>
      </c>
      <c r="O658" t="s">
        <v>273</v>
      </c>
      <c r="P658">
        <v>2.9371642424862555E-2</v>
      </c>
      <c r="Q658" t="s">
        <v>164</v>
      </c>
      <c r="S658" t="s">
        <v>241</v>
      </c>
      <c r="T658" t="s">
        <v>273</v>
      </c>
      <c r="U658">
        <v>4.7141154971580612E-2</v>
      </c>
      <c r="V658" t="s">
        <v>164</v>
      </c>
    </row>
    <row r="659" spans="9:22" x14ac:dyDescent="0.45">
      <c r="I659" t="s">
        <v>188</v>
      </c>
      <c r="J659" t="s">
        <v>274</v>
      </c>
      <c r="K659">
        <v>1.6706021885310281E-2</v>
      </c>
      <c r="L659" t="s">
        <v>164</v>
      </c>
      <c r="N659" t="s">
        <v>221</v>
      </c>
      <c r="O659" t="s">
        <v>274</v>
      </c>
      <c r="P659">
        <v>2.8390882461049136E-2</v>
      </c>
      <c r="Q659" t="s">
        <v>164</v>
      </c>
      <c r="S659" t="s">
        <v>241</v>
      </c>
      <c r="T659" t="s">
        <v>274</v>
      </c>
      <c r="U659">
        <v>7.3769306137916671E-2</v>
      </c>
      <c r="V659" t="s">
        <v>164</v>
      </c>
    </row>
    <row r="660" spans="9:22" x14ac:dyDescent="0.45">
      <c r="I660" t="s">
        <v>188</v>
      </c>
      <c r="J660" t="s">
        <v>275</v>
      </c>
      <c r="K660">
        <v>1.4088405897157326E-2</v>
      </c>
      <c r="L660" t="s">
        <v>164</v>
      </c>
      <c r="N660" t="s">
        <v>221</v>
      </c>
      <c r="O660" t="s">
        <v>275</v>
      </c>
      <c r="P660">
        <v>3.9839971517960093E-3</v>
      </c>
      <c r="Q660" t="s">
        <v>164</v>
      </c>
      <c r="S660" t="s">
        <v>241</v>
      </c>
      <c r="T660" t="s">
        <v>275</v>
      </c>
      <c r="U660">
        <v>6.6621556346038741E-3</v>
      </c>
      <c r="V660" t="s">
        <v>164</v>
      </c>
    </row>
    <row r="661" spans="9:22" x14ac:dyDescent="0.45">
      <c r="I661" t="s">
        <v>188</v>
      </c>
      <c r="J661" t="s">
        <v>276</v>
      </c>
      <c r="K661">
        <v>1.6910570750189279E-2</v>
      </c>
      <c r="L661" t="s">
        <v>164</v>
      </c>
      <c r="N661" t="s">
        <v>221</v>
      </c>
      <c r="O661" t="s">
        <v>276</v>
      </c>
      <c r="P661">
        <v>3.8370519865453105E-3</v>
      </c>
      <c r="Q661" t="s">
        <v>164</v>
      </c>
      <c r="S661" t="s">
        <v>241</v>
      </c>
      <c r="T661" t="s">
        <v>276</v>
      </c>
      <c r="U661">
        <v>6.6290120530536059E-3</v>
      </c>
      <c r="V661" t="s">
        <v>164</v>
      </c>
    </row>
    <row r="662" spans="9:22" x14ac:dyDescent="0.45">
      <c r="I662" t="s">
        <v>188</v>
      </c>
      <c r="J662" t="s">
        <v>277</v>
      </c>
      <c r="K662">
        <v>9.9788119848122983E-2</v>
      </c>
      <c r="L662" t="s">
        <v>164</v>
      </c>
      <c r="N662" t="s">
        <v>221</v>
      </c>
      <c r="O662" t="s">
        <v>277</v>
      </c>
      <c r="P662">
        <v>1.2304022758782606E-2</v>
      </c>
      <c r="Q662" t="s">
        <v>164</v>
      </c>
      <c r="S662" t="s">
        <v>241</v>
      </c>
      <c r="T662" t="s">
        <v>277</v>
      </c>
      <c r="U662">
        <v>3.5560124564511471E-2</v>
      </c>
      <c r="V662" t="s">
        <v>164</v>
      </c>
    </row>
    <row r="663" spans="9:22" x14ac:dyDescent="0.45">
      <c r="I663" t="s">
        <v>188</v>
      </c>
      <c r="J663" t="s">
        <v>278</v>
      </c>
      <c r="K663">
        <v>7.6686738776324172E-3</v>
      </c>
      <c r="L663" t="s">
        <v>164</v>
      </c>
      <c r="N663" t="s">
        <v>221</v>
      </c>
      <c r="O663" t="s">
        <v>278</v>
      </c>
      <c r="P663">
        <v>1.4609863813692069E-3</v>
      </c>
      <c r="Q663" t="s">
        <v>164</v>
      </c>
      <c r="S663" t="s">
        <v>241</v>
      </c>
      <c r="T663" t="s">
        <v>278</v>
      </c>
      <c r="U663">
        <v>6.5525985762450436E-3</v>
      </c>
      <c r="V663" t="s">
        <v>164</v>
      </c>
    </row>
    <row r="664" spans="9:22" x14ac:dyDescent="0.45">
      <c r="I664" t="s">
        <v>188</v>
      </c>
      <c r="J664" t="s">
        <v>279</v>
      </c>
      <c r="K664">
        <v>4.0542508741149624E-3</v>
      </c>
      <c r="L664" t="s">
        <v>164</v>
      </c>
      <c r="N664" t="s">
        <v>221</v>
      </c>
      <c r="O664" t="s">
        <v>279</v>
      </c>
      <c r="P664">
        <v>1.8075218440402697E-2</v>
      </c>
      <c r="Q664" t="s">
        <v>164</v>
      </c>
      <c r="S664" t="s">
        <v>241</v>
      </c>
      <c r="T664" t="s">
        <v>279</v>
      </c>
      <c r="U664">
        <v>4.6698939604690945E-2</v>
      </c>
      <c r="V664" t="s">
        <v>164</v>
      </c>
    </row>
    <row r="665" spans="9:22" x14ac:dyDescent="0.45">
      <c r="I665" t="s">
        <v>188</v>
      </c>
      <c r="J665" t="s">
        <v>280</v>
      </c>
      <c r="K665">
        <v>1.5232234665151889E-2</v>
      </c>
      <c r="L665" t="s">
        <v>164</v>
      </c>
      <c r="N665" t="s">
        <v>221</v>
      </c>
      <c r="O665" t="s">
        <v>280</v>
      </c>
      <c r="P665">
        <v>1.6771522547501388E-2</v>
      </c>
      <c r="Q665" t="s">
        <v>164</v>
      </c>
      <c r="S665" t="s">
        <v>241</v>
      </c>
      <c r="T665" t="s">
        <v>280</v>
      </c>
      <c r="U665">
        <v>4.0714776929836549E-2</v>
      </c>
      <c r="V665" t="s">
        <v>164</v>
      </c>
    </row>
    <row r="666" spans="9:22" x14ac:dyDescent="0.45">
      <c r="I666" t="s">
        <v>188</v>
      </c>
      <c r="J666" t="s">
        <v>281</v>
      </c>
      <c r="K666">
        <v>1.4391218581234162E-2</v>
      </c>
      <c r="L666" t="s">
        <v>164</v>
      </c>
      <c r="N666" t="s">
        <v>221</v>
      </c>
      <c r="O666" t="s">
        <v>281</v>
      </c>
      <c r="P666">
        <v>1.7500689470996687E-3</v>
      </c>
      <c r="Q666" t="s">
        <v>164</v>
      </c>
      <c r="S666" t="s">
        <v>241</v>
      </c>
      <c r="T666" t="s">
        <v>281</v>
      </c>
      <c r="U666">
        <v>4.2437243288316233E-3</v>
      </c>
      <c r="V666" t="s">
        <v>164</v>
      </c>
    </row>
    <row r="667" spans="9:22" x14ac:dyDescent="0.45">
      <c r="I667" t="s">
        <v>188</v>
      </c>
      <c r="J667" t="s">
        <v>282</v>
      </c>
      <c r="K667">
        <v>1.7643201986746102E-2</v>
      </c>
      <c r="L667" t="s">
        <v>164</v>
      </c>
      <c r="N667" t="s">
        <v>221</v>
      </c>
      <c r="O667" t="s">
        <v>282</v>
      </c>
      <c r="P667">
        <v>1.9039885299710862E-3</v>
      </c>
      <c r="Q667" t="s">
        <v>164</v>
      </c>
      <c r="S667" t="s">
        <v>241</v>
      </c>
      <c r="T667" t="s">
        <v>282</v>
      </c>
      <c r="U667">
        <v>4.1287638499098046E-3</v>
      </c>
      <c r="V667" t="s">
        <v>164</v>
      </c>
    </row>
    <row r="668" spans="9:22" x14ac:dyDescent="0.45">
      <c r="I668" t="s">
        <v>188</v>
      </c>
      <c r="J668" t="s">
        <v>283</v>
      </c>
      <c r="K668">
        <v>0.10058141190997547</v>
      </c>
      <c r="L668" t="s">
        <v>164</v>
      </c>
      <c r="N668" t="s">
        <v>221</v>
      </c>
      <c r="O668" t="s">
        <v>283</v>
      </c>
      <c r="P668">
        <v>8.7901966661784146E-3</v>
      </c>
      <c r="Q668" t="s">
        <v>164</v>
      </c>
      <c r="S668" t="s">
        <v>241</v>
      </c>
      <c r="T668" t="s">
        <v>283</v>
      </c>
      <c r="U668">
        <v>1.9643107486014871E-2</v>
      </c>
      <c r="V668" t="s">
        <v>164</v>
      </c>
    </row>
    <row r="669" spans="9:22" x14ac:dyDescent="0.45">
      <c r="I669" t="s">
        <v>188</v>
      </c>
      <c r="J669" t="s">
        <v>284</v>
      </c>
      <c r="K669">
        <v>6.5950016177860477E-3</v>
      </c>
      <c r="L669" t="s">
        <v>164</v>
      </c>
      <c r="N669" t="s">
        <v>221</v>
      </c>
      <c r="O669" t="s">
        <v>284</v>
      </c>
      <c r="P669">
        <v>1.0554199336525307E-3</v>
      </c>
      <c r="Q669" t="s">
        <v>164</v>
      </c>
      <c r="S669" t="s">
        <v>241</v>
      </c>
      <c r="T669" t="s">
        <v>284</v>
      </c>
      <c r="U669">
        <v>3.0348919022376952E-3</v>
      </c>
      <c r="V669" t="s">
        <v>164</v>
      </c>
    </row>
    <row r="670" spans="9:22" x14ac:dyDescent="0.45">
      <c r="I670" t="s">
        <v>188</v>
      </c>
      <c r="J670" t="s">
        <v>285</v>
      </c>
      <c r="K670">
        <v>3.2753075362316514E-3</v>
      </c>
      <c r="L670" t="s">
        <v>164</v>
      </c>
      <c r="N670" t="s">
        <v>221</v>
      </c>
      <c r="O670" t="s">
        <v>285</v>
      </c>
      <c r="P670">
        <v>9.4953305099414412E-3</v>
      </c>
      <c r="Q670" t="s">
        <v>164</v>
      </c>
      <c r="S670" t="s">
        <v>241</v>
      </c>
      <c r="T670" t="s">
        <v>285</v>
      </c>
      <c r="U670">
        <v>2.5183735915036008E-2</v>
      </c>
      <c r="V670" t="s">
        <v>164</v>
      </c>
    </row>
    <row r="671" spans="9:22" x14ac:dyDescent="0.45">
      <c r="I671" t="s">
        <v>188</v>
      </c>
      <c r="J671" t="s">
        <v>286</v>
      </c>
      <c r="K671">
        <v>1.9990685454069301E-2</v>
      </c>
      <c r="L671" t="s">
        <v>164</v>
      </c>
      <c r="N671" t="s">
        <v>221</v>
      </c>
      <c r="O671" t="s">
        <v>286</v>
      </c>
      <c r="P671">
        <v>4.420931742313202E-2</v>
      </c>
      <c r="Q671" t="s">
        <v>164</v>
      </c>
      <c r="S671" t="s">
        <v>241</v>
      </c>
      <c r="T671" t="s">
        <v>286</v>
      </c>
      <c r="U671">
        <v>5.4509516691043043E-2</v>
      </c>
      <c r="V671" t="s">
        <v>164</v>
      </c>
    </row>
    <row r="672" spans="9:22" x14ac:dyDescent="0.45">
      <c r="I672" t="s">
        <v>188</v>
      </c>
      <c r="J672" t="s">
        <v>287</v>
      </c>
      <c r="K672">
        <v>1.6925848004532562E-2</v>
      </c>
      <c r="L672" t="s">
        <v>164</v>
      </c>
      <c r="N672" t="s">
        <v>221</v>
      </c>
      <c r="O672" t="s">
        <v>287</v>
      </c>
      <c r="P672">
        <v>5.1032711910943829E-3</v>
      </c>
      <c r="Q672" t="s">
        <v>164</v>
      </c>
      <c r="S672" t="s">
        <v>241</v>
      </c>
      <c r="T672" t="s">
        <v>287</v>
      </c>
      <c r="U672">
        <v>6.0703882454627668E-3</v>
      </c>
      <c r="V672" t="s">
        <v>164</v>
      </c>
    </row>
    <row r="673" spans="9:22" x14ac:dyDescent="0.45">
      <c r="I673" t="s">
        <v>188</v>
      </c>
      <c r="J673" t="s">
        <v>288</v>
      </c>
      <c r="K673">
        <v>1.8990762349552166E-2</v>
      </c>
      <c r="L673" t="s">
        <v>164</v>
      </c>
      <c r="N673" t="s">
        <v>221</v>
      </c>
      <c r="O673" t="s">
        <v>288</v>
      </c>
      <c r="P673">
        <v>4.8207845141215845E-3</v>
      </c>
      <c r="Q673" t="s">
        <v>164</v>
      </c>
      <c r="S673" t="s">
        <v>241</v>
      </c>
      <c r="T673" t="s">
        <v>288</v>
      </c>
      <c r="U673">
        <v>6.1532430096689376E-3</v>
      </c>
      <c r="V673" t="s">
        <v>164</v>
      </c>
    </row>
    <row r="674" spans="9:22" x14ac:dyDescent="0.45">
      <c r="I674" t="s">
        <v>188</v>
      </c>
      <c r="J674" t="s">
        <v>289</v>
      </c>
      <c r="K674">
        <v>0.10085987002023046</v>
      </c>
      <c r="L674" t="s">
        <v>164</v>
      </c>
      <c r="N674" t="s">
        <v>221</v>
      </c>
      <c r="O674" t="s">
        <v>289</v>
      </c>
      <c r="P674">
        <v>1.362570459678291E-2</v>
      </c>
      <c r="Q674" t="s">
        <v>164</v>
      </c>
      <c r="S674" t="s">
        <v>241</v>
      </c>
      <c r="T674" t="s">
        <v>289</v>
      </c>
      <c r="U674">
        <v>3.0047584876869839E-2</v>
      </c>
      <c r="V674" t="s">
        <v>164</v>
      </c>
    </row>
    <row r="675" spans="9:22" x14ac:dyDescent="0.45">
      <c r="I675" t="s">
        <v>188</v>
      </c>
      <c r="J675" t="s">
        <v>290</v>
      </c>
      <c r="K675">
        <v>6.8571069413120855E-3</v>
      </c>
      <c r="L675" t="s">
        <v>164</v>
      </c>
      <c r="N675" t="s">
        <v>221</v>
      </c>
      <c r="O675" t="s">
        <v>290</v>
      </c>
      <c r="P675">
        <v>2.4562623316657403E-3</v>
      </c>
      <c r="Q675" t="s">
        <v>164</v>
      </c>
      <c r="S675" t="s">
        <v>241</v>
      </c>
      <c r="T675" t="s">
        <v>290</v>
      </c>
      <c r="U675">
        <v>4.742775343688015E-3</v>
      </c>
      <c r="V675" t="s">
        <v>164</v>
      </c>
    </row>
    <row r="676" spans="9:22" x14ac:dyDescent="0.45">
      <c r="I676" t="s">
        <v>188</v>
      </c>
      <c r="J676" t="s">
        <v>291</v>
      </c>
      <c r="K676">
        <v>4.5419645679087013E-4</v>
      </c>
      <c r="L676" t="s">
        <v>164</v>
      </c>
      <c r="N676" t="s">
        <v>221</v>
      </c>
      <c r="O676" t="s">
        <v>291</v>
      </c>
      <c r="P676">
        <v>2.9028360471256662E-2</v>
      </c>
      <c r="Q676" t="s">
        <v>164</v>
      </c>
      <c r="S676" t="s">
        <v>241</v>
      </c>
      <c r="T676" t="s">
        <v>291</v>
      </c>
      <c r="U676">
        <v>3.7340395922653709E-2</v>
      </c>
      <c r="V676" t="s">
        <v>164</v>
      </c>
    </row>
    <row r="677" spans="9:22" x14ac:dyDescent="0.45">
      <c r="I677" t="s">
        <v>188</v>
      </c>
      <c r="J677" t="s">
        <v>292</v>
      </c>
      <c r="K677">
        <v>1.1627381986250577E-2</v>
      </c>
      <c r="L677" t="s">
        <v>164</v>
      </c>
      <c r="N677" t="s">
        <v>221</v>
      </c>
      <c r="O677" t="s">
        <v>292</v>
      </c>
      <c r="P677">
        <v>5.0676833988394718E-2</v>
      </c>
      <c r="Q677" t="s">
        <v>164</v>
      </c>
      <c r="S677" t="s">
        <v>241</v>
      </c>
      <c r="T677" t="s">
        <v>292</v>
      </c>
      <c r="U677">
        <v>4.3197379786302538E-2</v>
      </c>
      <c r="V677" t="s">
        <v>164</v>
      </c>
    </row>
    <row r="678" spans="9:22" x14ac:dyDescent="0.45">
      <c r="I678" t="s">
        <v>188</v>
      </c>
      <c r="J678" t="s">
        <v>293</v>
      </c>
      <c r="K678">
        <v>9.5414837298611367E-3</v>
      </c>
      <c r="L678" t="s">
        <v>164</v>
      </c>
      <c r="N678" t="s">
        <v>221</v>
      </c>
      <c r="O678" t="s">
        <v>293</v>
      </c>
      <c r="P678">
        <v>7.5950945445808493E-3</v>
      </c>
      <c r="Q678" t="s">
        <v>164</v>
      </c>
      <c r="S678" t="s">
        <v>241</v>
      </c>
      <c r="T678" t="s">
        <v>293</v>
      </c>
      <c r="U678">
        <v>4.7284361517861669E-3</v>
      </c>
      <c r="V678" t="s">
        <v>164</v>
      </c>
    </row>
    <row r="679" spans="9:22" x14ac:dyDescent="0.45">
      <c r="I679" t="s">
        <v>188</v>
      </c>
      <c r="J679" t="s">
        <v>294</v>
      </c>
      <c r="K679">
        <v>1.0571523951288835E-2</v>
      </c>
      <c r="L679" t="s">
        <v>164</v>
      </c>
      <c r="N679" t="s">
        <v>221</v>
      </c>
      <c r="O679" t="s">
        <v>294</v>
      </c>
      <c r="P679">
        <v>7.9403312706926143E-3</v>
      </c>
      <c r="Q679" t="s">
        <v>164</v>
      </c>
      <c r="S679" t="s">
        <v>241</v>
      </c>
      <c r="T679" t="s">
        <v>294</v>
      </c>
      <c r="U679">
        <v>4.7975835498445113E-3</v>
      </c>
      <c r="V679" t="s">
        <v>164</v>
      </c>
    </row>
    <row r="680" spans="9:22" x14ac:dyDescent="0.45">
      <c r="I680" t="s">
        <v>188</v>
      </c>
      <c r="J680" t="s">
        <v>295</v>
      </c>
      <c r="K680">
        <v>5.7565685121068078E-2</v>
      </c>
      <c r="L680" t="s">
        <v>164</v>
      </c>
      <c r="N680" t="s">
        <v>221</v>
      </c>
      <c r="O680" t="s">
        <v>295</v>
      </c>
      <c r="P680">
        <v>3.2035855433017645E-2</v>
      </c>
      <c r="Q680" t="s">
        <v>164</v>
      </c>
      <c r="S680" t="s">
        <v>241</v>
      </c>
      <c r="T680" t="s">
        <v>295</v>
      </c>
      <c r="U680">
        <v>2.6399301010103647E-2</v>
      </c>
      <c r="V680" t="s">
        <v>164</v>
      </c>
    </row>
    <row r="681" spans="9:22" x14ac:dyDescent="0.45">
      <c r="I681" t="s">
        <v>188</v>
      </c>
      <c r="J681" t="s">
        <v>296</v>
      </c>
      <c r="K681">
        <v>5.412769358532344E-3</v>
      </c>
      <c r="L681" t="s">
        <v>164</v>
      </c>
      <c r="N681" t="s">
        <v>221</v>
      </c>
      <c r="O681" t="s">
        <v>296</v>
      </c>
      <c r="P681">
        <v>4.0726706380114592E-3</v>
      </c>
      <c r="Q681" t="s">
        <v>164</v>
      </c>
      <c r="S681" t="s">
        <v>241</v>
      </c>
      <c r="T681" t="s">
        <v>296</v>
      </c>
      <c r="U681">
        <v>4.4409907313259535E-3</v>
      </c>
      <c r="V681" t="s">
        <v>164</v>
      </c>
    </row>
    <row r="682" spans="9:22" x14ac:dyDescent="0.45">
      <c r="I682" t="s">
        <v>188</v>
      </c>
      <c r="J682" t="s">
        <v>297</v>
      </c>
      <c r="K682">
        <v>6.2594780143708376E-4</v>
      </c>
      <c r="L682" t="s">
        <v>164</v>
      </c>
      <c r="N682" t="s">
        <v>221</v>
      </c>
      <c r="O682" t="s">
        <v>297</v>
      </c>
      <c r="P682">
        <v>4.2829164378622921E-2</v>
      </c>
      <c r="Q682" t="s">
        <v>164</v>
      </c>
      <c r="S682" t="s">
        <v>241</v>
      </c>
      <c r="T682" t="s">
        <v>297</v>
      </c>
      <c r="U682">
        <v>2.8430268325315169E-2</v>
      </c>
      <c r="V682" t="s">
        <v>164</v>
      </c>
    </row>
    <row r="683" spans="9:22" x14ac:dyDescent="0.45">
      <c r="I683" t="s">
        <v>189</v>
      </c>
      <c r="J683" t="s">
        <v>163</v>
      </c>
      <c r="K683">
        <v>1.181669653888066E-2</v>
      </c>
      <c r="L683" t="s">
        <v>164</v>
      </c>
      <c r="N683" t="s">
        <v>222</v>
      </c>
      <c r="O683" t="s">
        <v>163</v>
      </c>
      <c r="P683">
        <v>8.7465139059387353E-2</v>
      </c>
      <c r="Q683" t="s">
        <v>164</v>
      </c>
      <c r="S683" t="s">
        <v>242</v>
      </c>
      <c r="T683" t="s">
        <v>163</v>
      </c>
      <c r="U683">
        <v>3.6512360115582045E-2</v>
      </c>
      <c r="V683" t="s">
        <v>164</v>
      </c>
    </row>
    <row r="684" spans="9:22" x14ac:dyDescent="0.45">
      <c r="I684" t="s">
        <v>189</v>
      </c>
      <c r="J684" t="s">
        <v>165</v>
      </c>
      <c r="K684">
        <v>9.1078338082413949E-3</v>
      </c>
      <c r="L684" t="s">
        <v>164</v>
      </c>
      <c r="N684" t="s">
        <v>222</v>
      </c>
      <c r="O684" t="s">
        <v>165</v>
      </c>
      <c r="P684">
        <v>1.3327867413634856E-2</v>
      </c>
      <c r="Q684" t="s">
        <v>164</v>
      </c>
      <c r="S684" t="s">
        <v>242</v>
      </c>
      <c r="T684" t="s">
        <v>165</v>
      </c>
      <c r="U684">
        <v>3.9579704131631884E-3</v>
      </c>
      <c r="V684" t="s">
        <v>164</v>
      </c>
    </row>
    <row r="685" spans="9:22" x14ac:dyDescent="0.45">
      <c r="I685" t="s">
        <v>189</v>
      </c>
      <c r="J685" t="s">
        <v>166</v>
      </c>
      <c r="K685">
        <v>1.0587104965017352E-2</v>
      </c>
      <c r="L685" t="s">
        <v>164</v>
      </c>
      <c r="N685" t="s">
        <v>222</v>
      </c>
      <c r="O685" t="s">
        <v>166</v>
      </c>
      <c r="P685">
        <v>1.2263121469158512E-2</v>
      </c>
      <c r="Q685" t="s">
        <v>164</v>
      </c>
      <c r="S685" t="s">
        <v>242</v>
      </c>
      <c r="T685" t="s">
        <v>166</v>
      </c>
      <c r="U685">
        <v>3.9993792628383274E-3</v>
      </c>
      <c r="V685" t="s">
        <v>164</v>
      </c>
    </row>
    <row r="686" spans="9:22" x14ac:dyDescent="0.45">
      <c r="I686" t="s">
        <v>189</v>
      </c>
      <c r="J686" t="s">
        <v>262</v>
      </c>
      <c r="K686">
        <v>5.9543933249949735E-2</v>
      </c>
      <c r="L686" t="s">
        <v>164</v>
      </c>
      <c r="N686" t="s">
        <v>222</v>
      </c>
      <c r="O686" t="s">
        <v>262</v>
      </c>
      <c r="P686">
        <v>4.6243114187017098E-2</v>
      </c>
      <c r="Q686" t="s">
        <v>164</v>
      </c>
      <c r="S686" t="s">
        <v>242</v>
      </c>
      <c r="T686" t="s">
        <v>262</v>
      </c>
      <c r="U686">
        <v>2.1438846060760235E-2</v>
      </c>
      <c r="V686" t="s">
        <v>164</v>
      </c>
    </row>
    <row r="687" spans="9:22" x14ac:dyDescent="0.45">
      <c r="I687" t="s">
        <v>189</v>
      </c>
      <c r="J687" t="s">
        <v>263</v>
      </c>
      <c r="K687">
        <v>6.5689709774621645E-3</v>
      </c>
      <c r="L687" t="s">
        <v>164</v>
      </c>
      <c r="N687" t="s">
        <v>222</v>
      </c>
      <c r="O687" t="s">
        <v>263</v>
      </c>
      <c r="P687">
        <v>5.746838587946692E-3</v>
      </c>
      <c r="Q687" t="s">
        <v>164</v>
      </c>
      <c r="S687" t="s">
        <v>242</v>
      </c>
      <c r="T687" t="s">
        <v>263</v>
      </c>
      <c r="U687">
        <v>3.7173607569538371E-3</v>
      </c>
      <c r="V687" t="s">
        <v>164</v>
      </c>
    </row>
    <row r="688" spans="9:22" x14ac:dyDescent="0.45">
      <c r="I688" t="s">
        <v>189</v>
      </c>
      <c r="J688" t="s">
        <v>264</v>
      </c>
      <c r="K688">
        <v>3.5376304408200349E-3</v>
      </c>
      <c r="L688" t="s">
        <v>164</v>
      </c>
      <c r="N688" t="s">
        <v>222</v>
      </c>
      <c r="O688" t="s">
        <v>264</v>
      </c>
      <c r="P688">
        <v>3.7242985379154013E-2</v>
      </c>
      <c r="Q688" t="s">
        <v>164</v>
      </c>
      <c r="S688" t="s">
        <v>242</v>
      </c>
      <c r="T688" t="s">
        <v>264</v>
      </c>
      <c r="U688">
        <v>2.5862729788682294E-2</v>
      </c>
      <c r="V688" t="s">
        <v>164</v>
      </c>
    </row>
    <row r="689" spans="9:22" x14ac:dyDescent="0.45">
      <c r="I689" t="s">
        <v>189</v>
      </c>
      <c r="J689" t="s">
        <v>167</v>
      </c>
      <c r="K689">
        <v>9.4257071807532147E-3</v>
      </c>
      <c r="L689" t="s">
        <v>164</v>
      </c>
      <c r="N689" t="s">
        <v>222</v>
      </c>
      <c r="O689" t="s">
        <v>167</v>
      </c>
      <c r="P689">
        <v>8.3808651162201389E-2</v>
      </c>
      <c r="Q689" t="s">
        <v>164</v>
      </c>
      <c r="S689" t="s">
        <v>242</v>
      </c>
      <c r="T689" t="s">
        <v>167</v>
      </c>
      <c r="U689">
        <v>4.0325405916217416E-2</v>
      </c>
      <c r="V689" t="s">
        <v>164</v>
      </c>
    </row>
    <row r="690" spans="9:22" x14ac:dyDescent="0.45">
      <c r="I690" t="s">
        <v>189</v>
      </c>
      <c r="J690" t="s">
        <v>168</v>
      </c>
      <c r="K690">
        <v>7.5780965753268464E-3</v>
      </c>
      <c r="L690" t="s">
        <v>164</v>
      </c>
      <c r="N690" t="s">
        <v>222</v>
      </c>
      <c r="O690" t="s">
        <v>168</v>
      </c>
      <c r="P690">
        <v>1.1887631821511891E-2</v>
      </c>
      <c r="Q690" t="s">
        <v>164</v>
      </c>
      <c r="S690" t="s">
        <v>242</v>
      </c>
      <c r="T690" t="s">
        <v>168</v>
      </c>
      <c r="U690">
        <v>3.9446794283105888E-3</v>
      </c>
      <c r="V690" t="s">
        <v>164</v>
      </c>
    </row>
    <row r="691" spans="9:22" x14ac:dyDescent="0.45">
      <c r="I691" t="s">
        <v>189</v>
      </c>
      <c r="J691" t="s">
        <v>169</v>
      </c>
      <c r="K691">
        <v>8.6511049533037013E-3</v>
      </c>
      <c r="L691" t="s">
        <v>164</v>
      </c>
      <c r="N691" t="s">
        <v>222</v>
      </c>
      <c r="O691" t="s">
        <v>169</v>
      </c>
      <c r="P691">
        <v>1.0416792143622851E-2</v>
      </c>
      <c r="Q691" t="s">
        <v>164</v>
      </c>
      <c r="S691" t="s">
        <v>242</v>
      </c>
      <c r="T691" t="s">
        <v>169</v>
      </c>
      <c r="U691">
        <v>3.9242202744473884E-3</v>
      </c>
      <c r="V691" t="s">
        <v>164</v>
      </c>
    </row>
    <row r="692" spans="9:22" x14ac:dyDescent="0.45">
      <c r="I692" t="s">
        <v>189</v>
      </c>
      <c r="J692" t="s">
        <v>265</v>
      </c>
      <c r="K692">
        <v>4.9876215342593365E-2</v>
      </c>
      <c r="L692" t="s">
        <v>164</v>
      </c>
      <c r="N692" t="s">
        <v>222</v>
      </c>
      <c r="O692" t="s">
        <v>265</v>
      </c>
      <c r="P692">
        <v>3.807164395925814E-2</v>
      </c>
      <c r="Q692" t="s">
        <v>164</v>
      </c>
      <c r="S692" t="s">
        <v>242</v>
      </c>
      <c r="T692" t="s">
        <v>265</v>
      </c>
      <c r="U692">
        <v>2.0744057913361022E-2</v>
      </c>
      <c r="V692" t="s">
        <v>164</v>
      </c>
    </row>
    <row r="693" spans="9:22" x14ac:dyDescent="0.45">
      <c r="I693" t="s">
        <v>189</v>
      </c>
      <c r="J693" t="s">
        <v>266</v>
      </c>
      <c r="K693">
        <v>5.5712620134978135E-3</v>
      </c>
      <c r="L693" t="s">
        <v>164</v>
      </c>
      <c r="N693" t="s">
        <v>222</v>
      </c>
      <c r="O693" t="s">
        <v>266</v>
      </c>
      <c r="P693">
        <v>4.2986291259467088E-3</v>
      </c>
      <c r="Q693" t="s">
        <v>164</v>
      </c>
      <c r="S693" t="s">
        <v>242</v>
      </c>
      <c r="T693" t="s">
        <v>266</v>
      </c>
      <c r="U693">
        <v>3.5260323694173683E-3</v>
      </c>
      <c r="V693" t="s">
        <v>164</v>
      </c>
    </row>
    <row r="694" spans="9:22" x14ac:dyDescent="0.45">
      <c r="I694" t="s">
        <v>189</v>
      </c>
      <c r="J694" t="s">
        <v>267</v>
      </c>
      <c r="K694">
        <v>3.6156120578180588E-3</v>
      </c>
      <c r="L694" t="s">
        <v>164</v>
      </c>
      <c r="N694" t="s">
        <v>222</v>
      </c>
      <c r="O694" t="s">
        <v>267</v>
      </c>
      <c r="P694">
        <v>3.3313466582308E-2</v>
      </c>
      <c r="Q694" t="s">
        <v>164</v>
      </c>
      <c r="S694" t="s">
        <v>242</v>
      </c>
      <c r="T694" t="s">
        <v>267</v>
      </c>
      <c r="U694">
        <v>2.6061815567966235E-2</v>
      </c>
      <c r="V694" t="s">
        <v>164</v>
      </c>
    </row>
    <row r="695" spans="9:22" x14ac:dyDescent="0.45">
      <c r="I695" t="s">
        <v>189</v>
      </c>
      <c r="J695" t="s">
        <v>170</v>
      </c>
      <c r="K695">
        <v>9.6678249767469925E-3</v>
      </c>
      <c r="L695" t="s">
        <v>164</v>
      </c>
      <c r="N695" t="s">
        <v>222</v>
      </c>
      <c r="O695" t="s">
        <v>170</v>
      </c>
      <c r="P695">
        <v>6.2247642985625795E-2</v>
      </c>
      <c r="Q695" t="s">
        <v>164</v>
      </c>
      <c r="S695" t="s">
        <v>242</v>
      </c>
      <c r="T695" t="s">
        <v>170</v>
      </c>
      <c r="U695">
        <v>4.678525407056109E-2</v>
      </c>
      <c r="V695" t="s">
        <v>164</v>
      </c>
    </row>
    <row r="696" spans="9:22" x14ac:dyDescent="0.45">
      <c r="I696" t="s">
        <v>189</v>
      </c>
      <c r="J696" t="s">
        <v>171</v>
      </c>
      <c r="K696">
        <v>7.3652005715076335E-3</v>
      </c>
      <c r="L696" t="s">
        <v>164</v>
      </c>
      <c r="N696" t="s">
        <v>222</v>
      </c>
      <c r="O696" t="s">
        <v>171</v>
      </c>
      <c r="P696">
        <v>7.9573993989335498E-3</v>
      </c>
      <c r="Q696" t="s">
        <v>164</v>
      </c>
      <c r="S696" t="s">
        <v>242</v>
      </c>
      <c r="T696" t="s">
        <v>171</v>
      </c>
      <c r="U696">
        <v>4.657801683937624E-3</v>
      </c>
      <c r="V696" t="s">
        <v>164</v>
      </c>
    </row>
    <row r="697" spans="9:22" x14ac:dyDescent="0.45">
      <c r="I697" t="s">
        <v>189</v>
      </c>
      <c r="J697" t="s">
        <v>172</v>
      </c>
      <c r="K697">
        <v>8.3794791062691484E-3</v>
      </c>
      <c r="L697" t="s">
        <v>164</v>
      </c>
      <c r="N697" t="s">
        <v>222</v>
      </c>
      <c r="O697" t="s">
        <v>172</v>
      </c>
      <c r="P697">
        <v>6.0457503610665498E-3</v>
      </c>
      <c r="Q697" t="s">
        <v>164</v>
      </c>
      <c r="S697" t="s">
        <v>242</v>
      </c>
      <c r="T697" t="s">
        <v>172</v>
      </c>
      <c r="U697">
        <v>4.7674044259034239E-3</v>
      </c>
      <c r="V697" t="s">
        <v>164</v>
      </c>
    </row>
    <row r="698" spans="9:22" x14ac:dyDescent="0.45">
      <c r="I698" t="s">
        <v>189</v>
      </c>
      <c r="J698" t="s">
        <v>268</v>
      </c>
      <c r="K698">
        <v>5.1990227349541222E-2</v>
      </c>
      <c r="L698" t="s">
        <v>164</v>
      </c>
      <c r="N698" t="s">
        <v>222</v>
      </c>
      <c r="O698" t="s">
        <v>268</v>
      </c>
      <c r="P698">
        <v>1.9392107676695802E-2</v>
      </c>
      <c r="Q698" t="s">
        <v>164</v>
      </c>
      <c r="S698" t="s">
        <v>242</v>
      </c>
      <c r="T698" t="s">
        <v>268</v>
      </c>
      <c r="U698">
        <v>2.6905683287013409E-2</v>
      </c>
      <c r="V698" t="s">
        <v>164</v>
      </c>
    </row>
    <row r="699" spans="9:22" x14ac:dyDescent="0.45">
      <c r="I699" t="s">
        <v>189</v>
      </c>
      <c r="J699" t="s">
        <v>269</v>
      </c>
      <c r="K699">
        <v>5.3389371822316579E-3</v>
      </c>
      <c r="L699" t="s">
        <v>164</v>
      </c>
      <c r="N699" t="s">
        <v>222</v>
      </c>
      <c r="O699" t="s">
        <v>269</v>
      </c>
      <c r="P699">
        <v>2.761549413361963E-3</v>
      </c>
      <c r="Q699" t="s">
        <v>164</v>
      </c>
      <c r="S699" t="s">
        <v>242</v>
      </c>
      <c r="T699" t="s">
        <v>269</v>
      </c>
      <c r="U699">
        <v>4.9221418175203332E-3</v>
      </c>
      <c r="V699" t="s">
        <v>164</v>
      </c>
    </row>
    <row r="700" spans="9:22" x14ac:dyDescent="0.45">
      <c r="I700" t="s">
        <v>189</v>
      </c>
      <c r="J700" t="s">
        <v>270</v>
      </c>
      <c r="K700">
        <v>3.2235407849717382E-3</v>
      </c>
      <c r="L700" t="s">
        <v>164</v>
      </c>
      <c r="N700" t="s">
        <v>222</v>
      </c>
      <c r="O700" t="s">
        <v>270</v>
      </c>
      <c r="P700">
        <v>3.0592895029881877E-2</v>
      </c>
      <c r="Q700" t="s">
        <v>164</v>
      </c>
      <c r="S700" t="s">
        <v>242</v>
      </c>
      <c r="T700" t="s">
        <v>270</v>
      </c>
      <c r="U700">
        <v>3.5923862488238652E-2</v>
      </c>
      <c r="V700" t="s">
        <v>164</v>
      </c>
    </row>
    <row r="701" spans="9:22" x14ac:dyDescent="0.45">
      <c r="I701" t="s">
        <v>189</v>
      </c>
      <c r="J701" t="s">
        <v>173</v>
      </c>
      <c r="K701">
        <v>1.595285509494921E-2</v>
      </c>
      <c r="L701" t="s">
        <v>164</v>
      </c>
      <c r="N701" t="s">
        <v>222</v>
      </c>
      <c r="O701" t="s">
        <v>173</v>
      </c>
      <c r="P701">
        <v>5.8998924904132999E-2</v>
      </c>
      <c r="Q701" t="s">
        <v>164</v>
      </c>
      <c r="S701" t="s">
        <v>242</v>
      </c>
      <c r="T701" t="s">
        <v>173</v>
      </c>
      <c r="U701">
        <v>7.417347219765219E-2</v>
      </c>
      <c r="V701" t="s">
        <v>164</v>
      </c>
    </row>
    <row r="702" spans="9:22" x14ac:dyDescent="0.45">
      <c r="I702" t="s">
        <v>189</v>
      </c>
      <c r="J702" t="s">
        <v>174</v>
      </c>
      <c r="K702">
        <v>1.2251622165611646E-2</v>
      </c>
      <c r="L702" t="s">
        <v>164</v>
      </c>
      <c r="N702" t="s">
        <v>222</v>
      </c>
      <c r="O702" t="s">
        <v>174</v>
      </c>
      <c r="P702">
        <v>8.0726043113010029E-3</v>
      </c>
      <c r="Q702" t="s">
        <v>164</v>
      </c>
      <c r="S702" t="s">
        <v>242</v>
      </c>
      <c r="T702" t="s">
        <v>174</v>
      </c>
      <c r="U702">
        <v>6.571164284900022E-3</v>
      </c>
      <c r="V702" t="s">
        <v>164</v>
      </c>
    </row>
    <row r="703" spans="9:22" x14ac:dyDescent="0.45">
      <c r="I703" t="s">
        <v>189</v>
      </c>
      <c r="J703" t="s">
        <v>175</v>
      </c>
      <c r="K703">
        <v>1.4420269692267619E-2</v>
      </c>
      <c r="L703" t="s">
        <v>164</v>
      </c>
      <c r="N703" t="s">
        <v>222</v>
      </c>
      <c r="O703" t="s">
        <v>175</v>
      </c>
      <c r="P703">
        <v>6.6505926805797838E-3</v>
      </c>
      <c r="Q703" t="s">
        <v>164</v>
      </c>
      <c r="S703" t="s">
        <v>242</v>
      </c>
      <c r="T703" t="s">
        <v>175</v>
      </c>
      <c r="U703">
        <v>6.6899444179723683E-3</v>
      </c>
      <c r="V703" t="s">
        <v>164</v>
      </c>
    </row>
    <row r="704" spans="9:22" x14ac:dyDescent="0.45">
      <c r="I704" t="s">
        <v>189</v>
      </c>
      <c r="J704" t="s">
        <v>271</v>
      </c>
      <c r="K704">
        <v>8.6788224516101492E-2</v>
      </c>
      <c r="L704" t="s">
        <v>164</v>
      </c>
      <c r="N704" t="s">
        <v>222</v>
      </c>
      <c r="O704" t="s">
        <v>271</v>
      </c>
      <c r="P704">
        <v>1.9187945655485775E-2</v>
      </c>
      <c r="Q704" t="s">
        <v>164</v>
      </c>
      <c r="S704" t="s">
        <v>242</v>
      </c>
      <c r="T704" t="s">
        <v>271</v>
      </c>
      <c r="U704">
        <v>4.0186031007050364E-2</v>
      </c>
      <c r="V704" t="s">
        <v>164</v>
      </c>
    </row>
    <row r="705" spans="9:22" x14ac:dyDescent="0.45">
      <c r="I705" t="s">
        <v>189</v>
      </c>
      <c r="J705" t="s">
        <v>272</v>
      </c>
      <c r="K705">
        <v>7.3185132491005314E-3</v>
      </c>
      <c r="L705" t="s">
        <v>164</v>
      </c>
      <c r="N705" t="s">
        <v>222</v>
      </c>
      <c r="O705" t="s">
        <v>272</v>
      </c>
      <c r="P705">
        <v>2.2784804152430212E-3</v>
      </c>
      <c r="Q705" t="s">
        <v>164</v>
      </c>
      <c r="S705" t="s">
        <v>242</v>
      </c>
      <c r="T705" t="s">
        <v>272</v>
      </c>
      <c r="U705">
        <v>8.0553249043648321E-3</v>
      </c>
      <c r="V705" t="s">
        <v>164</v>
      </c>
    </row>
    <row r="706" spans="9:22" x14ac:dyDescent="0.45">
      <c r="I706" t="s">
        <v>189</v>
      </c>
      <c r="J706" t="s">
        <v>273</v>
      </c>
      <c r="K706">
        <v>3.7133961268944744E-3</v>
      </c>
      <c r="L706" t="s">
        <v>164</v>
      </c>
      <c r="N706" t="s">
        <v>222</v>
      </c>
      <c r="O706" t="s">
        <v>273</v>
      </c>
      <c r="P706">
        <v>2.5057408345026334E-2</v>
      </c>
      <c r="Q706" t="s">
        <v>164</v>
      </c>
      <c r="S706" t="s">
        <v>242</v>
      </c>
      <c r="T706" t="s">
        <v>273</v>
      </c>
      <c r="U706">
        <v>5.8172864644395458E-2</v>
      </c>
      <c r="V706" t="s">
        <v>164</v>
      </c>
    </row>
    <row r="707" spans="9:22" x14ac:dyDescent="0.45">
      <c r="I707" t="s">
        <v>189</v>
      </c>
      <c r="J707" t="s">
        <v>274</v>
      </c>
      <c r="K707">
        <v>1.5057719473587911E-2</v>
      </c>
      <c r="L707" t="s">
        <v>164</v>
      </c>
      <c r="N707" t="s">
        <v>222</v>
      </c>
      <c r="O707" t="s">
        <v>274</v>
      </c>
      <c r="P707">
        <v>2.9062603728317312E-2</v>
      </c>
      <c r="Q707" t="s">
        <v>164</v>
      </c>
      <c r="S707" t="s">
        <v>242</v>
      </c>
      <c r="T707" t="s">
        <v>274</v>
      </c>
      <c r="U707">
        <v>6.4112265706954094E-2</v>
      </c>
      <c r="V707" t="s">
        <v>164</v>
      </c>
    </row>
    <row r="708" spans="9:22" x14ac:dyDescent="0.45">
      <c r="I708" t="s">
        <v>189</v>
      </c>
      <c r="J708" t="s">
        <v>275</v>
      </c>
      <c r="K708">
        <v>1.160565039889562E-2</v>
      </c>
      <c r="L708" t="s">
        <v>164</v>
      </c>
      <c r="N708" t="s">
        <v>222</v>
      </c>
      <c r="O708" t="s">
        <v>275</v>
      </c>
      <c r="P708">
        <v>4.321621492063589E-3</v>
      </c>
      <c r="Q708" t="s">
        <v>164</v>
      </c>
      <c r="S708" t="s">
        <v>242</v>
      </c>
      <c r="T708" t="s">
        <v>275</v>
      </c>
      <c r="U708">
        <v>5.2897617612947551E-3</v>
      </c>
      <c r="V708" t="s">
        <v>164</v>
      </c>
    </row>
    <row r="709" spans="9:22" x14ac:dyDescent="0.45">
      <c r="I709" t="s">
        <v>189</v>
      </c>
      <c r="J709" t="s">
        <v>276</v>
      </c>
      <c r="K709">
        <v>1.3846975806236976E-2</v>
      </c>
      <c r="L709" t="s">
        <v>164</v>
      </c>
      <c r="N709" t="s">
        <v>222</v>
      </c>
      <c r="O709" t="s">
        <v>276</v>
      </c>
      <c r="P709">
        <v>3.7395679591095072E-3</v>
      </c>
      <c r="Q709" t="s">
        <v>164</v>
      </c>
      <c r="S709" t="s">
        <v>242</v>
      </c>
      <c r="T709" t="s">
        <v>276</v>
      </c>
      <c r="U709">
        <v>5.3193859572371648E-3</v>
      </c>
      <c r="V709" t="s">
        <v>164</v>
      </c>
    </row>
    <row r="710" spans="9:22" x14ac:dyDescent="0.45">
      <c r="I710" t="s">
        <v>189</v>
      </c>
      <c r="J710" t="s">
        <v>277</v>
      </c>
      <c r="K710">
        <v>8.6038393105470873E-2</v>
      </c>
      <c r="L710" t="s">
        <v>164</v>
      </c>
      <c r="N710" t="s">
        <v>222</v>
      </c>
      <c r="O710" t="s">
        <v>277</v>
      </c>
      <c r="P710">
        <v>1.2453502180529112E-2</v>
      </c>
      <c r="Q710" t="s">
        <v>164</v>
      </c>
      <c r="S710" t="s">
        <v>242</v>
      </c>
      <c r="T710" t="s">
        <v>277</v>
      </c>
      <c r="U710">
        <v>3.1927165359065403E-2</v>
      </c>
      <c r="V710" t="s">
        <v>164</v>
      </c>
    </row>
    <row r="711" spans="9:22" x14ac:dyDescent="0.45">
      <c r="I711" t="s">
        <v>189</v>
      </c>
      <c r="J711" t="s">
        <v>278</v>
      </c>
      <c r="K711">
        <v>7.4495252711137055E-3</v>
      </c>
      <c r="L711" t="s">
        <v>164</v>
      </c>
      <c r="N711" t="s">
        <v>222</v>
      </c>
      <c r="O711" t="s">
        <v>278</v>
      </c>
      <c r="P711">
        <v>1.5420824041248802E-3</v>
      </c>
      <c r="Q711" t="s">
        <v>164</v>
      </c>
      <c r="S711" t="s">
        <v>242</v>
      </c>
      <c r="T711" t="s">
        <v>278</v>
      </c>
      <c r="U711">
        <v>6.5411829030703837E-3</v>
      </c>
      <c r="V711" t="s">
        <v>164</v>
      </c>
    </row>
    <row r="712" spans="9:22" x14ac:dyDescent="0.45">
      <c r="I712" t="s">
        <v>189</v>
      </c>
      <c r="J712" t="s">
        <v>279</v>
      </c>
      <c r="K712">
        <v>4.2913650226484371E-3</v>
      </c>
      <c r="L712" t="s">
        <v>164</v>
      </c>
      <c r="N712" t="s">
        <v>222</v>
      </c>
      <c r="O712" t="s">
        <v>279</v>
      </c>
      <c r="P712">
        <v>1.4970926058881256E-2</v>
      </c>
      <c r="Q712" t="s">
        <v>164</v>
      </c>
      <c r="S712" t="s">
        <v>242</v>
      </c>
      <c r="T712" t="s">
        <v>279</v>
      </c>
      <c r="U712">
        <v>4.6179917567750799E-2</v>
      </c>
      <c r="V712" t="s">
        <v>164</v>
      </c>
    </row>
    <row r="713" spans="9:22" x14ac:dyDescent="0.45">
      <c r="I713" t="s">
        <v>189</v>
      </c>
      <c r="J713" t="s">
        <v>280</v>
      </c>
      <c r="K713">
        <v>1.935899414456373E-2</v>
      </c>
      <c r="L713" t="s">
        <v>164</v>
      </c>
      <c r="N713" t="s">
        <v>222</v>
      </c>
      <c r="O713" t="s">
        <v>280</v>
      </c>
      <c r="P713">
        <v>1.5329751607139107E-2</v>
      </c>
      <c r="Q713" t="s">
        <v>164</v>
      </c>
      <c r="S713" t="s">
        <v>242</v>
      </c>
      <c r="T713" t="s">
        <v>280</v>
      </c>
      <c r="U713">
        <v>3.6233714124713698E-2</v>
      </c>
      <c r="V713" t="s">
        <v>164</v>
      </c>
    </row>
    <row r="714" spans="9:22" x14ac:dyDescent="0.45">
      <c r="I714" t="s">
        <v>189</v>
      </c>
      <c r="J714" t="s">
        <v>281</v>
      </c>
      <c r="K714">
        <v>1.5439039146398208E-2</v>
      </c>
      <c r="L714" t="s">
        <v>164</v>
      </c>
      <c r="N714" t="s">
        <v>222</v>
      </c>
      <c r="O714" t="s">
        <v>281</v>
      </c>
      <c r="P714">
        <v>1.5586461043505875E-3</v>
      </c>
      <c r="Q714" t="s">
        <v>164</v>
      </c>
      <c r="S714" t="s">
        <v>242</v>
      </c>
      <c r="T714" t="s">
        <v>281</v>
      </c>
      <c r="U714">
        <v>3.5866831377305004E-3</v>
      </c>
      <c r="V714" t="s">
        <v>164</v>
      </c>
    </row>
    <row r="715" spans="9:22" x14ac:dyDescent="0.45">
      <c r="I715" t="s">
        <v>189</v>
      </c>
      <c r="J715" t="s">
        <v>282</v>
      </c>
      <c r="K715">
        <v>1.7833195785731615E-2</v>
      </c>
      <c r="L715" t="s">
        <v>164</v>
      </c>
      <c r="N715" t="s">
        <v>222</v>
      </c>
      <c r="O715" t="s">
        <v>282</v>
      </c>
      <c r="P715">
        <v>1.4710102686666556E-3</v>
      </c>
      <c r="Q715" t="s">
        <v>164</v>
      </c>
      <c r="S715" t="s">
        <v>242</v>
      </c>
      <c r="T715" t="s">
        <v>282</v>
      </c>
      <c r="U715">
        <v>3.5479106459510214E-3</v>
      </c>
      <c r="V715" t="s">
        <v>164</v>
      </c>
    </row>
    <row r="716" spans="9:22" x14ac:dyDescent="0.45">
      <c r="I716" t="s">
        <v>189</v>
      </c>
      <c r="J716" t="s">
        <v>283</v>
      </c>
      <c r="K716">
        <v>0.10227970078363392</v>
      </c>
      <c r="L716" t="s">
        <v>164</v>
      </c>
      <c r="N716" t="s">
        <v>222</v>
      </c>
      <c r="O716" t="s">
        <v>283</v>
      </c>
      <c r="P716">
        <v>7.8657467481464474E-3</v>
      </c>
      <c r="Q716" t="s">
        <v>164</v>
      </c>
      <c r="S716" t="s">
        <v>242</v>
      </c>
      <c r="T716" t="s">
        <v>283</v>
      </c>
      <c r="U716">
        <v>1.8749884943767042E-2</v>
      </c>
      <c r="V716" t="s">
        <v>164</v>
      </c>
    </row>
    <row r="717" spans="9:22" x14ac:dyDescent="0.45">
      <c r="I717" t="s">
        <v>189</v>
      </c>
      <c r="J717" t="s">
        <v>284</v>
      </c>
      <c r="K717">
        <v>8.3450169293491049E-3</v>
      </c>
      <c r="L717" t="s">
        <v>164</v>
      </c>
      <c r="N717" t="s">
        <v>222</v>
      </c>
      <c r="O717" t="s">
        <v>284</v>
      </c>
      <c r="P717">
        <v>9.447715436627645E-4</v>
      </c>
      <c r="Q717" t="s">
        <v>164</v>
      </c>
      <c r="S717" t="s">
        <v>242</v>
      </c>
      <c r="T717" t="s">
        <v>284</v>
      </c>
      <c r="U717">
        <v>3.3676459582362606E-3</v>
      </c>
      <c r="V717" t="s">
        <v>164</v>
      </c>
    </row>
    <row r="718" spans="9:22" x14ac:dyDescent="0.45">
      <c r="I718" t="s">
        <v>189</v>
      </c>
      <c r="J718" t="s">
        <v>285</v>
      </c>
      <c r="K718">
        <v>4.3137417133073085E-3</v>
      </c>
      <c r="L718" t="s">
        <v>164</v>
      </c>
      <c r="N718" t="s">
        <v>222</v>
      </c>
      <c r="O718" t="s">
        <v>285</v>
      </c>
      <c r="P718">
        <v>8.8229876292491745E-3</v>
      </c>
      <c r="Q718" t="s">
        <v>164</v>
      </c>
      <c r="S718" t="s">
        <v>242</v>
      </c>
      <c r="T718" t="s">
        <v>285</v>
      </c>
      <c r="U718">
        <v>2.6996449705759155E-2</v>
      </c>
      <c r="V718" t="s">
        <v>164</v>
      </c>
    </row>
    <row r="719" spans="9:22" x14ac:dyDescent="0.45">
      <c r="I719" t="s">
        <v>189</v>
      </c>
      <c r="J719" t="s">
        <v>286</v>
      </c>
      <c r="K719">
        <v>2.665922598571379E-2</v>
      </c>
      <c r="L719" t="s">
        <v>164</v>
      </c>
      <c r="N719" t="s">
        <v>222</v>
      </c>
      <c r="O719" t="s">
        <v>286</v>
      </c>
      <c r="P719">
        <v>4.6634259738286984E-2</v>
      </c>
      <c r="Q719" t="s">
        <v>164</v>
      </c>
      <c r="S719" t="s">
        <v>242</v>
      </c>
      <c r="T719" t="s">
        <v>286</v>
      </c>
      <c r="U719">
        <v>5.1111632735900858E-2</v>
      </c>
      <c r="V719" t="s">
        <v>164</v>
      </c>
    </row>
    <row r="720" spans="9:22" x14ac:dyDescent="0.45">
      <c r="I720" t="s">
        <v>189</v>
      </c>
      <c r="J720" t="s">
        <v>287</v>
      </c>
      <c r="K720">
        <v>1.9382515392217435E-2</v>
      </c>
      <c r="L720" t="s">
        <v>164</v>
      </c>
      <c r="N720" t="s">
        <v>222</v>
      </c>
      <c r="O720" t="s">
        <v>287</v>
      </c>
      <c r="P720">
        <v>6.9415403175810087E-3</v>
      </c>
      <c r="Q720" t="s">
        <v>164</v>
      </c>
      <c r="S720" t="s">
        <v>242</v>
      </c>
      <c r="T720" t="s">
        <v>287</v>
      </c>
      <c r="U720">
        <v>5.4251306484892209E-3</v>
      </c>
      <c r="V720" t="s">
        <v>164</v>
      </c>
    </row>
    <row r="721" spans="9:22" x14ac:dyDescent="0.45">
      <c r="I721" t="s">
        <v>189</v>
      </c>
      <c r="J721" t="s">
        <v>288</v>
      </c>
      <c r="K721">
        <v>2.0754507425268052E-2</v>
      </c>
      <c r="L721" t="s">
        <v>164</v>
      </c>
      <c r="N721" t="s">
        <v>222</v>
      </c>
      <c r="O721" t="s">
        <v>288</v>
      </c>
      <c r="P721">
        <v>5.9609014935395601E-3</v>
      </c>
      <c r="Q721" t="s">
        <v>164</v>
      </c>
      <c r="S721" t="s">
        <v>242</v>
      </c>
      <c r="T721" t="s">
        <v>288</v>
      </c>
      <c r="U721">
        <v>5.4804882259788419E-3</v>
      </c>
      <c r="V721" t="s">
        <v>164</v>
      </c>
    </row>
    <row r="722" spans="9:22" x14ac:dyDescent="0.45">
      <c r="I722" t="s">
        <v>189</v>
      </c>
      <c r="J722" t="s">
        <v>289</v>
      </c>
      <c r="K722">
        <v>0.10966684162507583</v>
      </c>
      <c r="L722" t="s">
        <v>164</v>
      </c>
      <c r="N722" t="s">
        <v>222</v>
      </c>
      <c r="O722" t="s">
        <v>289</v>
      </c>
      <c r="P722">
        <v>1.7358874803690447E-2</v>
      </c>
      <c r="Q722" t="s">
        <v>164</v>
      </c>
      <c r="S722" t="s">
        <v>242</v>
      </c>
      <c r="T722" t="s">
        <v>289</v>
      </c>
      <c r="U722">
        <v>2.910104432925989E-2</v>
      </c>
      <c r="V722" t="s">
        <v>164</v>
      </c>
    </row>
    <row r="723" spans="9:22" x14ac:dyDescent="0.45">
      <c r="I723" t="s">
        <v>189</v>
      </c>
      <c r="J723" t="s">
        <v>290</v>
      </c>
      <c r="K723">
        <v>8.7184586649394144E-3</v>
      </c>
      <c r="L723" t="s">
        <v>164</v>
      </c>
      <c r="N723" t="s">
        <v>222</v>
      </c>
      <c r="O723" t="s">
        <v>290</v>
      </c>
      <c r="P723">
        <v>2.4025013963921262E-3</v>
      </c>
      <c r="Q723" t="s">
        <v>164</v>
      </c>
      <c r="S723" t="s">
        <v>242</v>
      </c>
      <c r="T723" t="s">
        <v>290</v>
      </c>
      <c r="U723">
        <v>5.263606272936136E-3</v>
      </c>
      <c r="V723" t="s">
        <v>164</v>
      </c>
    </row>
    <row r="724" spans="9:22" x14ac:dyDescent="0.45">
      <c r="I724" t="s">
        <v>189</v>
      </c>
      <c r="J724" t="s">
        <v>291</v>
      </c>
      <c r="K724">
        <v>0</v>
      </c>
      <c r="L724" t="s">
        <v>164</v>
      </c>
      <c r="N724" t="s">
        <v>222</v>
      </c>
      <c r="O724" t="s">
        <v>291</v>
      </c>
      <c r="P724">
        <v>2.3928392036780471E-2</v>
      </c>
      <c r="Q724" t="s">
        <v>164</v>
      </c>
      <c r="S724" t="s">
        <v>242</v>
      </c>
      <c r="T724" t="s">
        <v>291</v>
      </c>
      <c r="U724">
        <v>3.9924619506045048E-2</v>
      </c>
      <c r="V724" t="s">
        <v>164</v>
      </c>
    </row>
    <row r="725" spans="9:22" x14ac:dyDescent="0.45">
      <c r="I725" t="s">
        <v>189</v>
      </c>
      <c r="J725" t="s">
        <v>292</v>
      </c>
      <c r="K725">
        <v>1.3005137817670032E-2</v>
      </c>
      <c r="L725" t="s">
        <v>164</v>
      </c>
      <c r="N725" t="s">
        <v>222</v>
      </c>
      <c r="O725" t="s">
        <v>292</v>
      </c>
      <c r="P725">
        <v>6.1488122320278976E-2</v>
      </c>
      <c r="Q725" t="s">
        <v>164</v>
      </c>
      <c r="S725" t="s">
        <v>242</v>
      </c>
      <c r="T725" t="s">
        <v>292</v>
      </c>
      <c r="U725">
        <v>3.7864928324461325E-2</v>
      </c>
      <c r="V725" t="s">
        <v>164</v>
      </c>
    </row>
    <row r="726" spans="9:22" x14ac:dyDescent="0.45">
      <c r="I726" t="s">
        <v>189</v>
      </c>
      <c r="J726" t="s">
        <v>293</v>
      </c>
      <c r="K726">
        <v>9.6057159555696971E-3</v>
      </c>
      <c r="L726" t="s">
        <v>164</v>
      </c>
      <c r="N726" t="s">
        <v>222</v>
      </c>
      <c r="O726" t="s">
        <v>293</v>
      </c>
      <c r="P726">
        <v>1.0946407850668334E-2</v>
      </c>
      <c r="Q726" t="s">
        <v>164</v>
      </c>
      <c r="S726" t="s">
        <v>242</v>
      </c>
      <c r="T726" t="s">
        <v>293</v>
      </c>
      <c r="U726">
        <v>4.0562327000474444E-3</v>
      </c>
      <c r="V726" t="s">
        <v>164</v>
      </c>
    </row>
    <row r="727" spans="9:22" x14ac:dyDescent="0.45">
      <c r="I727" t="s">
        <v>189</v>
      </c>
      <c r="J727" t="s">
        <v>294</v>
      </c>
      <c r="K727">
        <v>1.0547789706389225E-2</v>
      </c>
      <c r="L727" t="s">
        <v>164</v>
      </c>
      <c r="N727" t="s">
        <v>222</v>
      </c>
      <c r="O727" t="s">
        <v>294</v>
      </c>
      <c r="P727">
        <v>1.0449948138259465E-2</v>
      </c>
      <c r="Q727" t="s">
        <v>164</v>
      </c>
      <c r="S727" t="s">
        <v>242</v>
      </c>
      <c r="T727" t="s">
        <v>294</v>
      </c>
      <c r="U727">
        <v>4.1059036241034947E-3</v>
      </c>
      <c r="V727" t="s">
        <v>164</v>
      </c>
    </row>
    <row r="728" spans="9:22" x14ac:dyDescent="0.45">
      <c r="I728" t="s">
        <v>189</v>
      </c>
      <c r="J728" t="s">
        <v>295</v>
      </c>
      <c r="K728">
        <v>5.7787909406827563E-2</v>
      </c>
      <c r="L728" t="s">
        <v>164</v>
      </c>
      <c r="N728" t="s">
        <v>222</v>
      </c>
      <c r="O728" t="s">
        <v>295</v>
      </c>
      <c r="P728">
        <v>3.9810925262500733E-2</v>
      </c>
      <c r="Q728" t="s">
        <v>164</v>
      </c>
      <c r="S728" t="s">
        <v>242</v>
      </c>
      <c r="T728" t="s">
        <v>295</v>
      </c>
      <c r="U728">
        <v>2.3063354376778644E-2</v>
      </c>
      <c r="V728" t="s">
        <v>164</v>
      </c>
    </row>
    <row r="729" spans="9:22" x14ac:dyDescent="0.45">
      <c r="I729" t="s">
        <v>189</v>
      </c>
      <c r="J729" t="s">
        <v>296</v>
      </c>
      <c r="K729">
        <v>5.7108094689741432E-3</v>
      </c>
      <c r="L729" t="s">
        <v>164</v>
      </c>
      <c r="N729" t="s">
        <v>222</v>
      </c>
      <c r="O729" t="s">
        <v>296</v>
      </c>
      <c r="P729">
        <v>4.1737894682838152E-3</v>
      </c>
      <c r="Q729" t="s">
        <v>164</v>
      </c>
      <c r="S729" t="s">
        <v>242</v>
      </c>
      <c r="T729" t="s">
        <v>296</v>
      </c>
      <c r="U729">
        <v>3.9127525901854233E-3</v>
      </c>
      <c r="V729" t="s">
        <v>164</v>
      </c>
    </row>
    <row r="730" spans="9:22" x14ac:dyDescent="0.45">
      <c r="I730" t="s">
        <v>189</v>
      </c>
      <c r="J730" t="s">
        <v>297</v>
      </c>
      <c r="K730">
        <v>1.1512050560392764E-5</v>
      </c>
      <c r="L730" t="s">
        <v>164</v>
      </c>
      <c r="N730" t="s">
        <v>222</v>
      </c>
      <c r="O730" t="s">
        <v>297</v>
      </c>
      <c r="P730">
        <v>3.4491937381016982E-2</v>
      </c>
      <c r="Q730" t="s">
        <v>164</v>
      </c>
      <c r="S730" t="s">
        <v>242</v>
      </c>
      <c r="T730" t="s">
        <v>297</v>
      </c>
      <c r="U730">
        <v>2.7012531797076154E-2</v>
      </c>
      <c r="V730" t="s">
        <v>164</v>
      </c>
    </row>
    <row r="731" spans="9:22" x14ac:dyDescent="0.45">
      <c r="I731" t="s">
        <v>190</v>
      </c>
      <c r="J731" t="s">
        <v>163</v>
      </c>
      <c r="K731">
        <v>1.0642612492008891E-2</v>
      </c>
      <c r="L731" t="s">
        <v>164</v>
      </c>
      <c r="N731" t="s">
        <v>223</v>
      </c>
      <c r="O731" t="s">
        <v>163</v>
      </c>
      <c r="P731">
        <v>6.2342128566394733E-2</v>
      </c>
      <c r="Q731" t="s">
        <v>164</v>
      </c>
      <c r="S731" t="s">
        <v>243</v>
      </c>
      <c r="T731" t="s">
        <v>163</v>
      </c>
      <c r="U731">
        <v>4.0840516825548304E-2</v>
      </c>
      <c r="V731" t="s">
        <v>164</v>
      </c>
    </row>
    <row r="732" spans="9:22" x14ac:dyDescent="0.45">
      <c r="I732" t="s">
        <v>190</v>
      </c>
      <c r="J732" t="s">
        <v>165</v>
      </c>
      <c r="K732">
        <v>8.393013244761988E-3</v>
      </c>
      <c r="L732" t="s">
        <v>164</v>
      </c>
      <c r="N732" t="s">
        <v>223</v>
      </c>
      <c r="O732" t="s">
        <v>165</v>
      </c>
      <c r="P732">
        <v>8.5823615749505647E-3</v>
      </c>
      <c r="Q732" t="s">
        <v>164</v>
      </c>
      <c r="S732" t="s">
        <v>243</v>
      </c>
      <c r="T732" t="s">
        <v>165</v>
      </c>
      <c r="U732">
        <v>4.4266553400469678E-3</v>
      </c>
      <c r="V732" t="s">
        <v>164</v>
      </c>
    </row>
    <row r="733" spans="9:22" x14ac:dyDescent="0.45">
      <c r="I733" t="s">
        <v>190</v>
      </c>
      <c r="J733" t="s">
        <v>166</v>
      </c>
      <c r="K733">
        <v>9.7833519506208833E-3</v>
      </c>
      <c r="L733" t="s">
        <v>164</v>
      </c>
      <c r="N733" t="s">
        <v>223</v>
      </c>
      <c r="O733" t="s">
        <v>166</v>
      </c>
      <c r="P733">
        <v>8.1012755584699298E-3</v>
      </c>
      <c r="Q733" t="s">
        <v>164</v>
      </c>
      <c r="S733" t="s">
        <v>243</v>
      </c>
      <c r="T733" t="s">
        <v>166</v>
      </c>
      <c r="U733">
        <v>4.4145175772726218E-3</v>
      </c>
      <c r="V733" t="s">
        <v>164</v>
      </c>
    </row>
    <row r="734" spans="9:22" x14ac:dyDescent="0.45">
      <c r="I734" t="s">
        <v>190</v>
      </c>
      <c r="J734" t="s">
        <v>262</v>
      </c>
      <c r="K734">
        <v>6.0909364068575021E-2</v>
      </c>
      <c r="L734" t="s">
        <v>164</v>
      </c>
      <c r="N734" t="s">
        <v>223</v>
      </c>
      <c r="O734" t="s">
        <v>262</v>
      </c>
      <c r="P734">
        <v>3.4909153911462487E-2</v>
      </c>
      <c r="Q734" t="s">
        <v>164</v>
      </c>
      <c r="S734" t="s">
        <v>243</v>
      </c>
      <c r="T734" t="s">
        <v>262</v>
      </c>
      <c r="U734">
        <v>2.2274811090389798E-2</v>
      </c>
      <c r="V734" t="s">
        <v>164</v>
      </c>
    </row>
    <row r="735" spans="9:22" x14ac:dyDescent="0.45">
      <c r="I735" t="s">
        <v>190</v>
      </c>
      <c r="J735" t="s">
        <v>263</v>
      </c>
      <c r="K735">
        <v>6.7576004318070388E-3</v>
      </c>
      <c r="L735" t="s">
        <v>164</v>
      </c>
      <c r="N735" t="s">
        <v>223</v>
      </c>
      <c r="O735" t="s">
        <v>263</v>
      </c>
      <c r="P735">
        <v>4.6308419174901465E-3</v>
      </c>
      <c r="Q735" t="s">
        <v>164</v>
      </c>
      <c r="S735" t="s">
        <v>243</v>
      </c>
      <c r="T735" t="s">
        <v>263</v>
      </c>
      <c r="U735">
        <v>3.8250810416328718E-3</v>
      </c>
      <c r="V735" t="s">
        <v>164</v>
      </c>
    </row>
    <row r="736" spans="9:22" x14ac:dyDescent="0.45">
      <c r="I736" t="s">
        <v>190</v>
      </c>
      <c r="J736" t="s">
        <v>264</v>
      </c>
      <c r="K736">
        <v>4.677328558240065E-3</v>
      </c>
      <c r="L736" t="s">
        <v>164</v>
      </c>
      <c r="N736" t="s">
        <v>223</v>
      </c>
      <c r="O736" t="s">
        <v>264</v>
      </c>
      <c r="P736">
        <v>4.3648200268839345E-2</v>
      </c>
      <c r="Q736" t="s">
        <v>164</v>
      </c>
      <c r="S736" t="s">
        <v>243</v>
      </c>
      <c r="T736" t="s">
        <v>264</v>
      </c>
      <c r="U736">
        <v>2.6925268674734132E-2</v>
      </c>
      <c r="V736" t="s">
        <v>164</v>
      </c>
    </row>
    <row r="737" spans="9:22" x14ac:dyDescent="0.45">
      <c r="I737" t="s">
        <v>190</v>
      </c>
      <c r="J737" t="s">
        <v>167</v>
      </c>
      <c r="K737">
        <v>8.1392831984460779E-3</v>
      </c>
      <c r="L737" t="s">
        <v>164</v>
      </c>
      <c r="N737" t="s">
        <v>223</v>
      </c>
      <c r="O737" t="s">
        <v>167</v>
      </c>
      <c r="P737">
        <v>6.8637189268370286E-2</v>
      </c>
      <c r="Q737" t="s">
        <v>164</v>
      </c>
      <c r="S737" t="s">
        <v>243</v>
      </c>
      <c r="T737" t="s">
        <v>167</v>
      </c>
      <c r="U737">
        <v>4.5881565569751842E-2</v>
      </c>
      <c r="V737" t="s">
        <v>164</v>
      </c>
    </row>
    <row r="738" spans="9:22" x14ac:dyDescent="0.45">
      <c r="I738" t="s">
        <v>190</v>
      </c>
      <c r="J738" t="s">
        <v>168</v>
      </c>
      <c r="K738">
        <v>6.8038586793958723E-3</v>
      </c>
      <c r="L738" t="s">
        <v>164</v>
      </c>
      <c r="N738" t="s">
        <v>223</v>
      </c>
      <c r="O738" t="s">
        <v>168</v>
      </c>
      <c r="P738">
        <v>9.3169639566099745E-3</v>
      </c>
      <c r="Q738" t="s">
        <v>164</v>
      </c>
      <c r="S738" t="s">
        <v>243</v>
      </c>
      <c r="T738" t="s">
        <v>168</v>
      </c>
      <c r="U738">
        <v>4.6164245901147826E-3</v>
      </c>
      <c r="V738" t="s">
        <v>164</v>
      </c>
    </row>
    <row r="739" spans="9:22" x14ac:dyDescent="0.45">
      <c r="I739" t="s">
        <v>190</v>
      </c>
      <c r="J739" t="s">
        <v>169</v>
      </c>
      <c r="K739">
        <v>8.0726449398351302E-3</v>
      </c>
      <c r="L739" t="s">
        <v>164</v>
      </c>
      <c r="N739" t="s">
        <v>223</v>
      </c>
      <c r="O739" t="s">
        <v>169</v>
      </c>
      <c r="P739">
        <v>8.2283868761416877E-3</v>
      </c>
      <c r="Q739" t="s">
        <v>164</v>
      </c>
      <c r="S739" t="s">
        <v>243</v>
      </c>
      <c r="T739" t="s">
        <v>169</v>
      </c>
      <c r="U739">
        <v>4.5583515769292331E-3</v>
      </c>
      <c r="V739" t="s">
        <v>164</v>
      </c>
    </row>
    <row r="740" spans="9:22" x14ac:dyDescent="0.45">
      <c r="I740" t="s">
        <v>190</v>
      </c>
      <c r="J740" t="s">
        <v>265</v>
      </c>
      <c r="K740">
        <v>4.946639154460427E-2</v>
      </c>
      <c r="L740" t="s">
        <v>164</v>
      </c>
      <c r="N740" t="s">
        <v>223</v>
      </c>
      <c r="O740" t="s">
        <v>265</v>
      </c>
      <c r="P740">
        <v>3.1120773557777159E-2</v>
      </c>
      <c r="Q740" t="s">
        <v>164</v>
      </c>
      <c r="S740" t="s">
        <v>243</v>
      </c>
      <c r="T740" t="s">
        <v>265</v>
      </c>
      <c r="U740">
        <v>2.2625398339321593E-2</v>
      </c>
      <c r="V740" t="s">
        <v>164</v>
      </c>
    </row>
    <row r="741" spans="9:22" x14ac:dyDescent="0.45">
      <c r="I741" t="s">
        <v>190</v>
      </c>
      <c r="J741" t="s">
        <v>266</v>
      </c>
      <c r="K741">
        <v>5.6457553289269704E-3</v>
      </c>
      <c r="L741" t="s">
        <v>164</v>
      </c>
      <c r="N741" t="s">
        <v>223</v>
      </c>
      <c r="O741" t="s">
        <v>266</v>
      </c>
      <c r="P741">
        <v>3.4980746809858743E-3</v>
      </c>
      <c r="Q741" t="s">
        <v>164</v>
      </c>
      <c r="S741" t="s">
        <v>243</v>
      </c>
      <c r="T741" t="s">
        <v>266</v>
      </c>
      <c r="U741">
        <v>3.9999128130930326E-3</v>
      </c>
      <c r="V741" t="s">
        <v>164</v>
      </c>
    </row>
    <row r="742" spans="9:22" x14ac:dyDescent="0.45">
      <c r="I742" t="s">
        <v>190</v>
      </c>
      <c r="J742" t="s">
        <v>267</v>
      </c>
      <c r="K742">
        <v>3.6587345286498499E-3</v>
      </c>
      <c r="L742" t="s">
        <v>164</v>
      </c>
      <c r="N742" t="s">
        <v>223</v>
      </c>
      <c r="O742" t="s">
        <v>267</v>
      </c>
      <c r="P742">
        <v>4.1291568195196783E-2</v>
      </c>
      <c r="Q742" t="s">
        <v>164</v>
      </c>
      <c r="S742" t="s">
        <v>243</v>
      </c>
      <c r="T742" t="s">
        <v>267</v>
      </c>
      <c r="U742">
        <v>2.7842027515484546E-2</v>
      </c>
      <c r="V742" t="s">
        <v>164</v>
      </c>
    </row>
    <row r="743" spans="9:22" x14ac:dyDescent="0.45">
      <c r="I743" t="s">
        <v>190</v>
      </c>
      <c r="J743" t="s">
        <v>170</v>
      </c>
      <c r="K743">
        <v>9.279993555973769E-3</v>
      </c>
      <c r="L743" t="s">
        <v>164</v>
      </c>
      <c r="N743" t="s">
        <v>223</v>
      </c>
      <c r="O743" t="s">
        <v>170</v>
      </c>
      <c r="P743">
        <v>7.6713893155291701E-2</v>
      </c>
      <c r="Q743" t="s">
        <v>164</v>
      </c>
      <c r="S743" t="s">
        <v>243</v>
      </c>
      <c r="T743" t="s">
        <v>170</v>
      </c>
      <c r="U743">
        <v>4.3630214539561493E-2</v>
      </c>
      <c r="V743" t="s">
        <v>164</v>
      </c>
    </row>
    <row r="744" spans="9:22" x14ac:dyDescent="0.45">
      <c r="I744" t="s">
        <v>190</v>
      </c>
      <c r="J744" t="s">
        <v>171</v>
      </c>
      <c r="K744">
        <v>7.5812318401729173E-3</v>
      </c>
      <c r="L744" t="s">
        <v>164</v>
      </c>
      <c r="N744" t="s">
        <v>223</v>
      </c>
      <c r="O744" t="s">
        <v>171</v>
      </c>
      <c r="P744">
        <v>8.6886075147224202E-3</v>
      </c>
      <c r="Q744" t="s">
        <v>164</v>
      </c>
      <c r="S744" t="s">
        <v>243</v>
      </c>
      <c r="T744" t="s">
        <v>171</v>
      </c>
      <c r="U744">
        <v>4.4243354211937801E-3</v>
      </c>
      <c r="V744" t="s">
        <v>164</v>
      </c>
    </row>
    <row r="745" spans="9:22" x14ac:dyDescent="0.45">
      <c r="I745" t="s">
        <v>190</v>
      </c>
      <c r="J745" t="s">
        <v>172</v>
      </c>
      <c r="K745">
        <v>8.5192203743182909E-3</v>
      </c>
      <c r="L745" t="s">
        <v>164</v>
      </c>
      <c r="N745" t="s">
        <v>223</v>
      </c>
      <c r="O745" t="s">
        <v>172</v>
      </c>
      <c r="P745">
        <v>6.8229377740165378E-3</v>
      </c>
      <c r="Q745" t="s">
        <v>164</v>
      </c>
      <c r="S745" t="s">
        <v>243</v>
      </c>
      <c r="T745" t="s">
        <v>172</v>
      </c>
      <c r="U745">
        <v>4.5474570524383145E-3</v>
      </c>
      <c r="V745" t="s">
        <v>164</v>
      </c>
    </row>
    <row r="746" spans="9:22" x14ac:dyDescent="0.45">
      <c r="I746" t="s">
        <v>190</v>
      </c>
      <c r="J746" t="s">
        <v>268</v>
      </c>
      <c r="K746">
        <v>5.461738759829967E-2</v>
      </c>
      <c r="L746" t="s">
        <v>164</v>
      </c>
      <c r="N746" t="s">
        <v>223</v>
      </c>
      <c r="O746" t="s">
        <v>268</v>
      </c>
      <c r="P746">
        <v>2.8535405452708072E-2</v>
      </c>
      <c r="Q746" t="s">
        <v>164</v>
      </c>
      <c r="S746" t="s">
        <v>243</v>
      </c>
      <c r="T746" t="s">
        <v>268</v>
      </c>
      <c r="U746">
        <v>2.3596199974004715E-2</v>
      </c>
      <c r="V746" t="s">
        <v>164</v>
      </c>
    </row>
    <row r="747" spans="9:22" x14ac:dyDescent="0.45">
      <c r="I747" t="s">
        <v>190</v>
      </c>
      <c r="J747" t="s">
        <v>269</v>
      </c>
      <c r="K747">
        <v>5.3308344448617095E-3</v>
      </c>
      <c r="L747" t="s">
        <v>164</v>
      </c>
      <c r="N747" t="s">
        <v>223</v>
      </c>
      <c r="O747" t="s">
        <v>269</v>
      </c>
      <c r="P747">
        <v>4.2923982073711483E-3</v>
      </c>
      <c r="Q747" t="s">
        <v>164</v>
      </c>
      <c r="S747" t="s">
        <v>243</v>
      </c>
      <c r="T747" t="s">
        <v>269</v>
      </c>
      <c r="U747">
        <v>4.5769301032113569E-3</v>
      </c>
      <c r="V747" t="s">
        <v>164</v>
      </c>
    </row>
    <row r="748" spans="9:22" x14ac:dyDescent="0.45">
      <c r="I748" t="s">
        <v>190</v>
      </c>
      <c r="J748" t="s">
        <v>270</v>
      </c>
      <c r="K748">
        <v>3.0955679798354719E-3</v>
      </c>
      <c r="L748" t="s">
        <v>164</v>
      </c>
      <c r="N748" t="s">
        <v>223</v>
      </c>
      <c r="O748" t="s">
        <v>270</v>
      </c>
      <c r="P748">
        <v>4.4407346043133379E-2</v>
      </c>
      <c r="Q748" t="s">
        <v>164</v>
      </c>
      <c r="S748" t="s">
        <v>243</v>
      </c>
      <c r="T748" t="s">
        <v>270</v>
      </c>
      <c r="U748">
        <v>3.3185246238731592E-2</v>
      </c>
      <c r="V748" t="s">
        <v>164</v>
      </c>
    </row>
    <row r="749" spans="9:22" x14ac:dyDescent="0.45">
      <c r="I749" t="s">
        <v>190</v>
      </c>
      <c r="J749" t="s">
        <v>173</v>
      </c>
      <c r="K749">
        <v>1.567882692493789E-2</v>
      </c>
      <c r="L749" t="s">
        <v>164</v>
      </c>
      <c r="N749" t="s">
        <v>223</v>
      </c>
      <c r="O749" t="s">
        <v>173</v>
      </c>
      <c r="P749">
        <v>7.7947650284384384E-2</v>
      </c>
      <c r="Q749" t="s">
        <v>164</v>
      </c>
      <c r="S749" t="s">
        <v>243</v>
      </c>
      <c r="T749" t="s">
        <v>173</v>
      </c>
      <c r="U749">
        <v>7.3496140738103094E-2</v>
      </c>
      <c r="V749" t="s">
        <v>164</v>
      </c>
    </row>
    <row r="750" spans="9:22" x14ac:dyDescent="0.45">
      <c r="I750" t="s">
        <v>190</v>
      </c>
      <c r="J750" t="s">
        <v>174</v>
      </c>
      <c r="K750">
        <v>1.2663104028397116E-2</v>
      </c>
      <c r="L750" t="s">
        <v>164</v>
      </c>
      <c r="N750" t="s">
        <v>223</v>
      </c>
      <c r="O750" t="s">
        <v>174</v>
      </c>
      <c r="P750">
        <v>1.0180979060740294E-2</v>
      </c>
      <c r="Q750" t="s">
        <v>164</v>
      </c>
      <c r="S750" t="s">
        <v>243</v>
      </c>
      <c r="T750" t="s">
        <v>174</v>
      </c>
      <c r="U750">
        <v>6.6485340231558845E-3</v>
      </c>
      <c r="V750" t="s">
        <v>164</v>
      </c>
    </row>
    <row r="751" spans="9:22" x14ac:dyDescent="0.45">
      <c r="I751" t="s">
        <v>190</v>
      </c>
      <c r="J751" t="s">
        <v>175</v>
      </c>
      <c r="K751">
        <v>1.4809199532452513E-2</v>
      </c>
      <c r="L751" t="s">
        <v>164</v>
      </c>
      <c r="N751" t="s">
        <v>223</v>
      </c>
      <c r="O751" t="s">
        <v>175</v>
      </c>
      <c r="P751">
        <v>8.5625069830159578E-3</v>
      </c>
      <c r="Q751" t="s">
        <v>164</v>
      </c>
      <c r="S751" t="s">
        <v>243</v>
      </c>
      <c r="T751" t="s">
        <v>175</v>
      </c>
      <c r="U751">
        <v>6.6258018885572015E-3</v>
      </c>
      <c r="V751" t="s">
        <v>164</v>
      </c>
    </row>
    <row r="752" spans="9:22" x14ac:dyDescent="0.45">
      <c r="I752" t="s">
        <v>190</v>
      </c>
      <c r="J752" t="s">
        <v>271</v>
      </c>
      <c r="K752">
        <v>9.2228160758818373E-2</v>
      </c>
      <c r="L752" t="s">
        <v>164</v>
      </c>
      <c r="N752" t="s">
        <v>223</v>
      </c>
      <c r="O752" t="s">
        <v>271</v>
      </c>
      <c r="P752">
        <v>2.8777652929946409E-2</v>
      </c>
      <c r="Q752" t="s">
        <v>164</v>
      </c>
      <c r="S752" t="s">
        <v>243</v>
      </c>
      <c r="T752" t="s">
        <v>271</v>
      </c>
      <c r="U752">
        <v>3.6890167842357637E-2</v>
      </c>
      <c r="V752" t="s">
        <v>164</v>
      </c>
    </row>
    <row r="753" spans="9:22" x14ac:dyDescent="0.45">
      <c r="I753" t="s">
        <v>190</v>
      </c>
      <c r="J753" t="s">
        <v>272</v>
      </c>
      <c r="K753">
        <v>7.4162390642673612E-3</v>
      </c>
      <c r="L753" t="s">
        <v>164</v>
      </c>
      <c r="N753" t="s">
        <v>223</v>
      </c>
      <c r="O753" t="s">
        <v>272</v>
      </c>
      <c r="P753">
        <v>3.8754379114909932E-3</v>
      </c>
      <c r="Q753" t="s">
        <v>164</v>
      </c>
      <c r="S753" t="s">
        <v>243</v>
      </c>
      <c r="T753" t="s">
        <v>272</v>
      </c>
      <c r="U753">
        <v>7.7359962811843729E-3</v>
      </c>
      <c r="V753" t="s">
        <v>164</v>
      </c>
    </row>
    <row r="754" spans="9:22" x14ac:dyDescent="0.45">
      <c r="I754" t="s">
        <v>190</v>
      </c>
      <c r="J754" t="s">
        <v>273</v>
      </c>
      <c r="K754">
        <v>3.8442740197440241E-3</v>
      </c>
      <c r="L754" t="s">
        <v>164</v>
      </c>
      <c r="N754" t="s">
        <v>223</v>
      </c>
      <c r="O754" t="s">
        <v>273</v>
      </c>
      <c r="P754">
        <v>4.1932907513155933E-2</v>
      </c>
      <c r="Q754" t="s">
        <v>164</v>
      </c>
      <c r="S754" t="s">
        <v>243</v>
      </c>
      <c r="T754" t="s">
        <v>273</v>
      </c>
      <c r="U754">
        <v>5.4736290545157752E-2</v>
      </c>
      <c r="V754" t="s">
        <v>164</v>
      </c>
    </row>
    <row r="755" spans="9:22" x14ac:dyDescent="0.45">
      <c r="I755" t="s">
        <v>190</v>
      </c>
      <c r="J755" t="s">
        <v>274</v>
      </c>
      <c r="K755">
        <v>1.3181331105446607E-2</v>
      </c>
      <c r="L755" t="s">
        <v>164</v>
      </c>
      <c r="N755" t="s">
        <v>223</v>
      </c>
      <c r="O755" t="s">
        <v>274</v>
      </c>
      <c r="P755">
        <v>3.4116460067673597E-2</v>
      </c>
      <c r="Q755" t="s">
        <v>164</v>
      </c>
      <c r="S755" t="s">
        <v>243</v>
      </c>
      <c r="T755" t="s">
        <v>274</v>
      </c>
      <c r="U755">
        <v>6.532709780089993E-2</v>
      </c>
      <c r="V755" t="s">
        <v>164</v>
      </c>
    </row>
    <row r="756" spans="9:22" x14ac:dyDescent="0.45">
      <c r="I756" t="s">
        <v>190</v>
      </c>
      <c r="J756" t="s">
        <v>275</v>
      </c>
      <c r="K756">
        <v>1.1193711089582696E-2</v>
      </c>
      <c r="L756" t="s">
        <v>164</v>
      </c>
      <c r="N756" t="s">
        <v>223</v>
      </c>
      <c r="O756" t="s">
        <v>275</v>
      </c>
      <c r="P756">
        <v>4.4391804114279378E-3</v>
      </c>
      <c r="Q756" t="s">
        <v>164</v>
      </c>
      <c r="S756" t="s">
        <v>243</v>
      </c>
      <c r="T756" t="s">
        <v>275</v>
      </c>
      <c r="U756">
        <v>5.5957135611225872E-3</v>
      </c>
      <c r="V756" t="s">
        <v>164</v>
      </c>
    </row>
    <row r="757" spans="9:22" x14ac:dyDescent="0.45">
      <c r="I757" t="s">
        <v>190</v>
      </c>
      <c r="J757" t="s">
        <v>276</v>
      </c>
      <c r="K757">
        <v>1.3611007738268137E-2</v>
      </c>
      <c r="L757" t="s">
        <v>164</v>
      </c>
      <c r="N757" t="s">
        <v>223</v>
      </c>
      <c r="O757" t="s">
        <v>276</v>
      </c>
      <c r="P757">
        <v>3.9077019227384069E-3</v>
      </c>
      <c r="Q757" t="s">
        <v>164</v>
      </c>
      <c r="S757" t="s">
        <v>243</v>
      </c>
      <c r="T757" t="s">
        <v>276</v>
      </c>
      <c r="U757">
        <v>5.4817861652443336E-3</v>
      </c>
      <c r="V757" t="s">
        <v>164</v>
      </c>
    </row>
    <row r="758" spans="9:22" x14ac:dyDescent="0.45">
      <c r="I758" t="s">
        <v>190</v>
      </c>
      <c r="J758" t="s">
        <v>277</v>
      </c>
      <c r="K758">
        <v>8.5349614248170766E-2</v>
      </c>
      <c r="L758" t="s">
        <v>164</v>
      </c>
      <c r="N758" t="s">
        <v>223</v>
      </c>
      <c r="O758" t="s">
        <v>277</v>
      </c>
      <c r="P758">
        <v>1.3685182716458886E-2</v>
      </c>
      <c r="Q758" t="s">
        <v>164</v>
      </c>
      <c r="S758" t="s">
        <v>243</v>
      </c>
      <c r="T758" t="s">
        <v>277</v>
      </c>
      <c r="U758">
        <v>3.160488575900551E-2</v>
      </c>
      <c r="V758" t="s">
        <v>164</v>
      </c>
    </row>
    <row r="759" spans="9:22" x14ac:dyDescent="0.45">
      <c r="I759" t="s">
        <v>190</v>
      </c>
      <c r="J759" t="s">
        <v>278</v>
      </c>
      <c r="K759">
        <v>7.5405112085881786E-3</v>
      </c>
      <c r="L759" t="s">
        <v>164</v>
      </c>
      <c r="N759" t="s">
        <v>223</v>
      </c>
      <c r="O759" t="s">
        <v>278</v>
      </c>
      <c r="P759">
        <v>2.3634779441684506E-3</v>
      </c>
      <c r="Q759" t="s">
        <v>164</v>
      </c>
      <c r="S759" t="s">
        <v>243</v>
      </c>
      <c r="T759" t="s">
        <v>278</v>
      </c>
      <c r="U759">
        <v>6.5356056800341825E-3</v>
      </c>
      <c r="V759" t="s">
        <v>164</v>
      </c>
    </row>
    <row r="760" spans="9:22" x14ac:dyDescent="0.45">
      <c r="I760" t="s">
        <v>190</v>
      </c>
      <c r="J760" t="s">
        <v>279</v>
      </c>
      <c r="K760">
        <v>4.3444099200368215E-3</v>
      </c>
      <c r="L760" t="s">
        <v>164</v>
      </c>
      <c r="N760" t="s">
        <v>223</v>
      </c>
      <c r="O760" t="s">
        <v>279</v>
      </c>
      <c r="P760">
        <v>2.3843590305300411E-2</v>
      </c>
      <c r="Q760" t="s">
        <v>164</v>
      </c>
      <c r="S760" t="s">
        <v>243</v>
      </c>
      <c r="T760" t="s">
        <v>279</v>
      </c>
      <c r="U760">
        <v>4.4859024649634524E-2</v>
      </c>
      <c r="V760" t="s">
        <v>164</v>
      </c>
    </row>
    <row r="761" spans="9:22" x14ac:dyDescent="0.45">
      <c r="I761" t="s">
        <v>190</v>
      </c>
      <c r="J761" t="s">
        <v>280</v>
      </c>
      <c r="K761">
        <v>1.569566518615266E-2</v>
      </c>
      <c r="L761" t="s">
        <v>164</v>
      </c>
      <c r="N761" t="s">
        <v>223</v>
      </c>
      <c r="O761" t="s">
        <v>280</v>
      </c>
      <c r="P761">
        <v>1.6840606287823016E-2</v>
      </c>
      <c r="Q761" t="s">
        <v>164</v>
      </c>
      <c r="S761" t="s">
        <v>243</v>
      </c>
      <c r="T761" t="s">
        <v>280</v>
      </c>
      <c r="U761">
        <v>3.3718190697167437E-2</v>
      </c>
      <c r="V761" t="s">
        <v>164</v>
      </c>
    </row>
    <row r="762" spans="9:22" x14ac:dyDescent="0.45">
      <c r="I762" t="s">
        <v>190</v>
      </c>
      <c r="J762" t="s">
        <v>281</v>
      </c>
      <c r="K762">
        <v>1.3953913119577705E-2</v>
      </c>
      <c r="L762" t="s">
        <v>164</v>
      </c>
      <c r="N762" t="s">
        <v>223</v>
      </c>
      <c r="O762" t="s">
        <v>281</v>
      </c>
      <c r="P762">
        <v>1.7670654047051532E-3</v>
      </c>
      <c r="Q762" t="s">
        <v>164</v>
      </c>
      <c r="S762" t="s">
        <v>243</v>
      </c>
      <c r="T762" t="s">
        <v>281</v>
      </c>
      <c r="U762">
        <v>3.165290637581373E-3</v>
      </c>
      <c r="V762" t="s">
        <v>164</v>
      </c>
    </row>
    <row r="763" spans="9:22" x14ac:dyDescent="0.45">
      <c r="I763" t="s">
        <v>190</v>
      </c>
      <c r="J763" t="s">
        <v>282</v>
      </c>
      <c r="K763">
        <v>1.6828384884035808E-2</v>
      </c>
      <c r="L763" t="s">
        <v>164</v>
      </c>
      <c r="N763" t="s">
        <v>223</v>
      </c>
      <c r="O763" t="s">
        <v>282</v>
      </c>
      <c r="P763">
        <v>1.6236067000015891E-3</v>
      </c>
      <c r="Q763" t="s">
        <v>164</v>
      </c>
      <c r="S763" t="s">
        <v>243</v>
      </c>
      <c r="T763" t="s">
        <v>282</v>
      </c>
      <c r="U763">
        <v>3.1928003401102455E-3</v>
      </c>
      <c r="V763" t="s">
        <v>164</v>
      </c>
    </row>
    <row r="764" spans="9:22" x14ac:dyDescent="0.45">
      <c r="I764" t="s">
        <v>190</v>
      </c>
      <c r="J764" t="s">
        <v>283</v>
      </c>
      <c r="K764">
        <v>0.10363781416249912</v>
      </c>
      <c r="L764" t="s">
        <v>164</v>
      </c>
      <c r="N764" t="s">
        <v>223</v>
      </c>
      <c r="O764" t="s">
        <v>283</v>
      </c>
      <c r="P764">
        <v>6.4869974022026553E-3</v>
      </c>
      <c r="Q764" t="s">
        <v>164</v>
      </c>
      <c r="S764" t="s">
        <v>243</v>
      </c>
      <c r="T764" t="s">
        <v>283</v>
      </c>
      <c r="U764">
        <v>1.5741782047776404E-2</v>
      </c>
      <c r="V764" t="s">
        <v>164</v>
      </c>
    </row>
    <row r="765" spans="9:22" x14ac:dyDescent="0.45">
      <c r="I765" t="s">
        <v>190</v>
      </c>
      <c r="J765" t="s">
        <v>284</v>
      </c>
      <c r="K765">
        <v>8.5416966122710773E-3</v>
      </c>
      <c r="L765" t="s">
        <v>164</v>
      </c>
      <c r="N765" t="s">
        <v>223</v>
      </c>
      <c r="O765" t="s">
        <v>284</v>
      </c>
      <c r="P765">
        <v>1.2044017431636575E-3</v>
      </c>
      <c r="Q765" t="s">
        <v>164</v>
      </c>
      <c r="S765" t="s">
        <v>243</v>
      </c>
      <c r="T765" t="s">
        <v>284</v>
      </c>
      <c r="U765">
        <v>3.0497511510970778E-3</v>
      </c>
      <c r="V765" t="s">
        <v>164</v>
      </c>
    </row>
    <row r="766" spans="9:22" x14ac:dyDescent="0.45">
      <c r="I766" t="s">
        <v>190</v>
      </c>
      <c r="J766" t="s">
        <v>285</v>
      </c>
      <c r="K766">
        <v>4.7877236016652461E-3</v>
      </c>
      <c r="L766" t="s">
        <v>164</v>
      </c>
      <c r="N766" t="s">
        <v>223</v>
      </c>
      <c r="O766" t="s">
        <v>285</v>
      </c>
      <c r="P766">
        <v>1.1063069425482764E-2</v>
      </c>
      <c r="Q766" t="s">
        <v>164</v>
      </c>
      <c r="S766" t="s">
        <v>243</v>
      </c>
      <c r="T766" t="s">
        <v>285</v>
      </c>
      <c r="U766">
        <v>2.5406513192664779E-2</v>
      </c>
      <c r="V766" t="s">
        <v>164</v>
      </c>
    </row>
    <row r="767" spans="9:22" x14ac:dyDescent="0.45">
      <c r="I767" t="s">
        <v>190</v>
      </c>
      <c r="J767" t="s">
        <v>286</v>
      </c>
      <c r="K767">
        <v>2.5124960295125436E-2</v>
      </c>
      <c r="L767" t="s">
        <v>164</v>
      </c>
      <c r="N767" t="s">
        <v>223</v>
      </c>
      <c r="O767" t="s">
        <v>286</v>
      </c>
      <c r="P767">
        <v>4.0756232602422338E-2</v>
      </c>
      <c r="Q767" t="s">
        <v>164</v>
      </c>
      <c r="S767" t="s">
        <v>243</v>
      </c>
      <c r="T767" t="s">
        <v>286</v>
      </c>
      <c r="U767">
        <v>5.107402735241353E-2</v>
      </c>
      <c r="V767" t="s">
        <v>164</v>
      </c>
    </row>
    <row r="768" spans="9:22" x14ac:dyDescent="0.45">
      <c r="I768" t="s">
        <v>190</v>
      </c>
      <c r="J768" t="s">
        <v>287</v>
      </c>
      <c r="K768">
        <v>1.861458548864408E-2</v>
      </c>
      <c r="L768" t="s">
        <v>164</v>
      </c>
      <c r="N768" t="s">
        <v>223</v>
      </c>
      <c r="O768" t="s">
        <v>287</v>
      </c>
      <c r="P768">
        <v>6.1016859186708832E-3</v>
      </c>
      <c r="Q768" t="s">
        <v>164</v>
      </c>
      <c r="S768" t="s">
        <v>243</v>
      </c>
      <c r="T768" t="s">
        <v>287</v>
      </c>
      <c r="U768">
        <v>5.1238400576658662E-3</v>
      </c>
      <c r="V768" t="s">
        <v>164</v>
      </c>
    </row>
    <row r="769" spans="9:22" x14ac:dyDescent="0.45">
      <c r="I769" t="s">
        <v>190</v>
      </c>
      <c r="J769" t="s">
        <v>288</v>
      </c>
      <c r="K769">
        <v>2.0621187224910506E-2</v>
      </c>
      <c r="L769" t="s">
        <v>164</v>
      </c>
      <c r="N769" t="s">
        <v>223</v>
      </c>
      <c r="O769" t="s">
        <v>288</v>
      </c>
      <c r="P769">
        <v>5.0103302829558327E-3</v>
      </c>
      <c r="Q769" t="s">
        <v>164</v>
      </c>
      <c r="S769" t="s">
        <v>243</v>
      </c>
      <c r="T769" t="s">
        <v>288</v>
      </c>
      <c r="U769">
        <v>5.2513657883673454E-3</v>
      </c>
      <c r="V769" t="s">
        <v>164</v>
      </c>
    </row>
    <row r="770" spans="9:22" x14ac:dyDescent="0.45">
      <c r="I770" t="s">
        <v>190</v>
      </c>
      <c r="J770" t="s">
        <v>289</v>
      </c>
      <c r="K770">
        <v>0.1138726740306064</v>
      </c>
      <c r="L770" t="s">
        <v>164</v>
      </c>
      <c r="N770" t="s">
        <v>223</v>
      </c>
      <c r="O770" t="s">
        <v>289</v>
      </c>
      <c r="P770">
        <v>1.2324737544465079E-2</v>
      </c>
      <c r="Q770" t="s">
        <v>164</v>
      </c>
      <c r="S770" t="s">
        <v>243</v>
      </c>
      <c r="T770" t="s">
        <v>289</v>
      </c>
      <c r="U770">
        <v>2.6407668743805731E-2</v>
      </c>
      <c r="V770" t="s">
        <v>164</v>
      </c>
    </row>
    <row r="771" spans="9:22" x14ac:dyDescent="0.45">
      <c r="I771" t="s">
        <v>190</v>
      </c>
      <c r="J771" t="s">
        <v>290</v>
      </c>
      <c r="K771">
        <v>9.1693099972424974E-3</v>
      </c>
      <c r="L771" t="s">
        <v>164</v>
      </c>
      <c r="N771" t="s">
        <v>223</v>
      </c>
      <c r="O771" t="s">
        <v>290</v>
      </c>
      <c r="P771">
        <v>2.0608078163304368E-3</v>
      </c>
      <c r="Q771" t="s">
        <v>164</v>
      </c>
      <c r="S771" t="s">
        <v>243</v>
      </c>
      <c r="T771" t="s">
        <v>290</v>
      </c>
      <c r="U771">
        <v>5.1568273209755891E-3</v>
      </c>
      <c r="V771" t="s">
        <v>164</v>
      </c>
    </row>
    <row r="772" spans="9:22" x14ac:dyDescent="0.45">
      <c r="I772" t="s">
        <v>190</v>
      </c>
      <c r="J772" t="s">
        <v>291</v>
      </c>
      <c r="K772">
        <v>2.0543850850178531E-4</v>
      </c>
      <c r="L772" t="s">
        <v>164</v>
      </c>
      <c r="N772" t="s">
        <v>223</v>
      </c>
      <c r="O772" t="s">
        <v>291</v>
      </c>
      <c r="P772">
        <v>2.5168368898826298E-2</v>
      </c>
      <c r="Q772" t="s">
        <v>164</v>
      </c>
      <c r="S772" t="s">
        <v>243</v>
      </c>
      <c r="T772" t="s">
        <v>291</v>
      </c>
      <c r="U772">
        <v>3.8173361458024246E-2</v>
      </c>
      <c r="V772" t="s">
        <v>164</v>
      </c>
    </row>
    <row r="773" spans="9:22" x14ac:dyDescent="0.45">
      <c r="I773" t="s">
        <v>190</v>
      </c>
      <c r="J773" t="s">
        <v>292</v>
      </c>
      <c r="K773">
        <v>1.201422380386276E-2</v>
      </c>
      <c r="L773" t="s">
        <v>164</v>
      </c>
      <c r="N773" t="s">
        <v>223</v>
      </c>
      <c r="O773" t="s">
        <v>292</v>
      </c>
      <c r="P773">
        <v>4.396724785851977E-2</v>
      </c>
      <c r="Q773" t="s">
        <v>164</v>
      </c>
      <c r="S773" t="s">
        <v>243</v>
      </c>
      <c r="T773" t="s">
        <v>292</v>
      </c>
      <c r="U773">
        <v>4.2737263401606579E-2</v>
      </c>
      <c r="V773" t="s">
        <v>164</v>
      </c>
    </row>
    <row r="774" spans="9:22" x14ac:dyDescent="0.45">
      <c r="I774" t="s">
        <v>190</v>
      </c>
      <c r="J774" t="s">
        <v>293</v>
      </c>
      <c r="K774">
        <v>9.0354898429768869E-3</v>
      </c>
      <c r="L774" t="s">
        <v>164</v>
      </c>
      <c r="N774" t="s">
        <v>223</v>
      </c>
      <c r="O774" t="s">
        <v>293</v>
      </c>
      <c r="P774">
        <v>8.0824502926959644E-3</v>
      </c>
      <c r="Q774" t="s">
        <v>164</v>
      </c>
      <c r="S774" t="s">
        <v>243</v>
      </c>
      <c r="T774" t="s">
        <v>293</v>
      </c>
      <c r="U774">
        <v>4.6024731379027016E-3</v>
      </c>
      <c r="V774" t="s">
        <v>164</v>
      </c>
    </row>
    <row r="775" spans="9:22" x14ac:dyDescent="0.45">
      <c r="I775" t="s">
        <v>190</v>
      </c>
      <c r="J775" t="s">
        <v>294</v>
      </c>
      <c r="K775">
        <v>1.0114022020746426E-2</v>
      </c>
      <c r="L775" t="s">
        <v>164</v>
      </c>
      <c r="N775" t="s">
        <v>223</v>
      </c>
      <c r="O775" t="s">
        <v>294</v>
      </c>
      <c r="P775">
        <v>7.5136766316373366E-3</v>
      </c>
      <c r="Q775" t="s">
        <v>164</v>
      </c>
      <c r="S775" t="s">
        <v>243</v>
      </c>
      <c r="T775" t="s">
        <v>294</v>
      </c>
      <c r="U775">
        <v>4.7659544414123782E-3</v>
      </c>
      <c r="V775" t="s">
        <v>164</v>
      </c>
    </row>
    <row r="776" spans="9:22" x14ac:dyDescent="0.45">
      <c r="I776" t="s">
        <v>190</v>
      </c>
      <c r="J776" t="s">
        <v>295</v>
      </c>
      <c r="K776">
        <v>5.7598434985436021E-2</v>
      </c>
      <c r="L776" t="s">
        <v>164</v>
      </c>
      <c r="N776" t="s">
        <v>223</v>
      </c>
      <c r="O776" t="s">
        <v>295</v>
      </c>
      <c r="P776">
        <v>2.6658690107748139E-2</v>
      </c>
      <c r="Q776" t="s">
        <v>164</v>
      </c>
      <c r="S776" t="s">
        <v>243</v>
      </c>
      <c r="T776" t="s">
        <v>295</v>
      </c>
      <c r="U776">
        <v>2.602382393493817E-2</v>
      </c>
      <c r="V776" t="s">
        <v>164</v>
      </c>
    </row>
    <row r="777" spans="9:22" x14ac:dyDescent="0.45">
      <c r="I777" t="s">
        <v>190</v>
      </c>
      <c r="J777" t="s">
        <v>296</v>
      </c>
      <c r="K777">
        <v>5.8116374030492794E-3</v>
      </c>
      <c r="L777" t="s">
        <v>164</v>
      </c>
      <c r="N777" t="s">
        <v>223</v>
      </c>
      <c r="O777" t="s">
        <v>296</v>
      </c>
      <c r="P777">
        <v>3.7030877898517676E-3</v>
      </c>
      <c r="Q777" t="s">
        <v>164</v>
      </c>
      <c r="S777" t="s">
        <v>243</v>
      </c>
      <c r="T777" t="s">
        <v>296</v>
      </c>
      <c r="U777">
        <v>4.3771018621980035E-3</v>
      </c>
      <c r="V777" t="s">
        <v>164</v>
      </c>
    </row>
    <row r="778" spans="9:22" x14ac:dyDescent="0.45">
      <c r="I778" t="s">
        <v>190</v>
      </c>
      <c r="J778" t="s">
        <v>297</v>
      </c>
      <c r="K778">
        <v>1.1382744346553437E-3</v>
      </c>
      <c r="L778" t="s">
        <v>164</v>
      </c>
      <c r="N778" t="s">
        <v>223</v>
      </c>
      <c r="O778" t="s">
        <v>297</v>
      </c>
      <c r="P778">
        <v>3.2266702762058834E-2</v>
      </c>
      <c r="Q778" t="s">
        <v>164</v>
      </c>
      <c r="S778" t="s">
        <v>243</v>
      </c>
      <c r="T778" t="s">
        <v>297</v>
      </c>
      <c r="U778">
        <v>3.0304005216369855E-2</v>
      </c>
      <c r="V778" t="s">
        <v>164</v>
      </c>
    </row>
    <row r="779" spans="9:22" x14ac:dyDescent="0.45">
      <c r="I779" t="s">
        <v>191</v>
      </c>
      <c r="J779" t="s">
        <v>163</v>
      </c>
      <c r="K779">
        <v>1.4430488866092866E-2</v>
      </c>
      <c r="L779" t="s">
        <v>164</v>
      </c>
      <c r="N779" t="s">
        <v>224</v>
      </c>
      <c r="O779" t="s">
        <v>163</v>
      </c>
      <c r="P779">
        <v>5.8183904871513321E-2</v>
      </c>
      <c r="Q779" t="s">
        <v>164</v>
      </c>
    </row>
    <row r="780" spans="9:22" x14ac:dyDescent="0.45">
      <c r="I780" t="s">
        <v>191</v>
      </c>
      <c r="J780" t="s">
        <v>165</v>
      </c>
      <c r="K780">
        <v>1.095801792470678E-2</v>
      </c>
      <c r="L780" t="s">
        <v>164</v>
      </c>
      <c r="N780" t="s">
        <v>224</v>
      </c>
      <c r="O780" t="s">
        <v>165</v>
      </c>
      <c r="P780">
        <v>8.3330685187874998E-3</v>
      </c>
      <c r="Q780" t="s">
        <v>164</v>
      </c>
    </row>
    <row r="781" spans="9:22" x14ac:dyDescent="0.45">
      <c r="I781" t="s">
        <v>191</v>
      </c>
      <c r="J781" t="s">
        <v>166</v>
      </c>
      <c r="K781">
        <v>1.1992455698380127E-2</v>
      </c>
      <c r="L781" t="s">
        <v>164</v>
      </c>
      <c r="N781" t="s">
        <v>224</v>
      </c>
      <c r="O781" t="s">
        <v>166</v>
      </c>
      <c r="P781">
        <v>8.0729024698681009E-3</v>
      </c>
      <c r="Q781" t="s">
        <v>164</v>
      </c>
    </row>
    <row r="782" spans="9:22" x14ac:dyDescent="0.45">
      <c r="I782" t="s">
        <v>191</v>
      </c>
      <c r="J782" t="s">
        <v>262</v>
      </c>
      <c r="K782">
        <v>6.46965479249558E-2</v>
      </c>
      <c r="L782" t="s">
        <v>164</v>
      </c>
      <c r="N782" t="s">
        <v>224</v>
      </c>
      <c r="O782" t="s">
        <v>262</v>
      </c>
      <c r="P782">
        <v>3.2161692726829838E-2</v>
      </c>
      <c r="Q782" t="s">
        <v>164</v>
      </c>
    </row>
    <row r="783" spans="9:22" x14ac:dyDescent="0.45">
      <c r="I783" t="s">
        <v>191</v>
      </c>
      <c r="J783" t="s">
        <v>263</v>
      </c>
      <c r="K783">
        <v>6.76967239687326E-3</v>
      </c>
      <c r="L783" t="s">
        <v>164</v>
      </c>
      <c r="N783" t="s">
        <v>224</v>
      </c>
      <c r="O783" t="s">
        <v>263</v>
      </c>
      <c r="P783">
        <v>4.2412749756342762E-3</v>
      </c>
      <c r="Q783" t="s">
        <v>164</v>
      </c>
    </row>
    <row r="784" spans="9:22" x14ac:dyDescent="0.45">
      <c r="I784" t="s">
        <v>191</v>
      </c>
      <c r="J784" t="s">
        <v>264</v>
      </c>
      <c r="K784">
        <v>3.8283113816497869E-3</v>
      </c>
      <c r="L784" t="s">
        <v>164</v>
      </c>
      <c r="N784" t="s">
        <v>224</v>
      </c>
      <c r="O784" t="s">
        <v>264</v>
      </c>
      <c r="P784">
        <v>3.7452191458544448E-2</v>
      </c>
      <c r="Q784" t="s">
        <v>164</v>
      </c>
    </row>
    <row r="785" spans="9:17" x14ac:dyDescent="0.45">
      <c r="I785" t="s">
        <v>191</v>
      </c>
      <c r="J785" t="s">
        <v>167</v>
      </c>
      <c r="K785">
        <v>1.0777216581002754E-2</v>
      </c>
      <c r="L785" t="s">
        <v>164</v>
      </c>
      <c r="N785" t="s">
        <v>224</v>
      </c>
      <c r="O785" t="s">
        <v>167</v>
      </c>
      <c r="P785">
        <v>5.4374569687334333E-2</v>
      </c>
      <c r="Q785" t="s">
        <v>164</v>
      </c>
    </row>
    <row r="786" spans="9:17" x14ac:dyDescent="0.45">
      <c r="I786" t="s">
        <v>191</v>
      </c>
      <c r="J786" t="s">
        <v>168</v>
      </c>
      <c r="K786">
        <v>8.5999814264801043E-3</v>
      </c>
      <c r="L786" t="s">
        <v>164</v>
      </c>
      <c r="N786" t="s">
        <v>224</v>
      </c>
      <c r="O786" t="s">
        <v>168</v>
      </c>
      <c r="P786">
        <v>8.3179880676954396E-3</v>
      </c>
      <c r="Q786" t="s">
        <v>164</v>
      </c>
    </row>
    <row r="787" spans="9:17" x14ac:dyDescent="0.45">
      <c r="I787" t="s">
        <v>191</v>
      </c>
      <c r="J787" t="s">
        <v>169</v>
      </c>
      <c r="K787">
        <v>9.6446425222083548E-3</v>
      </c>
      <c r="L787" t="s">
        <v>164</v>
      </c>
      <c r="N787" t="s">
        <v>224</v>
      </c>
      <c r="O787" t="s">
        <v>169</v>
      </c>
      <c r="P787">
        <v>8.2175561123283992E-3</v>
      </c>
      <c r="Q787" t="s">
        <v>164</v>
      </c>
    </row>
    <row r="788" spans="9:17" x14ac:dyDescent="0.45">
      <c r="I788" t="s">
        <v>191</v>
      </c>
      <c r="J788" t="s">
        <v>265</v>
      </c>
      <c r="K788">
        <v>5.4562101591997189E-2</v>
      </c>
      <c r="L788" t="s">
        <v>164</v>
      </c>
      <c r="N788" t="s">
        <v>224</v>
      </c>
      <c r="O788" t="s">
        <v>265</v>
      </c>
      <c r="P788">
        <v>3.2788873334077463E-2</v>
      </c>
      <c r="Q788" t="s">
        <v>164</v>
      </c>
    </row>
    <row r="789" spans="9:17" x14ac:dyDescent="0.45">
      <c r="I789" t="s">
        <v>191</v>
      </c>
      <c r="J789" t="s">
        <v>266</v>
      </c>
      <c r="K789">
        <v>5.7904924783034866E-3</v>
      </c>
      <c r="L789" t="s">
        <v>164</v>
      </c>
      <c r="N789" t="s">
        <v>224</v>
      </c>
      <c r="O789" t="s">
        <v>266</v>
      </c>
      <c r="P789">
        <v>4.5128560824919907E-3</v>
      </c>
      <c r="Q789" t="s">
        <v>164</v>
      </c>
    </row>
    <row r="790" spans="9:17" x14ac:dyDescent="0.45">
      <c r="I790" t="s">
        <v>191</v>
      </c>
      <c r="J790" t="s">
        <v>267</v>
      </c>
      <c r="K790">
        <v>3.6723089071822321E-3</v>
      </c>
      <c r="L790" t="s">
        <v>164</v>
      </c>
      <c r="N790" t="s">
        <v>224</v>
      </c>
      <c r="O790" t="s">
        <v>267</v>
      </c>
      <c r="P790">
        <v>3.4395383895942211E-2</v>
      </c>
      <c r="Q790" t="s">
        <v>164</v>
      </c>
    </row>
    <row r="791" spans="9:17" x14ac:dyDescent="0.45">
      <c r="I791" t="s">
        <v>191</v>
      </c>
      <c r="J791" t="s">
        <v>170</v>
      </c>
      <c r="K791">
        <v>1.0141628657503407E-2</v>
      </c>
      <c r="L791" t="s">
        <v>164</v>
      </c>
      <c r="N791" t="s">
        <v>224</v>
      </c>
      <c r="O791" t="s">
        <v>170</v>
      </c>
      <c r="P791">
        <v>7.3417590577748187E-2</v>
      </c>
      <c r="Q791" t="s">
        <v>164</v>
      </c>
    </row>
    <row r="792" spans="9:17" x14ac:dyDescent="0.45">
      <c r="I792" t="s">
        <v>191</v>
      </c>
      <c r="J792" t="s">
        <v>171</v>
      </c>
      <c r="K792">
        <v>7.7464782197191337E-3</v>
      </c>
      <c r="L792" t="s">
        <v>164</v>
      </c>
      <c r="N792" t="s">
        <v>224</v>
      </c>
      <c r="O792" t="s">
        <v>171</v>
      </c>
      <c r="P792">
        <v>9.0121216771857637E-3</v>
      </c>
      <c r="Q792" t="s">
        <v>164</v>
      </c>
    </row>
    <row r="793" spans="9:17" x14ac:dyDescent="0.45">
      <c r="I793" t="s">
        <v>191</v>
      </c>
      <c r="J793" t="s">
        <v>172</v>
      </c>
      <c r="K793">
        <v>9.0162045719824353E-3</v>
      </c>
      <c r="L793" t="s">
        <v>164</v>
      </c>
      <c r="N793" t="s">
        <v>224</v>
      </c>
      <c r="O793" t="s">
        <v>172</v>
      </c>
      <c r="P793">
        <v>8.0859582314261758E-3</v>
      </c>
      <c r="Q793" t="s">
        <v>164</v>
      </c>
    </row>
    <row r="794" spans="9:17" x14ac:dyDescent="0.45">
      <c r="I794" t="s">
        <v>191</v>
      </c>
      <c r="J794" t="s">
        <v>268</v>
      </c>
      <c r="K794">
        <v>5.6218836979985344E-2</v>
      </c>
      <c r="L794" t="s">
        <v>164</v>
      </c>
      <c r="N794" t="s">
        <v>224</v>
      </c>
      <c r="O794" t="s">
        <v>268</v>
      </c>
      <c r="P794">
        <v>3.2932771926183192E-2</v>
      </c>
      <c r="Q794" t="s">
        <v>164</v>
      </c>
    </row>
    <row r="795" spans="9:17" x14ac:dyDescent="0.45">
      <c r="I795" t="s">
        <v>191</v>
      </c>
      <c r="J795" t="s">
        <v>269</v>
      </c>
      <c r="K795">
        <v>5.6154839022021395E-3</v>
      </c>
      <c r="L795" t="s">
        <v>164</v>
      </c>
      <c r="N795" t="s">
        <v>224</v>
      </c>
      <c r="O795" t="s">
        <v>269</v>
      </c>
      <c r="P795">
        <v>5.8115742853881176E-3</v>
      </c>
      <c r="Q795" t="s">
        <v>164</v>
      </c>
    </row>
    <row r="796" spans="9:17" x14ac:dyDescent="0.45">
      <c r="I796" t="s">
        <v>191</v>
      </c>
      <c r="J796" t="s">
        <v>270</v>
      </c>
      <c r="K796">
        <v>3.3188407267453375E-3</v>
      </c>
      <c r="L796" t="s">
        <v>164</v>
      </c>
      <c r="N796" t="s">
        <v>224</v>
      </c>
      <c r="O796" t="s">
        <v>270</v>
      </c>
      <c r="P796">
        <v>4.5002070718283139E-2</v>
      </c>
      <c r="Q796" t="s">
        <v>164</v>
      </c>
    </row>
    <row r="797" spans="9:17" x14ac:dyDescent="0.45">
      <c r="I797" t="s">
        <v>191</v>
      </c>
      <c r="J797" t="s">
        <v>173</v>
      </c>
      <c r="K797">
        <v>1.7899785388026158E-2</v>
      </c>
      <c r="L797" t="s">
        <v>164</v>
      </c>
      <c r="N797" t="s">
        <v>224</v>
      </c>
      <c r="O797" t="s">
        <v>173</v>
      </c>
      <c r="P797">
        <v>8.5235149070723853E-2</v>
      </c>
      <c r="Q797" t="s">
        <v>164</v>
      </c>
    </row>
    <row r="798" spans="9:17" x14ac:dyDescent="0.45">
      <c r="I798" t="s">
        <v>191</v>
      </c>
      <c r="J798" t="s">
        <v>174</v>
      </c>
      <c r="K798">
        <v>1.2314572924979759E-2</v>
      </c>
      <c r="L798" t="s">
        <v>164</v>
      </c>
      <c r="N798" t="s">
        <v>224</v>
      </c>
      <c r="O798" t="s">
        <v>174</v>
      </c>
      <c r="P798">
        <v>1.0490871680161454E-2</v>
      </c>
      <c r="Q798" t="s">
        <v>164</v>
      </c>
    </row>
    <row r="799" spans="9:17" x14ac:dyDescent="0.45">
      <c r="I799" t="s">
        <v>191</v>
      </c>
      <c r="J799" t="s">
        <v>175</v>
      </c>
      <c r="K799">
        <v>1.4584607417311643E-2</v>
      </c>
      <c r="L799" t="s">
        <v>164</v>
      </c>
      <c r="N799" t="s">
        <v>224</v>
      </c>
      <c r="O799" t="s">
        <v>175</v>
      </c>
      <c r="P799">
        <v>9.3300573620873073E-3</v>
      </c>
      <c r="Q799" t="s">
        <v>164</v>
      </c>
    </row>
    <row r="800" spans="9:17" x14ac:dyDescent="0.45">
      <c r="I800" t="s">
        <v>191</v>
      </c>
      <c r="J800" t="s">
        <v>271</v>
      </c>
      <c r="K800">
        <v>8.4757621818104381E-2</v>
      </c>
      <c r="L800" t="s">
        <v>164</v>
      </c>
      <c r="N800" t="s">
        <v>224</v>
      </c>
      <c r="O800" t="s">
        <v>271</v>
      </c>
      <c r="P800">
        <v>3.3779585896156192E-2</v>
      </c>
      <c r="Q800" t="s">
        <v>164</v>
      </c>
    </row>
    <row r="801" spans="9:17" x14ac:dyDescent="0.45">
      <c r="I801" t="s">
        <v>191</v>
      </c>
      <c r="J801" t="s">
        <v>272</v>
      </c>
      <c r="K801">
        <v>7.2184303104109032E-3</v>
      </c>
      <c r="L801" t="s">
        <v>164</v>
      </c>
      <c r="N801" t="s">
        <v>224</v>
      </c>
      <c r="O801" t="s">
        <v>272</v>
      </c>
      <c r="P801">
        <v>5.7035581659818429E-3</v>
      </c>
      <c r="Q801" t="s">
        <v>164</v>
      </c>
    </row>
    <row r="802" spans="9:17" x14ac:dyDescent="0.45">
      <c r="I802" t="s">
        <v>191</v>
      </c>
      <c r="J802" t="s">
        <v>273</v>
      </c>
      <c r="K802">
        <v>3.955599202291024E-3</v>
      </c>
      <c r="L802" t="s">
        <v>164</v>
      </c>
      <c r="N802" t="s">
        <v>224</v>
      </c>
      <c r="O802" t="s">
        <v>273</v>
      </c>
      <c r="P802">
        <v>4.8060187886142927E-2</v>
      </c>
      <c r="Q802" t="s">
        <v>164</v>
      </c>
    </row>
    <row r="803" spans="9:17" x14ac:dyDescent="0.45">
      <c r="I803" t="s">
        <v>191</v>
      </c>
      <c r="J803" t="s">
        <v>274</v>
      </c>
      <c r="K803">
        <v>1.4018895608180069E-2</v>
      </c>
      <c r="L803" t="s">
        <v>164</v>
      </c>
      <c r="N803" t="s">
        <v>224</v>
      </c>
      <c r="O803" t="s">
        <v>274</v>
      </c>
      <c r="P803">
        <v>3.9016806961718005E-2</v>
      </c>
      <c r="Q803" t="s">
        <v>164</v>
      </c>
    </row>
    <row r="804" spans="9:17" x14ac:dyDescent="0.45">
      <c r="I804" t="s">
        <v>191</v>
      </c>
      <c r="J804" t="s">
        <v>275</v>
      </c>
      <c r="K804">
        <v>1.0519083979081082E-2</v>
      </c>
      <c r="L804" t="s">
        <v>164</v>
      </c>
      <c r="N804" t="s">
        <v>224</v>
      </c>
      <c r="O804" t="s">
        <v>275</v>
      </c>
      <c r="P804">
        <v>4.1999281784906358E-3</v>
      </c>
      <c r="Q804" t="s">
        <v>164</v>
      </c>
    </row>
    <row r="805" spans="9:17" x14ac:dyDescent="0.45">
      <c r="I805" t="s">
        <v>191</v>
      </c>
      <c r="J805" t="s">
        <v>276</v>
      </c>
      <c r="K805">
        <v>1.2800921780169604E-2</v>
      </c>
      <c r="L805" t="s">
        <v>164</v>
      </c>
      <c r="N805" t="s">
        <v>224</v>
      </c>
      <c r="O805" t="s">
        <v>276</v>
      </c>
      <c r="P805">
        <v>3.766137344507627E-3</v>
      </c>
      <c r="Q805" t="s">
        <v>164</v>
      </c>
    </row>
    <row r="806" spans="9:17" x14ac:dyDescent="0.45">
      <c r="I806" t="s">
        <v>191</v>
      </c>
      <c r="J806" t="s">
        <v>277</v>
      </c>
      <c r="K806">
        <v>8.0049332751595259E-2</v>
      </c>
      <c r="L806" t="s">
        <v>164</v>
      </c>
      <c r="N806" t="s">
        <v>224</v>
      </c>
      <c r="O806" t="s">
        <v>277</v>
      </c>
      <c r="P806">
        <v>1.4075557680896642E-2</v>
      </c>
      <c r="Q806" t="s">
        <v>164</v>
      </c>
    </row>
    <row r="807" spans="9:17" x14ac:dyDescent="0.45">
      <c r="I807" t="s">
        <v>191</v>
      </c>
      <c r="J807" t="s">
        <v>278</v>
      </c>
      <c r="K807">
        <v>6.6237881507084781E-3</v>
      </c>
      <c r="L807" t="s">
        <v>164</v>
      </c>
      <c r="N807" t="s">
        <v>224</v>
      </c>
      <c r="O807" t="s">
        <v>278</v>
      </c>
      <c r="P807">
        <v>2.5218947861289144E-3</v>
      </c>
      <c r="Q807" t="s">
        <v>164</v>
      </c>
    </row>
    <row r="808" spans="9:17" x14ac:dyDescent="0.45">
      <c r="I808" t="s">
        <v>191</v>
      </c>
      <c r="J808" t="s">
        <v>279</v>
      </c>
      <c r="K808">
        <v>3.5962650154750071E-3</v>
      </c>
      <c r="L808" t="s">
        <v>164</v>
      </c>
      <c r="N808" t="s">
        <v>224</v>
      </c>
      <c r="O808" t="s">
        <v>279</v>
      </c>
      <c r="P808">
        <v>2.4883444534428464E-2</v>
      </c>
      <c r="Q808" t="s">
        <v>164</v>
      </c>
    </row>
    <row r="809" spans="9:17" x14ac:dyDescent="0.45">
      <c r="I809" t="s">
        <v>191</v>
      </c>
      <c r="J809" t="s">
        <v>280</v>
      </c>
      <c r="K809">
        <v>1.9134447241965117E-2</v>
      </c>
      <c r="L809" t="s">
        <v>164</v>
      </c>
      <c r="N809" t="s">
        <v>224</v>
      </c>
      <c r="O809" t="s">
        <v>280</v>
      </c>
      <c r="P809">
        <v>1.8273757815183363E-2</v>
      </c>
      <c r="Q809" t="s">
        <v>164</v>
      </c>
    </row>
    <row r="810" spans="9:17" x14ac:dyDescent="0.45">
      <c r="I810" t="s">
        <v>191</v>
      </c>
      <c r="J810" t="s">
        <v>281</v>
      </c>
      <c r="K810">
        <v>1.4155141531685492E-2</v>
      </c>
      <c r="L810" t="s">
        <v>164</v>
      </c>
      <c r="N810" t="s">
        <v>224</v>
      </c>
      <c r="O810" t="s">
        <v>281</v>
      </c>
      <c r="P810">
        <v>1.6488125689647329E-3</v>
      </c>
      <c r="Q810" t="s">
        <v>164</v>
      </c>
    </row>
    <row r="811" spans="9:17" x14ac:dyDescent="0.45">
      <c r="I811" t="s">
        <v>191</v>
      </c>
      <c r="J811" t="s">
        <v>282</v>
      </c>
      <c r="K811">
        <v>1.6424282607489103E-2</v>
      </c>
      <c r="L811" t="s">
        <v>164</v>
      </c>
      <c r="N811" t="s">
        <v>224</v>
      </c>
      <c r="O811" t="s">
        <v>282</v>
      </c>
      <c r="P811">
        <v>1.4882407212814149E-3</v>
      </c>
      <c r="Q811" t="s">
        <v>164</v>
      </c>
    </row>
    <row r="812" spans="9:17" x14ac:dyDescent="0.45">
      <c r="I812" t="s">
        <v>191</v>
      </c>
      <c r="J812" t="s">
        <v>283</v>
      </c>
      <c r="K812">
        <v>9.3946216849278771E-2</v>
      </c>
      <c r="L812" t="s">
        <v>164</v>
      </c>
      <c r="N812" t="s">
        <v>224</v>
      </c>
      <c r="O812" t="s">
        <v>283</v>
      </c>
      <c r="P812">
        <v>6.5658794104489302E-3</v>
      </c>
      <c r="Q812" t="s">
        <v>164</v>
      </c>
    </row>
    <row r="813" spans="9:17" x14ac:dyDescent="0.45">
      <c r="I813" t="s">
        <v>191</v>
      </c>
      <c r="J813" t="s">
        <v>284</v>
      </c>
      <c r="K813">
        <v>8.0451022891397054E-3</v>
      </c>
      <c r="L813" t="s">
        <v>164</v>
      </c>
      <c r="N813" t="s">
        <v>224</v>
      </c>
      <c r="O813" t="s">
        <v>284</v>
      </c>
      <c r="P813">
        <v>1.0009135432011811E-3</v>
      </c>
      <c r="Q813" t="s">
        <v>164</v>
      </c>
    </row>
    <row r="814" spans="9:17" x14ac:dyDescent="0.45">
      <c r="I814" t="s">
        <v>191</v>
      </c>
      <c r="J814" t="s">
        <v>285</v>
      </c>
      <c r="K814">
        <v>3.7609904962841883E-3</v>
      </c>
      <c r="L814" t="s">
        <v>164</v>
      </c>
      <c r="N814" t="s">
        <v>224</v>
      </c>
      <c r="O814" t="s">
        <v>285</v>
      </c>
      <c r="P814">
        <v>1.0415462336260103E-2</v>
      </c>
      <c r="Q814" t="s">
        <v>164</v>
      </c>
    </row>
    <row r="815" spans="9:17" x14ac:dyDescent="0.45">
      <c r="I815" t="s">
        <v>191</v>
      </c>
      <c r="J815" t="s">
        <v>286</v>
      </c>
      <c r="K815">
        <v>2.8977031923468132E-2</v>
      </c>
      <c r="L815" t="s">
        <v>164</v>
      </c>
      <c r="N815" t="s">
        <v>224</v>
      </c>
      <c r="O815" t="s">
        <v>286</v>
      </c>
      <c r="P815">
        <v>4.7099640157872914E-2</v>
      </c>
      <c r="Q815" t="s">
        <v>164</v>
      </c>
    </row>
    <row r="816" spans="9:17" x14ac:dyDescent="0.45">
      <c r="I816" t="s">
        <v>191</v>
      </c>
      <c r="J816" t="s">
        <v>287</v>
      </c>
      <c r="K816">
        <v>1.8626116961425299E-2</v>
      </c>
      <c r="L816" t="s">
        <v>164</v>
      </c>
      <c r="N816" t="s">
        <v>224</v>
      </c>
      <c r="O816" t="s">
        <v>287</v>
      </c>
      <c r="P816">
        <v>5.5307927055157453E-3</v>
      </c>
      <c r="Q816" t="s">
        <v>164</v>
      </c>
    </row>
    <row r="817" spans="9:17" x14ac:dyDescent="0.45">
      <c r="I817" t="s">
        <v>191</v>
      </c>
      <c r="J817" t="s">
        <v>288</v>
      </c>
      <c r="K817">
        <v>1.9790587586515852E-2</v>
      </c>
      <c r="L817" t="s">
        <v>164</v>
      </c>
      <c r="N817" t="s">
        <v>224</v>
      </c>
      <c r="O817" t="s">
        <v>288</v>
      </c>
      <c r="P817">
        <v>4.7524313436967695E-3</v>
      </c>
      <c r="Q817" t="s">
        <v>164</v>
      </c>
    </row>
    <row r="818" spans="9:17" x14ac:dyDescent="0.45">
      <c r="I818" t="s">
        <v>191</v>
      </c>
      <c r="J818" t="s">
        <v>289</v>
      </c>
      <c r="K818">
        <v>0.10592166737407942</v>
      </c>
      <c r="L818" t="s">
        <v>164</v>
      </c>
      <c r="N818" t="s">
        <v>224</v>
      </c>
      <c r="O818" t="s">
        <v>289</v>
      </c>
      <c r="P818">
        <v>1.3408976423593783E-2</v>
      </c>
      <c r="Q818" t="s">
        <v>164</v>
      </c>
    </row>
    <row r="819" spans="9:17" x14ac:dyDescent="0.45">
      <c r="I819" t="s">
        <v>191</v>
      </c>
      <c r="J819" t="s">
        <v>290</v>
      </c>
      <c r="K819">
        <v>8.0778111628701001E-3</v>
      </c>
      <c r="L819" t="s">
        <v>164</v>
      </c>
      <c r="N819" t="s">
        <v>224</v>
      </c>
      <c r="O819" t="s">
        <v>290</v>
      </c>
      <c r="P819">
        <v>1.8800463334265546E-3</v>
      </c>
      <c r="Q819" t="s">
        <v>164</v>
      </c>
    </row>
    <row r="820" spans="9:17" x14ac:dyDescent="0.45">
      <c r="I820" t="s">
        <v>191</v>
      </c>
      <c r="J820" t="s">
        <v>291</v>
      </c>
      <c r="K820">
        <v>0</v>
      </c>
      <c r="L820" t="s">
        <v>164</v>
      </c>
      <c r="N820" t="s">
        <v>224</v>
      </c>
      <c r="O820" t="s">
        <v>291</v>
      </c>
      <c r="P820">
        <v>2.5970664012996636E-2</v>
      </c>
      <c r="Q820" t="s">
        <v>164</v>
      </c>
    </row>
    <row r="821" spans="9:17" x14ac:dyDescent="0.45">
      <c r="I821" t="s">
        <v>191</v>
      </c>
      <c r="J821" t="s">
        <v>292</v>
      </c>
      <c r="K821">
        <v>1.3556192215821513E-2</v>
      </c>
      <c r="L821" t="s">
        <v>164</v>
      </c>
      <c r="N821" t="s">
        <v>224</v>
      </c>
      <c r="O821" t="s">
        <v>292</v>
      </c>
      <c r="P821">
        <v>4.1254670494322902E-2</v>
      </c>
      <c r="Q821" t="s">
        <v>164</v>
      </c>
    </row>
    <row r="822" spans="9:17" x14ac:dyDescent="0.45">
      <c r="I822" t="s">
        <v>191</v>
      </c>
      <c r="J822" t="s">
        <v>293</v>
      </c>
      <c r="K822">
        <v>9.9422505896629414E-3</v>
      </c>
      <c r="L822" t="s">
        <v>164</v>
      </c>
      <c r="N822" t="s">
        <v>224</v>
      </c>
      <c r="O822" t="s">
        <v>293</v>
      </c>
      <c r="P822">
        <v>6.5187538573818161E-3</v>
      </c>
      <c r="Q822" t="s">
        <v>164</v>
      </c>
    </row>
    <row r="823" spans="9:17" x14ac:dyDescent="0.45">
      <c r="I823" t="s">
        <v>191</v>
      </c>
      <c r="J823" t="s">
        <v>294</v>
      </c>
      <c r="K823">
        <v>1.0588030133621706E-2</v>
      </c>
      <c r="L823" t="s">
        <v>164</v>
      </c>
      <c r="N823" t="s">
        <v>224</v>
      </c>
      <c r="O823" t="s">
        <v>294</v>
      </c>
      <c r="P823">
        <v>6.7441273342531832E-3</v>
      </c>
      <c r="Q823" t="s">
        <v>164</v>
      </c>
    </row>
    <row r="824" spans="9:17" x14ac:dyDescent="0.45">
      <c r="I824" t="s">
        <v>191</v>
      </c>
      <c r="J824" t="s">
        <v>295</v>
      </c>
      <c r="K824">
        <v>5.7585596672259237E-2</v>
      </c>
      <c r="L824" t="s">
        <v>164</v>
      </c>
      <c r="N824" t="s">
        <v>224</v>
      </c>
      <c r="O824" t="s">
        <v>295</v>
      </c>
      <c r="P824">
        <v>2.8439126646507537E-2</v>
      </c>
      <c r="Q824" t="s">
        <v>164</v>
      </c>
    </row>
    <row r="825" spans="9:17" x14ac:dyDescent="0.45">
      <c r="I825" t="s">
        <v>191</v>
      </c>
      <c r="J825" t="s">
        <v>296</v>
      </c>
      <c r="K825">
        <v>5.3499192601290727E-3</v>
      </c>
      <c r="L825" t="s">
        <v>164</v>
      </c>
      <c r="N825" t="s">
        <v>224</v>
      </c>
      <c r="O825" t="s">
        <v>296</v>
      </c>
      <c r="P825">
        <v>3.6244927932465284E-3</v>
      </c>
      <c r="Q825" t="s">
        <v>164</v>
      </c>
    </row>
    <row r="826" spans="9:17" x14ac:dyDescent="0.45">
      <c r="I826" t="s">
        <v>191</v>
      </c>
      <c r="J826" t="s">
        <v>297</v>
      </c>
      <c r="K826">
        <v>0</v>
      </c>
      <c r="L826" t="s">
        <v>164</v>
      </c>
      <c r="N826" t="s">
        <v>224</v>
      </c>
      <c r="O826" t="s">
        <v>297</v>
      </c>
      <c r="P826">
        <v>2.9005682337162626E-2</v>
      </c>
      <c r="Q826" t="s">
        <v>164</v>
      </c>
    </row>
    <row r="827" spans="9:17" x14ac:dyDescent="0.45">
      <c r="I827" t="s">
        <v>192</v>
      </c>
      <c r="J827" t="s">
        <v>163</v>
      </c>
      <c r="K827">
        <v>1.5171281344174796E-2</v>
      </c>
      <c r="L827" t="s">
        <v>164</v>
      </c>
      <c r="N827" t="s">
        <v>225</v>
      </c>
      <c r="O827" t="s">
        <v>163</v>
      </c>
      <c r="P827">
        <v>4.1950023900197239E-2</v>
      </c>
      <c r="Q827" t="s">
        <v>164</v>
      </c>
    </row>
    <row r="828" spans="9:17" x14ac:dyDescent="0.45">
      <c r="I828" t="s">
        <v>192</v>
      </c>
      <c r="J828" t="s">
        <v>165</v>
      </c>
      <c r="K828">
        <v>1.0982060644750715E-2</v>
      </c>
      <c r="L828" t="s">
        <v>164</v>
      </c>
      <c r="N828" t="s">
        <v>225</v>
      </c>
      <c r="O828" t="s">
        <v>165</v>
      </c>
      <c r="P828">
        <v>5.981487546393268E-3</v>
      </c>
      <c r="Q828" t="s">
        <v>164</v>
      </c>
    </row>
    <row r="829" spans="9:17" x14ac:dyDescent="0.45">
      <c r="I829" t="s">
        <v>192</v>
      </c>
      <c r="J829" t="s">
        <v>166</v>
      </c>
      <c r="K829">
        <v>1.1513748965747188E-2</v>
      </c>
      <c r="L829" t="s">
        <v>164</v>
      </c>
      <c r="N829" t="s">
        <v>225</v>
      </c>
      <c r="O829" t="s">
        <v>166</v>
      </c>
      <c r="P829">
        <v>5.6421922322861459E-3</v>
      </c>
      <c r="Q829" t="s">
        <v>164</v>
      </c>
    </row>
    <row r="830" spans="9:17" x14ac:dyDescent="0.45">
      <c r="I830" t="s">
        <v>192</v>
      </c>
      <c r="J830" t="s">
        <v>262</v>
      </c>
      <c r="K830">
        <v>6.0708035352991435E-2</v>
      </c>
      <c r="L830" t="s">
        <v>164</v>
      </c>
      <c r="N830" t="s">
        <v>225</v>
      </c>
      <c r="O830" t="s">
        <v>262</v>
      </c>
      <c r="P830">
        <v>2.5596060943976887E-2</v>
      </c>
      <c r="Q830" t="s">
        <v>164</v>
      </c>
    </row>
    <row r="831" spans="9:17" x14ac:dyDescent="0.45">
      <c r="I831" t="s">
        <v>192</v>
      </c>
      <c r="J831" t="s">
        <v>263</v>
      </c>
      <c r="K831">
        <v>6.2399213382323473E-3</v>
      </c>
      <c r="L831" t="s">
        <v>164</v>
      </c>
      <c r="N831" t="s">
        <v>225</v>
      </c>
      <c r="O831" t="s">
        <v>263</v>
      </c>
      <c r="P831">
        <v>4.0472174697758758E-3</v>
      </c>
      <c r="Q831" t="s">
        <v>164</v>
      </c>
    </row>
    <row r="832" spans="9:17" x14ac:dyDescent="0.45">
      <c r="I832" t="s">
        <v>192</v>
      </c>
      <c r="J832" t="s">
        <v>264</v>
      </c>
      <c r="K832">
        <v>1.6514341329033121E-3</v>
      </c>
      <c r="L832" t="s">
        <v>164</v>
      </c>
      <c r="N832" t="s">
        <v>225</v>
      </c>
      <c r="O832" t="s">
        <v>264</v>
      </c>
      <c r="P832">
        <v>3.2648389241933334E-2</v>
      </c>
      <c r="Q832" t="s">
        <v>164</v>
      </c>
    </row>
    <row r="833" spans="9:17" x14ac:dyDescent="0.45">
      <c r="I833" t="s">
        <v>192</v>
      </c>
      <c r="J833" t="s">
        <v>167</v>
      </c>
      <c r="K833">
        <v>1.2138087677123164E-2</v>
      </c>
      <c r="L833" t="s">
        <v>164</v>
      </c>
      <c r="N833" t="s">
        <v>225</v>
      </c>
      <c r="O833" t="s">
        <v>167</v>
      </c>
      <c r="P833">
        <v>4.8052005431930361E-2</v>
      </c>
      <c r="Q833" t="s">
        <v>164</v>
      </c>
    </row>
    <row r="834" spans="9:17" x14ac:dyDescent="0.45">
      <c r="I834" t="s">
        <v>192</v>
      </c>
      <c r="J834" t="s">
        <v>168</v>
      </c>
      <c r="K834">
        <v>9.0720685869287356E-3</v>
      </c>
      <c r="L834" t="s">
        <v>164</v>
      </c>
      <c r="N834" t="s">
        <v>225</v>
      </c>
      <c r="O834" t="s">
        <v>168</v>
      </c>
      <c r="P834">
        <v>6.9372446324842121E-3</v>
      </c>
      <c r="Q834" t="s">
        <v>164</v>
      </c>
    </row>
    <row r="835" spans="9:17" x14ac:dyDescent="0.45">
      <c r="I835" t="s">
        <v>192</v>
      </c>
      <c r="J835" t="s">
        <v>169</v>
      </c>
      <c r="K835">
        <v>9.9813340809304252E-3</v>
      </c>
      <c r="L835" t="s">
        <v>164</v>
      </c>
      <c r="N835" t="s">
        <v>225</v>
      </c>
      <c r="O835" t="s">
        <v>169</v>
      </c>
      <c r="P835">
        <v>5.9972776389446919E-3</v>
      </c>
      <c r="Q835" t="s">
        <v>164</v>
      </c>
    </row>
    <row r="836" spans="9:17" x14ac:dyDescent="0.45">
      <c r="I836" t="s">
        <v>192</v>
      </c>
      <c r="J836" t="s">
        <v>265</v>
      </c>
      <c r="K836">
        <v>5.3332956989937313E-2</v>
      </c>
      <c r="L836" t="s">
        <v>164</v>
      </c>
      <c r="N836" t="s">
        <v>225</v>
      </c>
      <c r="O836" t="s">
        <v>265</v>
      </c>
      <c r="P836">
        <v>2.278602208063674E-2</v>
      </c>
      <c r="Q836" t="s">
        <v>164</v>
      </c>
    </row>
    <row r="837" spans="9:17" x14ac:dyDescent="0.45">
      <c r="I837" t="s">
        <v>192</v>
      </c>
      <c r="J837" t="s">
        <v>266</v>
      </c>
      <c r="K837">
        <v>5.4907523722208789E-3</v>
      </c>
      <c r="L837" t="s">
        <v>164</v>
      </c>
      <c r="N837" t="s">
        <v>225</v>
      </c>
      <c r="O837" t="s">
        <v>266</v>
      </c>
      <c r="P837">
        <v>3.7056459415143253E-3</v>
      </c>
      <c r="Q837" t="s">
        <v>164</v>
      </c>
    </row>
    <row r="838" spans="9:17" x14ac:dyDescent="0.45">
      <c r="I838" t="s">
        <v>192</v>
      </c>
      <c r="J838" t="s">
        <v>267</v>
      </c>
      <c r="K838">
        <v>3.6886894775488921E-3</v>
      </c>
      <c r="L838" t="s">
        <v>164</v>
      </c>
      <c r="N838" t="s">
        <v>225</v>
      </c>
      <c r="O838" t="s">
        <v>267</v>
      </c>
      <c r="P838">
        <v>3.6500297254798461E-2</v>
      </c>
      <c r="Q838" t="s">
        <v>164</v>
      </c>
    </row>
    <row r="839" spans="9:17" x14ac:dyDescent="0.45">
      <c r="I839" t="s">
        <v>192</v>
      </c>
      <c r="J839" t="s">
        <v>170</v>
      </c>
      <c r="K839">
        <v>1.172742145196877E-2</v>
      </c>
      <c r="L839" t="s">
        <v>164</v>
      </c>
      <c r="N839" t="s">
        <v>225</v>
      </c>
      <c r="O839" t="s">
        <v>170</v>
      </c>
      <c r="P839">
        <v>6.6510167125192463E-2</v>
      </c>
      <c r="Q839" t="s">
        <v>164</v>
      </c>
    </row>
    <row r="840" spans="9:17" x14ac:dyDescent="0.45">
      <c r="I840" t="s">
        <v>192</v>
      </c>
      <c r="J840" t="s">
        <v>171</v>
      </c>
      <c r="K840">
        <v>8.8525737617673877E-3</v>
      </c>
      <c r="L840" t="s">
        <v>164</v>
      </c>
      <c r="N840" t="s">
        <v>225</v>
      </c>
      <c r="O840" t="s">
        <v>171</v>
      </c>
      <c r="P840">
        <v>7.0846874449526955E-3</v>
      </c>
      <c r="Q840" t="s">
        <v>164</v>
      </c>
    </row>
    <row r="841" spans="9:17" x14ac:dyDescent="0.45">
      <c r="I841" t="s">
        <v>192</v>
      </c>
      <c r="J841" t="s">
        <v>172</v>
      </c>
      <c r="K841">
        <v>1.0048708885677108E-2</v>
      </c>
      <c r="L841" t="s">
        <v>164</v>
      </c>
      <c r="N841" t="s">
        <v>225</v>
      </c>
      <c r="O841" t="s">
        <v>172</v>
      </c>
      <c r="P841">
        <v>5.767713881115806E-3</v>
      </c>
      <c r="Q841" t="s">
        <v>164</v>
      </c>
    </row>
    <row r="842" spans="9:17" x14ac:dyDescent="0.45">
      <c r="I842" t="s">
        <v>192</v>
      </c>
      <c r="J842" t="s">
        <v>268</v>
      </c>
      <c r="K842">
        <v>5.623511806659294E-2</v>
      </c>
      <c r="L842" t="s">
        <v>164</v>
      </c>
      <c r="N842" t="s">
        <v>225</v>
      </c>
      <c r="O842" t="s">
        <v>268</v>
      </c>
      <c r="P842">
        <v>2.3474555480139766E-2</v>
      </c>
      <c r="Q842" t="s">
        <v>164</v>
      </c>
    </row>
    <row r="843" spans="9:17" x14ac:dyDescent="0.45">
      <c r="I843" t="s">
        <v>192</v>
      </c>
      <c r="J843" t="s">
        <v>269</v>
      </c>
      <c r="K843">
        <v>5.4031821914273821E-3</v>
      </c>
      <c r="L843" t="s">
        <v>164</v>
      </c>
      <c r="N843" t="s">
        <v>225</v>
      </c>
      <c r="O843" t="s">
        <v>269</v>
      </c>
      <c r="P843">
        <v>4.0330675417245875E-3</v>
      </c>
      <c r="Q843" t="s">
        <v>164</v>
      </c>
    </row>
    <row r="844" spans="9:17" x14ac:dyDescent="0.45">
      <c r="I844" t="s">
        <v>192</v>
      </c>
      <c r="J844" t="s">
        <v>270</v>
      </c>
      <c r="K844">
        <v>3.4283522069514811E-3</v>
      </c>
      <c r="L844" t="s">
        <v>164</v>
      </c>
      <c r="N844" t="s">
        <v>225</v>
      </c>
      <c r="O844" t="s">
        <v>270</v>
      </c>
      <c r="P844">
        <v>4.5258397059338464E-2</v>
      </c>
      <c r="Q844" t="s">
        <v>164</v>
      </c>
    </row>
    <row r="845" spans="9:17" x14ac:dyDescent="0.45">
      <c r="I845" t="s">
        <v>192</v>
      </c>
      <c r="J845" t="s">
        <v>173</v>
      </c>
      <c r="K845">
        <v>1.9765689381604432E-2</v>
      </c>
      <c r="L845" t="s">
        <v>164</v>
      </c>
      <c r="N845" t="s">
        <v>225</v>
      </c>
      <c r="O845" t="s">
        <v>173</v>
      </c>
      <c r="P845">
        <v>8.7955431727654146E-2</v>
      </c>
      <c r="Q845" t="s">
        <v>164</v>
      </c>
    </row>
    <row r="846" spans="9:17" x14ac:dyDescent="0.45">
      <c r="I846" t="s">
        <v>192</v>
      </c>
      <c r="J846" t="s">
        <v>174</v>
      </c>
      <c r="K846">
        <v>1.2988663860909504E-2</v>
      </c>
      <c r="L846" t="s">
        <v>164</v>
      </c>
      <c r="N846" t="s">
        <v>225</v>
      </c>
      <c r="O846" t="s">
        <v>174</v>
      </c>
      <c r="P846">
        <v>9.8047502398672295E-3</v>
      </c>
      <c r="Q846" t="s">
        <v>164</v>
      </c>
    </row>
    <row r="847" spans="9:17" x14ac:dyDescent="0.45">
      <c r="I847" t="s">
        <v>192</v>
      </c>
      <c r="J847" t="s">
        <v>175</v>
      </c>
      <c r="K847">
        <v>1.5127696137510409E-2</v>
      </c>
      <c r="L847" t="s">
        <v>164</v>
      </c>
      <c r="N847" t="s">
        <v>225</v>
      </c>
      <c r="O847" t="s">
        <v>175</v>
      </c>
      <c r="P847">
        <v>8.2750363588981381E-3</v>
      </c>
      <c r="Q847" t="s">
        <v>164</v>
      </c>
    </row>
    <row r="848" spans="9:17" x14ac:dyDescent="0.45">
      <c r="I848" t="s">
        <v>192</v>
      </c>
      <c r="J848" t="s">
        <v>271</v>
      </c>
      <c r="K848">
        <v>8.7983756260742452E-2</v>
      </c>
      <c r="L848" t="s">
        <v>164</v>
      </c>
      <c r="N848" t="s">
        <v>225</v>
      </c>
      <c r="O848" t="s">
        <v>271</v>
      </c>
      <c r="P848">
        <v>3.0991595689333004E-2</v>
      </c>
      <c r="Q848" t="s">
        <v>164</v>
      </c>
    </row>
    <row r="849" spans="9:17" x14ac:dyDescent="0.45">
      <c r="I849" t="s">
        <v>192</v>
      </c>
      <c r="J849" t="s">
        <v>272</v>
      </c>
      <c r="K849">
        <v>7.1363528090035823E-3</v>
      </c>
      <c r="L849" t="s">
        <v>164</v>
      </c>
      <c r="N849" t="s">
        <v>225</v>
      </c>
      <c r="O849" t="s">
        <v>272</v>
      </c>
      <c r="P849">
        <v>4.9185279131788153E-3</v>
      </c>
      <c r="Q849" t="s">
        <v>164</v>
      </c>
    </row>
    <row r="850" spans="9:17" x14ac:dyDescent="0.45">
      <c r="I850" t="s">
        <v>192</v>
      </c>
      <c r="J850" t="s">
        <v>273</v>
      </c>
      <c r="K850">
        <v>4.4602928211128854E-3</v>
      </c>
      <c r="L850" t="s">
        <v>164</v>
      </c>
      <c r="N850" t="s">
        <v>225</v>
      </c>
      <c r="O850" t="s">
        <v>273</v>
      </c>
      <c r="P850">
        <v>5.4137844764616541E-2</v>
      </c>
      <c r="Q850" t="s">
        <v>164</v>
      </c>
    </row>
    <row r="851" spans="9:17" x14ac:dyDescent="0.45">
      <c r="I851" t="s">
        <v>192</v>
      </c>
      <c r="J851" t="s">
        <v>274</v>
      </c>
      <c r="K851">
        <v>1.6414260490798003E-2</v>
      </c>
      <c r="L851" t="s">
        <v>164</v>
      </c>
      <c r="N851" t="s">
        <v>225</v>
      </c>
      <c r="O851" t="s">
        <v>274</v>
      </c>
      <c r="P851">
        <v>5.0078567271409309E-2</v>
      </c>
      <c r="Q851" t="s">
        <v>164</v>
      </c>
    </row>
    <row r="852" spans="9:17" x14ac:dyDescent="0.45">
      <c r="I852" t="s">
        <v>192</v>
      </c>
      <c r="J852" t="s">
        <v>275</v>
      </c>
      <c r="K852">
        <v>1.0751144047322154E-2</v>
      </c>
      <c r="L852" t="s">
        <v>164</v>
      </c>
      <c r="N852" t="s">
        <v>225</v>
      </c>
      <c r="O852" t="s">
        <v>275</v>
      </c>
      <c r="P852">
        <v>6.2796408097971377E-3</v>
      </c>
      <c r="Q852" t="s">
        <v>164</v>
      </c>
    </row>
    <row r="853" spans="9:17" x14ac:dyDescent="0.45">
      <c r="I853" t="s">
        <v>192</v>
      </c>
      <c r="J853" t="s">
        <v>276</v>
      </c>
      <c r="K853">
        <v>1.3365494771806661E-2</v>
      </c>
      <c r="L853" t="s">
        <v>164</v>
      </c>
      <c r="N853" t="s">
        <v>225</v>
      </c>
      <c r="O853" t="s">
        <v>276</v>
      </c>
      <c r="P853">
        <v>5.4974449761300663E-3</v>
      </c>
      <c r="Q853" t="s">
        <v>164</v>
      </c>
    </row>
    <row r="854" spans="9:17" x14ac:dyDescent="0.45">
      <c r="I854" t="s">
        <v>192</v>
      </c>
      <c r="J854" t="s">
        <v>277</v>
      </c>
      <c r="K854">
        <v>7.9072552186250825E-2</v>
      </c>
      <c r="L854" t="s">
        <v>164</v>
      </c>
      <c r="N854" t="s">
        <v>225</v>
      </c>
      <c r="O854" t="s">
        <v>277</v>
      </c>
      <c r="P854">
        <v>2.2871456188192169E-2</v>
      </c>
      <c r="Q854" t="s">
        <v>164</v>
      </c>
    </row>
    <row r="855" spans="9:17" x14ac:dyDescent="0.45">
      <c r="I855" t="s">
        <v>192</v>
      </c>
      <c r="J855" t="s">
        <v>278</v>
      </c>
      <c r="K855">
        <v>6.6778522952180399E-3</v>
      </c>
      <c r="L855" t="s">
        <v>164</v>
      </c>
      <c r="N855" t="s">
        <v>225</v>
      </c>
      <c r="O855" t="s">
        <v>278</v>
      </c>
      <c r="P855">
        <v>3.5630536979022335E-3</v>
      </c>
      <c r="Q855" t="s">
        <v>164</v>
      </c>
    </row>
    <row r="856" spans="9:17" x14ac:dyDescent="0.45">
      <c r="I856" t="s">
        <v>192</v>
      </c>
      <c r="J856" t="s">
        <v>279</v>
      </c>
      <c r="K856">
        <v>3.6375848495055229E-3</v>
      </c>
      <c r="L856" t="s">
        <v>164</v>
      </c>
      <c r="N856" t="s">
        <v>225</v>
      </c>
      <c r="O856" t="s">
        <v>279</v>
      </c>
      <c r="P856">
        <v>3.1155462146993697E-2</v>
      </c>
      <c r="Q856" t="s">
        <v>164</v>
      </c>
    </row>
    <row r="857" spans="9:17" x14ac:dyDescent="0.45">
      <c r="I857" t="s">
        <v>192</v>
      </c>
      <c r="J857" t="s">
        <v>280</v>
      </c>
      <c r="K857">
        <v>2.1359799617341829E-2</v>
      </c>
      <c r="L857" t="s">
        <v>164</v>
      </c>
      <c r="N857" t="s">
        <v>225</v>
      </c>
      <c r="O857" t="s">
        <v>280</v>
      </c>
      <c r="P857">
        <v>2.8771898333344349E-2</v>
      </c>
      <c r="Q857" t="s">
        <v>164</v>
      </c>
    </row>
    <row r="858" spans="9:17" x14ac:dyDescent="0.45">
      <c r="I858" t="s">
        <v>192</v>
      </c>
      <c r="J858" t="s">
        <v>281</v>
      </c>
      <c r="K858">
        <v>1.4189962030753884E-2</v>
      </c>
      <c r="L858" t="s">
        <v>164</v>
      </c>
      <c r="N858" t="s">
        <v>225</v>
      </c>
      <c r="O858" t="s">
        <v>281</v>
      </c>
      <c r="P858">
        <v>3.1301926477118186E-3</v>
      </c>
      <c r="Q858" t="s">
        <v>164</v>
      </c>
    </row>
    <row r="859" spans="9:17" x14ac:dyDescent="0.45">
      <c r="I859" t="s">
        <v>192</v>
      </c>
      <c r="J859" t="s">
        <v>282</v>
      </c>
      <c r="K859">
        <v>1.6157173603383073E-2</v>
      </c>
      <c r="L859" t="s">
        <v>164</v>
      </c>
      <c r="N859" t="s">
        <v>225</v>
      </c>
      <c r="O859" t="s">
        <v>282</v>
      </c>
      <c r="P859">
        <v>2.943612709762281E-3</v>
      </c>
      <c r="Q859" t="s">
        <v>164</v>
      </c>
    </row>
    <row r="860" spans="9:17" x14ac:dyDescent="0.45">
      <c r="I860" t="s">
        <v>192</v>
      </c>
      <c r="J860" t="s">
        <v>283</v>
      </c>
      <c r="K860">
        <v>8.9971947196139809E-2</v>
      </c>
      <c r="L860" t="s">
        <v>164</v>
      </c>
      <c r="N860" t="s">
        <v>225</v>
      </c>
      <c r="O860" t="s">
        <v>283</v>
      </c>
      <c r="P860">
        <v>1.1277240774128398E-2</v>
      </c>
      <c r="Q860" t="s">
        <v>164</v>
      </c>
    </row>
    <row r="861" spans="9:17" x14ac:dyDescent="0.45">
      <c r="I861" t="s">
        <v>192</v>
      </c>
      <c r="J861" t="s">
        <v>284</v>
      </c>
      <c r="K861">
        <v>7.2238303861718459E-3</v>
      </c>
      <c r="L861" t="s">
        <v>164</v>
      </c>
      <c r="N861" t="s">
        <v>225</v>
      </c>
      <c r="O861" t="s">
        <v>284</v>
      </c>
      <c r="P861">
        <v>1.6741476155665857E-3</v>
      </c>
      <c r="Q861" t="s">
        <v>164</v>
      </c>
    </row>
    <row r="862" spans="9:17" x14ac:dyDescent="0.45">
      <c r="I862" t="s">
        <v>192</v>
      </c>
      <c r="J862" t="s">
        <v>285</v>
      </c>
      <c r="K862">
        <v>3.0118171278769442E-3</v>
      </c>
      <c r="L862" t="s">
        <v>164</v>
      </c>
      <c r="N862" t="s">
        <v>225</v>
      </c>
      <c r="O862" t="s">
        <v>285</v>
      </c>
      <c r="P862">
        <v>1.8160239333733667E-2</v>
      </c>
      <c r="Q862" t="s">
        <v>164</v>
      </c>
    </row>
    <row r="863" spans="9:17" x14ac:dyDescent="0.45">
      <c r="I863" t="s">
        <v>192</v>
      </c>
      <c r="J863" t="s">
        <v>286</v>
      </c>
      <c r="K863">
        <v>3.2675729581131706E-2</v>
      </c>
      <c r="L863" t="s">
        <v>164</v>
      </c>
      <c r="N863" t="s">
        <v>225</v>
      </c>
      <c r="O863" t="s">
        <v>286</v>
      </c>
      <c r="P863">
        <v>5.1888746751087012E-2</v>
      </c>
      <c r="Q863" t="s">
        <v>164</v>
      </c>
    </row>
    <row r="864" spans="9:17" x14ac:dyDescent="0.45">
      <c r="I864" t="s">
        <v>192</v>
      </c>
      <c r="J864" t="s">
        <v>287</v>
      </c>
      <c r="K864">
        <v>1.804458525722296E-2</v>
      </c>
      <c r="L864" t="s">
        <v>164</v>
      </c>
      <c r="N864" t="s">
        <v>225</v>
      </c>
      <c r="O864" t="s">
        <v>287</v>
      </c>
      <c r="P864">
        <v>6.6522236137009551E-3</v>
      </c>
      <c r="Q864" t="s">
        <v>164</v>
      </c>
    </row>
    <row r="865" spans="9:17" x14ac:dyDescent="0.45">
      <c r="I865" t="s">
        <v>192</v>
      </c>
      <c r="J865" t="s">
        <v>288</v>
      </c>
      <c r="K865">
        <v>1.9657883722348002E-2</v>
      </c>
      <c r="L865" t="s">
        <v>164</v>
      </c>
      <c r="N865" t="s">
        <v>225</v>
      </c>
      <c r="O865" t="s">
        <v>288</v>
      </c>
      <c r="P865">
        <v>5.3938282141662072E-3</v>
      </c>
      <c r="Q865" t="s">
        <v>164</v>
      </c>
    </row>
    <row r="866" spans="9:17" x14ac:dyDescent="0.45">
      <c r="I866" t="s">
        <v>192</v>
      </c>
      <c r="J866" t="s">
        <v>289</v>
      </c>
      <c r="K866">
        <v>0.10567175953114281</v>
      </c>
      <c r="L866" t="s">
        <v>164</v>
      </c>
      <c r="N866" t="s">
        <v>225</v>
      </c>
      <c r="O866" t="s">
        <v>289</v>
      </c>
      <c r="P866">
        <v>2.0015950373071637E-2</v>
      </c>
      <c r="Q866" t="s">
        <v>164</v>
      </c>
    </row>
    <row r="867" spans="9:17" x14ac:dyDescent="0.45">
      <c r="I867" t="s">
        <v>192</v>
      </c>
      <c r="J867" t="s">
        <v>290</v>
      </c>
      <c r="K867">
        <v>7.7798538166834134E-3</v>
      </c>
      <c r="L867" t="s">
        <v>164</v>
      </c>
      <c r="N867" t="s">
        <v>225</v>
      </c>
      <c r="O867" t="s">
        <v>290</v>
      </c>
      <c r="P867">
        <v>3.85490039113786E-3</v>
      </c>
      <c r="Q867" t="s">
        <v>164</v>
      </c>
    </row>
    <row r="868" spans="9:17" x14ac:dyDescent="0.45">
      <c r="I868" t="s">
        <v>192</v>
      </c>
      <c r="J868" t="s">
        <v>291</v>
      </c>
      <c r="K868">
        <v>0</v>
      </c>
      <c r="L868" t="s">
        <v>164</v>
      </c>
      <c r="N868" t="s">
        <v>225</v>
      </c>
      <c r="O868" t="s">
        <v>291</v>
      </c>
      <c r="P868">
        <v>3.4571551283096476E-2</v>
      </c>
      <c r="Q868" t="s">
        <v>164</v>
      </c>
    </row>
    <row r="869" spans="9:17" x14ac:dyDescent="0.45">
      <c r="I869" t="s">
        <v>192</v>
      </c>
      <c r="J869" t="s">
        <v>292</v>
      </c>
      <c r="K869">
        <v>1.3569311846848609E-2</v>
      </c>
      <c r="L869" t="s">
        <v>164</v>
      </c>
      <c r="N869" t="s">
        <v>225</v>
      </c>
      <c r="O869" t="s">
        <v>292</v>
      </c>
      <c r="P869">
        <v>3.4876547197263755E-2</v>
      </c>
      <c r="Q869" t="s">
        <v>164</v>
      </c>
    </row>
    <row r="870" spans="9:17" x14ac:dyDescent="0.45">
      <c r="I870" t="s">
        <v>192</v>
      </c>
      <c r="J870" t="s">
        <v>293</v>
      </c>
      <c r="K870">
        <v>9.5482054801403655E-3</v>
      </c>
      <c r="L870" t="s">
        <v>164</v>
      </c>
      <c r="N870" t="s">
        <v>225</v>
      </c>
      <c r="O870" t="s">
        <v>293</v>
      </c>
      <c r="P870">
        <v>6.3201788703062568E-3</v>
      </c>
      <c r="Q870" t="s">
        <v>164</v>
      </c>
    </row>
    <row r="871" spans="9:17" x14ac:dyDescent="0.45">
      <c r="I871" t="s">
        <v>192</v>
      </c>
      <c r="J871" t="s">
        <v>294</v>
      </c>
      <c r="K871">
        <v>9.9504185061086315E-3</v>
      </c>
      <c r="L871" t="s">
        <v>164</v>
      </c>
      <c r="N871" t="s">
        <v>225</v>
      </c>
      <c r="O871" t="s">
        <v>294</v>
      </c>
      <c r="P871">
        <v>6.3356463095717505E-3</v>
      </c>
      <c r="Q871" t="s">
        <v>164</v>
      </c>
    </row>
    <row r="872" spans="9:17" x14ac:dyDescent="0.45">
      <c r="I872" t="s">
        <v>192</v>
      </c>
      <c r="J872" t="s">
        <v>295</v>
      </c>
      <c r="K872">
        <v>5.3407645061239011E-2</v>
      </c>
      <c r="L872" t="s">
        <v>164</v>
      </c>
      <c r="N872" t="s">
        <v>225</v>
      </c>
      <c r="O872" t="s">
        <v>295</v>
      </c>
      <c r="P872">
        <v>2.798341004609416E-2</v>
      </c>
      <c r="Q872" t="s">
        <v>164</v>
      </c>
    </row>
    <row r="873" spans="9:17" x14ac:dyDescent="0.45">
      <c r="I873" t="s">
        <v>192</v>
      </c>
      <c r="J873" t="s">
        <v>296</v>
      </c>
      <c r="K873">
        <v>4.7330097958068976E-3</v>
      </c>
      <c r="L873" t="s">
        <v>164</v>
      </c>
      <c r="N873" t="s">
        <v>225</v>
      </c>
      <c r="O873" t="s">
        <v>296</v>
      </c>
      <c r="P873">
        <v>3.6401774731020641E-3</v>
      </c>
      <c r="Q873" t="s">
        <v>164</v>
      </c>
    </row>
    <row r="874" spans="9:17" x14ac:dyDescent="0.45">
      <c r="I874" t="s">
        <v>192</v>
      </c>
      <c r="J874" t="s">
        <v>297</v>
      </c>
      <c r="K874">
        <v>0</v>
      </c>
      <c r="L874" t="s">
        <v>164</v>
      </c>
      <c r="N874" t="s">
        <v>225</v>
      </c>
      <c r="O874" t="s">
        <v>297</v>
      </c>
      <c r="P874">
        <v>2.5008243431849025E-2</v>
      </c>
      <c r="Q874" t="s">
        <v>164</v>
      </c>
    </row>
    <row r="875" spans="9:17" x14ac:dyDescent="0.45">
      <c r="I875" t="s">
        <v>193</v>
      </c>
      <c r="J875" t="s">
        <v>163</v>
      </c>
      <c r="K875">
        <v>1.3653054340530222E-2</v>
      </c>
      <c r="L875" t="s">
        <v>164</v>
      </c>
      <c r="N875" t="s">
        <v>226</v>
      </c>
      <c r="O875" t="s">
        <v>163</v>
      </c>
      <c r="P875">
        <v>4.5275054087963215E-2</v>
      </c>
      <c r="Q875" t="s">
        <v>164</v>
      </c>
    </row>
    <row r="876" spans="9:17" x14ac:dyDescent="0.45">
      <c r="I876" t="s">
        <v>193</v>
      </c>
      <c r="J876" t="s">
        <v>165</v>
      </c>
      <c r="K876">
        <v>1.0397910186984953E-2</v>
      </c>
      <c r="L876" t="s">
        <v>164</v>
      </c>
      <c r="N876" t="s">
        <v>226</v>
      </c>
      <c r="O876" t="s">
        <v>165</v>
      </c>
      <c r="P876">
        <v>5.8861489030946172E-3</v>
      </c>
      <c r="Q876" t="s">
        <v>164</v>
      </c>
    </row>
    <row r="877" spans="9:17" x14ac:dyDescent="0.45">
      <c r="I877" t="s">
        <v>193</v>
      </c>
      <c r="J877" t="s">
        <v>166</v>
      </c>
      <c r="K877">
        <v>1.1439537286165206E-2</v>
      </c>
      <c r="L877" t="s">
        <v>164</v>
      </c>
      <c r="N877" t="s">
        <v>226</v>
      </c>
      <c r="O877" t="s">
        <v>166</v>
      </c>
      <c r="P877">
        <v>5.880055056848057E-3</v>
      </c>
      <c r="Q877" t="s">
        <v>164</v>
      </c>
    </row>
    <row r="878" spans="9:17" x14ac:dyDescent="0.45">
      <c r="I878" t="s">
        <v>193</v>
      </c>
      <c r="J878" t="s">
        <v>262</v>
      </c>
      <c r="K878">
        <v>5.7749675092269907E-2</v>
      </c>
      <c r="L878" t="s">
        <v>164</v>
      </c>
      <c r="N878" t="s">
        <v>226</v>
      </c>
      <c r="O878" t="s">
        <v>262</v>
      </c>
      <c r="P878">
        <v>2.4436757772313304E-2</v>
      </c>
      <c r="Q878" t="s">
        <v>164</v>
      </c>
    </row>
    <row r="879" spans="9:17" x14ac:dyDescent="0.45">
      <c r="I879" t="s">
        <v>193</v>
      </c>
      <c r="J879" t="s">
        <v>263</v>
      </c>
      <c r="K879">
        <v>5.5054249477993408E-3</v>
      </c>
      <c r="L879" t="s">
        <v>164</v>
      </c>
      <c r="N879" t="s">
        <v>226</v>
      </c>
      <c r="O879" t="s">
        <v>263</v>
      </c>
      <c r="P879">
        <v>3.4908232305791761E-3</v>
      </c>
      <c r="Q879" t="s">
        <v>164</v>
      </c>
    </row>
    <row r="880" spans="9:17" x14ac:dyDescent="0.45">
      <c r="I880" t="s">
        <v>193</v>
      </c>
      <c r="J880" t="s">
        <v>264</v>
      </c>
      <c r="K880">
        <v>1.7349860000681529E-3</v>
      </c>
      <c r="L880" t="s">
        <v>164</v>
      </c>
      <c r="N880" t="s">
        <v>226</v>
      </c>
      <c r="O880" t="s">
        <v>264</v>
      </c>
      <c r="P880">
        <v>4.1804293734071109E-2</v>
      </c>
      <c r="Q880" t="s">
        <v>164</v>
      </c>
    </row>
    <row r="881" spans="9:17" x14ac:dyDescent="0.45">
      <c r="I881" t="s">
        <v>193</v>
      </c>
      <c r="J881" t="s">
        <v>167</v>
      </c>
      <c r="K881">
        <v>1.1100215516361913E-2</v>
      </c>
      <c r="L881" t="s">
        <v>164</v>
      </c>
      <c r="N881" t="s">
        <v>226</v>
      </c>
      <c r="O881" t="s">
        <v>167</v>
      </c>
      <c r="P881">
        <v>4.819621479210736E-2</v>
      </c>
      <c r="Q881" t="s">
        <v>164</v>
      </c>
    </row>
    <row r="882" spans="9:17" x14ac:dyDescent="0.45">
      <c r="I882" t="s">
        <v>193</v>
      </c>
      <c r="J882" t="s">
        <v>168</v>
      </c>
      <c r="K882">
        <v>8.6721591786020815E-3</v>
      </c>
      <c r="L882" t="s">
        <v>164</v>
      </c>
      <c r="N882" t="s">
        <v>226</v>
      </c>
      <c r="O882" t="s">
        <v>168</v>
      </c>
      <c r="P882">
        <v>6.8466634035825244E-3</v>
      </c>
      <c r="Q882" t="s">
        <v>164</v>
      </c>
    </row>
    <row r="883" spans="9:17" x14ac:dyDescent="0.45">
      <c r="I883" t="s">
        <v>193</v>
      </c>
      <c r="J883" t="s">
        <v>169</v>
      </c>
      <c r="K883">
        <v>9.9331121881477743E-3</v>
      </c>
      <c r="L883" t="s">
        <v>164</v>
      </c>
      <c r="N883" t="s">
        <v>226</v>
      </c>
      <c r="O883" t="s">
        <v>169</v>
      </c>
      <c r="P883">
        <v>6.6915340059822354E-3</v>
      </c>
      <c r="Q883" t="s">
        <v>164</v>
      </c>
    </row>
    <row r="884" spans="9:17" x14ac:dyDescent="0.45">
      <c r="I884" t="s">
        <v>193</v>
      </c>
      <c r="J884" t="s">
        <v>265</v>
      </c>
      <c r="K884">
        <v>5.2533223210759802E-2</v>
      </c>
      <c r="L884" t="s">
        <v>164</v>
      </c>
      <c r="N884" t="s">
        <v>226</v>
      </c>
      <c r="O884" t="s">
        <v>265</v>
      </c>
      <c r="P884">
        <v>2.5922178313710888E-2</v>
      </c>
      <c r="Q884" t="s">
        <v>164</v>
      </c>
    </row>
    <row r="885" spans="9:17" x14ac:dyDescent="0.45">
      <c r="I885" t="s">
        <v>193</v>
      </c>
      <c r="J885" t="s">
        <v>266</v>
      </c>
      <c r="K885">
        <v>5.3583691312018775E-3</v>
      </c>
      <c r="L885" t="s">
        <v>164</v>
      </c>
      <c r="N885" t="s">
        <v>226</v>
      </c>
      <c r="O885" t="s">
        <v>266</v>
      </c>
      <c r="P885">
        <v>4.0771281634422027E-3</v>
      </c>
      <c r="Q885" t="s">
        <v>164</v>
      </c>
    </row>
    <row r="886" spans="9:17" x14ac:dyDescent="0.45">
      <c r="I886" t="s">
        <v>193</v>
      </c>
      <c r="J886" t="s">
        <v>267</v>
      </c>
      <c r="K886">
        <v>3.605710158255092E-3</v>
      </c>
      <c r="L886" t="s">
        <v>164</v>
      </c>
      <c r="N886" t="s">
        <v>226</v>
      </c>
      <c r="O886" t="s">
        <v>267</v>
      </c>
      <c r="P886">
        <v>4.4341848310285835E-2</v>
      </c>
      <c r="Q886" t="s">
        <v>164</v>
      </c>
    </row>
    <row r="887" spans="9:17" x14ac:dyDescent="0.45">
      <c r="I887" t="s">
        <v>193</v>
      </c>
      <c r="J887" t="s">
        <v>170</v>
      </c>
      <c r="K887">
        <v>1.0216183386702004E-2</v>
      </c>
      <c r="L887" t="s">
        <v>164</v>
      </c>
      <c r="N887" t="s">
        <v>226</v>
      </c>
      <c r="O887" t="s">
        <v>170</v>
      </c>
      <c r="P887">
        <v>6.2778770277336429E-2</v>
      </c>
      <c r="Q887" t="s">
        <v>164</v>
      </c>
    </row>
    <row r="888" spans="9:17" x14ac:dyDescent="0.45">
      <c r="I888" t="s">
        <v>193</v>
      </c>
      <c r="J888" t="s">
        <v>171</v>
      </c>
      <c r="K888">
        <v>8.2184897010449173E-3</v>
      </c>
      <c r="L888" t="s">
        <v>164</v>
      </c>
      <c r="N888" t="s">
        <v>226</v>
      </c>
      <c r="O888" t="s">
        <v>171</v>
      </c>
      <c r="P888">
        <v>7.5716002718315282E-3</v>
      </c>
      <c r="Q888" t="s">
        <v>164</v>
      </c>
    </row>
    <row r="889" spans="9:17" x14ac:dyDescent="0.45">
      <c r="I889" t="s">
        <v>193</v>
      </c>
      <c r="J889" t="s">
        <v>172</v>
      </c>
      <c r="K889">
        <v>9.5476084129467037E-3</v>
      </c>
      <c r="L889" t="s">
        <v>164</v>
      </c>
      <c r="N889" t="s">
        <v>226</v>
      </c>
      <c r="O889" t="s">
        <v>172</v>
      </c>
      <c r="P889">
        <v>7.1196101458300947E-3</v>
      </c>
      <c r="Q889" t="s">
        <v>164</v>
      </c>
    </row>
    <row r="890" spans="9:17" x14ac:dyDescent="0.45">
      <c r="I890" t="s">
        <v>193</v>
      </c>
      <c r="J890" t="s">
        <v>268</v>
      </c>
      <c r="K890">
        <v>5.4883205790073976E-2</v>
      </c>
      <c r="L890" t="s">
        <v>164</v>
      </c>
      <c r="N890" t="s">
        <v>226</v>
      </c>
      <c r="O890" t="s">
        <v>268</v>
      </c>
      <c r="P890">
        <v>2.8036187197107328E-2</v>
      </c>
      <c r="Q890" t="s">
        <v>164</v>
      </c>
    </row>
    <row r="891" spans="9:17" x14ac:dyDescent="0.45">
      <c r="I891" t="s">
        <v>193</v>
      </c>
      <c r="J891" t="s">
        <v>269</v>
      </c>
      <c r="K891">
        <v>5.3156599392427221E-3</v>
      </c>
      <c r="L891" t="s">
        <v>164</v>
      </c>
      <c r="N891" t="s">
        <v>226</v>
      </c>
      <c r="O891" t="s">
        <v>269</v>
      </c>
      <c r="P891">
        <v>4.9327803842141478E-3</v>
      </c>
      <c r="Q891" t="s">
        <v>164</v>
      </c>
    </row>
    <row r="892" spans="9:17" x14ac:dyDescent="0.45">
      <c r="I892" t="s">
        <v>193</v>
      </c>
      <c r="J892" t="s">
        <v>270</v>
      </c>
      <c r="K892">
        <v>3.134512999215691E-3</v>
      </c>
      <c r="L892" t="s">
        <v>164</v>
      </c>
      <c r="N892" t="s">
        <v>226</v>
      </c>
      <c r="O892" t="s">
        <v>270</v>
      </c>
      <c r="P892">
        <v>5.48374563470281E-2</v>
      </c>
      <c r="Q892" t="s">
        <v>164</v>
      </c>
    </row>
    <row r="893" spans="9:17" x14ac:dyDescent="0.45">
      <c r="I893" t="s">
        <v>193</v>
      </c>
      <c r="J893" t="s">
        <v>173</v>
      </c>
      <c r="K893">
        <v>1.7610258632814711E-2</v>
      </c>
      <c r="L893" t="s">
        <v>164</v>
      </c>
      <c r="N893" t="s">
        <v>226</v>
      </c>
      <c r="O893" t="s">
        <v>173</v>
      </c>
      <c r="P893">
        <v>7.8745336609438277E-2</v>
      </c>
      <c r="Q893" t="s">
        <v>164</v>
      </c>
    </row>
    <row r="894" spans="9:17" x14ac:dyDescent="0.45">
      <c r="I894" t="s">
        <v>193</v>
      </c>
      <c r="J894" t="s">
        <v>174</v>
      </c>
      <c r="K894">
        <v>1.2624499287251652E-2</v>
      </c>
      <c r="L894" t="s">
        <v>164</v>
      </c>
      <c r="N894" t="s">
        <v>226</v>
      </c>
      <c r="O894" t="s">
        <v>174</v>
      </c>
      <c r="P894">
        <v>9.7549509201538508E-3</v>
      </c>
      <c r="Q894" t="s">
        <v>164</v>
      </c>
    </row>
    <row r="895" spans="9:17" x14ac:dyDescent="0.45">
      <c r="I895" t="s">
        <v>193</v>
      </c>
      <c r="J895" t="s">
        <v>175</v>
      </c>
      <c r="K895">
        <v>1.5151891202630639E-2</v>
      </c>
      <c r="L895" t="s">
        <v>164</v>
      </c>
      <c r="N895" t="s">
        <v>226</v>
      </c>
      <c r="O895" t="s">
        <v>175</v>
      </c>
      <c r="P895">
        <v>9.0254994155845383E-3</v>
      </c>
      <c r="Q895" t="s">
        <v>164</v>
      </c>
    </row>
    <row r="896" spans="9:17" x14ac:dyDescent="0.45">
      <c r="I896" t="s">
        <v>193</v>
      </c>
      <c r="J896" t="s">
        <v>271</v>
      </c>
      <c r="K896">
        <v>8.9000074912857635E-2</v>
      </c>
      <c r="L896" t="s">
        <v>164</v>
      </c>
      <c r="N896" t="s">
        <v>226</v>
      </c>
      <c r="O896" t="s">
        <v>271</v>
      </c>
      <c r="P896">
        <v>3.2788573012796085E-2</v>
      </c>
      <c r="Q896" t="s">
        <v>164</v>
      </c>
    </row>
    <row r="897" spans="9:17" x14ac:dyDescent="0.45">
      <c r="I897" t="s">
        <v>193</v>
      </c>
      <c r="J897" t="s">
        <v>272</v>
      </c>
      <c r="K897">
        <v>7.4680213891182819E-3</v>
      </c>
      <c r="L897" t="s">
        <v>164</v>
      </c>
      <c r="N897" t="s">
        <v>226</v>
      </c>
      <c r="O897" t="s">
        <v>272</v>
      </c>
      <c r="P897">
        <v>5.9071664967155482E-3</v>
      </c>
      <c r="Q897" t="s">
        <v>164</v>
      </c>
    </row>
    <row r="898" spans="9:17" x14ac:dyDescent="0.45">
      <c r="I898" t="s">
        <v>193</v>
      </c>
      <c r="J898" t="s">
        <v>273</v>
      </c>
      <c r="K898">
        <v>3.9997900369590613E-3</v>
      </c>
      <c r="L898" t="s">
        <v>164</v>
      </c>
      <c r="N898" t="s">
        <v>226</v>
      </c>
      <c r="O898" t="s">
        <v>273</v>
      </c>
      <c r="P898">
        <v>6.0642844702267738E-2</v>
      </c>
      <c r="Q898" t="s">
        <v>164</v>
      </c>
    </row>
    <row r="899" spans="9:17" x14ac:dyDescent="0.45">
      <c r="I899" t="s">
        <v>193</v>
      </c>
      <c r="J899" t="s">
        <v>274</v>
      </c>
      <c r="K899">
        <v>1.5841306241086171E-2</v>
      </c>
      <c r="L899" t="s">
        <v>164</v>
      </c>
      <c r="N899" t="s">
        <v>226</v>
      </c>
      <c r="O899" t="s">
        <v>274</v>
      </c>
      <c r="P899">
        <v>3.9946171348003254E-2</v>
      </c>
      <c r="Q899" t="s">
        <v>164</v>
      </c>
    </row>
    <row r="900" spans="9:17" x14ac:dyDescent="0.45">
      <c r="I900" t="s">
        <v>193</v>
      </c>
      <c r="J900" t="s">
        <v>275</v>
      </c>
      <c r="K900">
        <v>1.1071148343712112E-2</v>
      </c>
      <c r="L900" t="s">
        <v>164</v>
      </c>
      <c r="N900" t="s">
        <v>226</v>
      </c>
      <c r="O900" t="s">
        <v>275</v>
      </c>
      <c r="P900">
        <v>4.23147198748078E-3</v>
      </c>
      <c r="Q900" t="s">
        <v>164</v>
      </c>
    </row>
    <row r="901" spans="9:17" x14ac:dyDescent="0.45">
      <c r="I901" t="s">
        <v>193</v>
      </c>
      <c r="J901" t="s">
        <v>276</v>
      </c>
      <c r="K901">
        <v>1.3542509335983544E-2</v>
      </c>
      <c r="L901" t="s">
        <v>164</v>
      </c>
      <c r="N901" t="s">
        <v>226</v>
      </c>
      <c r="O901" t="s">
        <v>276</v>
      </c>
      <c r="P901">
        <v>3.9223001138268552E-3</v>
      </c>
      <c r="Q901" t="s">
        <v>164</v>
      </c>
    </row>
    <row r="902" spans="9:17" x14ac:dyDescent="0.45">
      <c r="I902" t="s">
        <v>193</v>
      </c>
      <c r="J902" t="s">
        <v>277</v>
      </c>
      <c r="K902">
        <v>8.2685892425636232E-2</v>
      </c>
      <c r="L902" t="s">
        <v>164</v>
      </c>
      <c r="N902" t="s">
        <v>226</v>
      </c>
      <c r="O902" t="s">
        <v>277</v>
      </c>
      <c r="P902">
        <v>1.538887153469292E-2</v>
      </c>
      <c r="Q902" t="s">
        <v>164</v>
      </c>
    </row>
    <row r="903" spans="9:17" x14ac:dyDescent="0.45">
      <c r="I903" t="s">
        <v>193</v>
      </c>
      <c r="J903" t="s">
        <v>278</v>
      </c>
      <c r="K903">
        <v>7.3219382014011562E-3</v>
      </c>
      <c r="L903" t="s">
        <v>164</v>
      </c>
      <c r="N903" t="s">
        <v>226</v>
      </c>
      <c r="O903" t="s">
        <v>278</v>
      </c>
      <c r="P903">
        <v>3.2491769895075769E-3</v>
      </c>
      <c r="Q903" t="s">
        <v>164</v>
      </c>
    </row>
    <row r="904" spans="9:17" x14ac:dyDescent="0.45">
      <c r="I904" t="s">
        <v>193</v>
      </c>
      <c r="J904" t="s">
        <v>279</v>
      </c>
      <c r="K904">
        <v>4.1567302097724971E-3</v>
      </c>
      <c r="L904" t="s">
        <v>164</v>
      </c>
      <c r="N904" t="s">
        <v>226</v>
      </c>
      <c r="O904" t="s">
        <v>279</v>
      </c>
      <c r="P904">
        <v>3.2807888893645283E-2</v>
      </c>
      <c r="Q904" t="s">
        <v>164</v>
      </c>
    </row>
    <row r="905" spans="9:17" x14ac:dyDescent="0.45">
      <c r="I905" t="s">
        <v>193</v>
      </c>
      <c r="J905" t="s">
        <v>280</v>
      </c>
      <c r="K905">
        <v>1.903920064752462E-2</v>
      </c>
      <c r="L905" t="s">
        <v>164</v>
      </c>
      <c r="N905" t="s">
        <v>226</v>
      </c>
      <c r="O905" t="s">
        <v>280</v>
      </c>
      <c r="P905">
        <v>2.2159885072041287E-2</v>
      </c>
      <c r="Q905" t="s">
        <v>164</v>
      </c>
    </row>
    <row r="906" spans="9:17" x14ac:dyDescent="0.45">
      <c r="I906" t="s">
        <v>193</v>
      </c>
      <c r="J906" t="s">
        <v>281</v>
      </c>
      <c r="K906">
        <v>1.443063554345923E-2</v>
      </c>
      <c r="L906" t="s">
        <v>164</v>
      </c>
      <c r="N906" t="s">
        <v>226</v>
      </c>
      <c r="O906" t="s">
        <v>281</v>
      </c>
      <c r="P906">
        <v>2.0667105900610714E-3</v>
      </c>
      <c r="Q906" t="s">
        <v>164</v>
      </c>
    </row>
    <row r="907" spans="9:17" x14ac:dyDescent="0.45">
      <c r="I907" t="s">
        <v>193</v>
      </c>
      <c r="J907" t="s">
        <v>282</v>
      </c>
      <c r="K907">
        <v>1.6337892638342014E-2</v>
      </c>
      <c r="L907" t="s">
        <v>164</v>
      </c>
      <c r="N907" t="s">
        <v>226</v>
      </c>
      <c r="O907" t="s">
        <v>282</v>
      </c>
      <c r="P907">
        <v>1.969203451457287E-3</v>
      </c>
      <c r="Q907" t="s">
        <v>164</v>
      </c>
    </row>
    <row r="908" spans="9:17" x14ac:dyDescent="0.45">
      <c r="I908" t="s">
        <v>193</v>
      </c>
      <c r="J908" t="s">
        <v>283</v>
      </c>
      <c r="K908">
        <v>9.6695290218460545E-2</v>
      </c>
      <c r="L908" t="s">
        <v>164</v>
      </c>
      <c r="N908" t="s">
        <v>226</v>
      </c>
      <c r="O908" t="s">
        <v>283</v>
      </c>
      <c r="P908">
        <v>7.7221449330629223E-3</v>
      </c>
      <c r="Q908" t="s">
        <v>164</v>
      </c>
    </row>
    <row r="909" spans="9:17" x14ac:dyDescent="0.45">
      <c r="I909" t="s">
        <v>193</v>
      </c>
      <c r="J909" t="s">
        <v>284</v>
      </c>
      <c r="K909">
        <v>8.2724670672904149E-3</v>
      </c>
      <c r="L909" t="s">
        <v>164</v>
      </c>
      <c r="N909" t="s">
        <v>226</v>
      </c>
      <c r="O909" t="s">
        <v>284</v>
      </c>
      <c r="P909">
        <v>1.7026227249032756E-3</v>
      </c>
      <c r="Q909" t="s">
        <v>164</v>
      </c>
    </row>
    <row r="910" spans="9:17" x14ac:dyDescent="0.45">
      <c r="I910" t="s">
        <v>193</v>
      </c>
      <c r="J910" t="s">
        <v>285</v>
      </c>
      <c r="K910">
        <v>3.9985434411223004E-3</v>
      </c>
      <c r="L910" t="s">
        <v>164</v>
      </c>
      <c r="N910" t="s">
        <v>226</v>
      </c>
      <c r="O910" t="s">
        <v>285</v>
      </c>
      <c r="P910">
        <v>1.8585319930500055E-2</v>
      </c>
      <c r="Q910" t="s">
        <v>164</v>
      </c>
    </row>
    <row r="911" spans="9:17" x14ac:dyDescent="0.45">
      <c r="I911" t="s">
        <v>193</v>
      </c>
      <c r="J911" t="s">
        <v>286</v>
      </c>
      <c r="K911">
        <v>2.8169937844360182E-2</v>
      </c>
      <c r="L911" t="s">
        <v>164</v>
      </c>
      <c r="N911" t="s">
        <v>226</v>
      </c>
      <c r="O911" t="s">
        <v>286</v>
      </c>
      <c r="P911">
        <v>4.7985917581717601E-2</v>
      </c>
      <c r="Q911" t="s">
        <v>164</v>
      </c>
    </row>
    <row r="912" spans="9:17" x14ac:dyDescent="0.45">
      <c r="I912" t="s">
        <v>193</v>
      </c>
      <c r="J912" t="s">
        <v>287</v>
      </c>
      <c r="K912">
        <v>1.8704312411051197E-2</v>
      </c>
      <c r="L912" t="s">
        <v>164</v>
      </c>
      <c r="N912" t="s">
        <v>226</v>
      </c>
      <c r="O912" t="s">
        <v>287</v>
      </c>
      <c r="P912">
        <v>5.7942162873448012E-3</v>
      </c>
      <c r="Q912" t="s">
        <v>164</v>
      </c>
    </row>
    <row r="913" spans="9:17" x14ac:dyDescent="0.45">
      <c r="I913" t="s">
        <v>193</v>
      </c>
      <c r="J913" t="s">
        <v>288</v>
      </c>
      <c r="K913">
        <v>2.0075380467232069E-2</v>
      </c>
      <c r="L913" t="s">
        <v>164</v>
      </c>
      <c r="N913" t="s">
        <v>226</v>
      </c>
      <c r="O913" t="s">
        <v>288</v>
      </c>
      <c r="P913">
        <v>5.2141658273995072E-3</v>
      </c>
      <c r="Q913" t="s">
        <v>164</v>
      </c>
    </row>
    <row r="914" spans="9:17" x14ac:dyDescent="0.45">
      <c r="I914" t="s">
        <v>193</v>
      </c>
      <c r="J914" t="s">
        <v>289</v>
      </c>
      <c r="K914">
        <v>0.10769717357653237</v>
      </c>
      <c r="L914" t="s">
        <v>164</v>
      </c>
      <c r="N914" t="s">
        <v>226</v>
      </c>
      <c r="O914" t="s">
        <v>289</v>
      </c>
      <c r="P914">
        <v>1.5383278196310029E-2</v>
      </c>
      <c r="Q914" t="s">
        <v>164</v>
      </c>
    </row>
    <row r="915" spans="9:17" x14ac:dyDescent="0.45">
      <c r="I915" t="s">
        <v>193</v>
      </c>
      <c r="J915" t="s">
        <v>290</v>
      </c>
      <c r="K915">
        <v>8.3042871143145288E-3</v>
      </c>
      <c r="L915" t="s">
        <v>164</v>
      </c>
      <c r="N915" t="s">
        <v>226</v>
      </c>
      <c r="O915" t="s">
        <v>290</v>
      </c>
      <c r="P915">
        <v>3.4968117922513598E-3</v>
      </c>
      <c r="Q915" t="s">
        <v>164</v>
      </c>
    </row>
    <row r="916" spans="9:17" x14ac:dyDescent="0.45">
      <c r="I916" t="s">
        <v>193</v>
      </c>
      <c r="J916" t="s">
        <v>291</v>
      </c>
      <c r="K916">
        <v>0</v>
      </c>
      <c r="L916" t="s">
        <v>164</v>
      </c>
      <c r="N916" t="s">
        <v>226</v>
      </c>
      <c r="O916" t="s">
        <v>291</v>
      </c>
      <c r="P916">
        <v>4.1454097319547446E-2</v>
      </c>
      <c r="Q916" t="s">
        <v>164</v>
      </c>
    </row>
    <row r="917" spans="9:17" x14ac:dyDescent="0.45">
      <c r="I917" t="s">
        <v>193</v>
      </c>
      <c r="J917" t="s">
        <v>292</v>
      </c>
      <c r="K917">
        <v>1.3153632616471827E-2</v>
      </c>
      <c r="L917" t="s">
        <v>164</v>
      </c>
      <c r="N917" t="s">
        <v>226</v>
      </c>
      <c r="O917" t="s">
        <v>292</v>
      </c>
      <c r="P917">
        <v>3.4807808054099248E-2</v>
      </c>
      <c r="Q917" t="s">
        <v>164</v>
      </c>
    </row>
    <row r="918" spans="9:17" x14ac:dyDescent="0.45">
      <c r="I918" t="s">
        <v>193</v>
      </c>
      <c r="J918" t="s">
        <v>293</v>
      </c>
      <c r="K918">
        <v>9.9232212508212798E-3</v>
      </c>
      <c r="L918" t="s">
        <v>164</v>
      </c>
      <c r="N918" t="s">
        <v>226</v>
      </c>
      <c r="O918" t="s">
        <v>293</v>
      </c>
      <c r="P918">
        <v>5.3088854362707645E-3</v>
      </c>
      <c r="Q918" t="s">
        <v>164</v>
      </c>
    </row>
    <row r="919" spans="9:17" x14ac:dyDescent="0.45">
      <c r="I919" t="s">
        <v>193</v>
      </c>
      <c r="J919" t="s">
        <v>294</v>
      </c>
      <c r="K919">
        <v>1.0640583922857185E-2</v>
      </c>
      <c r="L919" t="s">
        <v>164</v>
      </c>
      <c r="N919" t="s">
        <v>226</v>
      </c>
      <c r="O919" t="s">
        <v>294</v>
      </c>
      <c r="P919">
        <v>5.1539121999610799E-3</v>
      </c>
      <c r="Q919" t="s">
        <v>164</v>
      </c>
    </row>
    <row r="920" spans="9:17" x14ac:dyDescent="0.45">
      <c r="I920" t="s">
        <v>193</v>
      </c>
      <c r="J920" t="s">
        <v>295</v>
      </c>
      <c r="K920">
        <v>5.6070540958722499E-2</v>
      </c>
      <c r="L920" t="s">
        <v>164</v>
      </c>
      <c r="N920" t="s">
        <v>226</v>
      </c>
      <c r="O920" t="s">
        <v>295</v>
      </c>
      <c r="P920">
        <v>2.2981627052018505E-2</v>
      </c>
      <c r="Q920" t="s">
        <v>164</v>
      </c>
    </row>
    <row r="921" spans="9:17" x14ac:dyDescent="0.45">
      <c r="I921" t="s">
        <v>193</v>
      </c>
      <c r="J921" t="s">
        <v>296</v>
      </c>
      <c r="K921">
        <v>5.0138025958426074E-3</v>
      </c>
      <c r="L921" t="s">
        <v>164</v>
      </c>
      <c r="N921" t="s">
        <v>226</v>
      </c>
      <c r="O921" t="s">
        <v>296</v>
      </c>
      <c r="P921">
        <v>3.6969541587654198E-3</v>
      </c>
      <c r="Q921" t="s">
        <v>164</v>
      </c>
    </row>
    <row r="922" spans="9:17" x14ac:dyDescent="0.45">
      <c r="I922" t="s">
        <v>193</v>
      </c>
      <c r="J922" t="s">
        <v>297</v>
      </c>
      <c r="K922">
        <v>0</v>
      </c>
      <c r="L922" t="s">
        <v>164</v>
      </c>
      <c r="N922" t="s">
        <v>226</v>
      </c>
      <c r="O922" t="s">
        <v>297</v>
      </c>
      <c r="P922">
        <v>2.9981082970850198E-2</v>
      </c>
      <c r="Q922" t="s">
        <v>164</v>
      </c>
    </row>
    <row r="923" spans="9:17" x14ac:dyDescent="0.45">
      <c r="I923" t="s">
        <v>194</v>
      </c>
      <c r="J923" t="s">
        <v>163</v>
      </c>
      <c r="K923">
        <v>1.3265929335789474E-2</v>
      </c>
      <c r="L923" t="s">
        <v>164</v>
      </c>
      <c r="N923" t="s">
        <v>227</v>
      </c>
      <c r="O923" t="s">
        <v>163</v>
      </c>
      <c r="P923">
        <v>1.4393192335629124E-2</v>
      </c>
      <c r="Q923" t="s">
        <v>164</v>
      </c>
    </row>
    <row r="924" spans="9:17" x14ac:dyDescent="0.45">
      <c r="I924" t="s">
        <v>194</v>
      </c>
      <c r="J924" t="s">
        <v>165</v>
      </c>
      <c r="K924">
        <v>9.0199333016185764E-3</v>
      </c>
      <c r="L924" t="s">
        <v>164</v>
      </c>
      <c r="N924" t="s">
        <v>227</v>
      </c>
      <c r="O924" t="s">
        <v>165</v>
      </c>
      <c r="P924">
        <v>2.7119122267129925E-3</v>
      </c>
      <c r="Q924" t="s">
        <v>164</v>
      </c>
    </row>
    <row r="925" spans="9:17" x14ac:dyDescent="0.45">
      <c r="I925" t="s">
        <v>194</v>
      </c>
      <c r="J925" t="s">
        <v>166</v>
      </c>
      <c r="K925">
        <v>9.577487749300213E-3</v>
      </c>
      <c r="L925" t="s">
        <v>164</v>
      </c>
      <c r="N925" t="s">
        <v>227</v>
      </c>
      <c r="O925" t="s">
        <v>166</v>
      </c>
      <c r="P925">
        <v>3.3836002049462675E-3</v>
      </c>
      <c r="Q925" t="s">
        <v>164</v>
      </c>
    </row>
    <row r="926" spans="9:17" x14ac:dyDescent="0.45">
      <c r="I926" t="s">
        <v>194</v>
      </c>
      <c r="J926" t="s">
        <v>262</v>
      </c>
      <c r="K926">
        <v>4.9235508001538274E-2</v>
      </c>
      <c r="L926" t="s">
        <v>164</v>
      </c>
      <c r="N926" t="s">
        <v>227</v>
      </c>
      <c r="O926" t="s">
        <v>262</v>
      </c>
      <c r="P926">
        <v>2.4291105750675696E-2</v>
      </c>
      <c r="Q926" t="s">
        <v>164</v>
      </c>
    </row>
    <row r="927" spans="9:17" x14ac:dyDescent="0.45">
      <c r="I927" t="s">
        <v>194</v>
      </c>
      <c r="J927" t="s">
        <v>263</v>
      </c>
      <c r="K927">
        <v>4.382093735411258E-3</v>
      </c>
      <c r="L927" t="s">
        <v>164</v>
      </c>
      <c r="N927" t="s">
        <v>227</v>
      </c>
      <c r="O927" t="s">
        <v>263</v>
      </c>
      <c r="P927">
        <v>1.063706617424549E-2</v>
      </c>
      <c r="Q927" t="s">
        <v>164</v>
      </c>
    </row>
    <row r="928" spans="9:17" x14ac:dyDescent="0.45">
      <c r="I928" t="s">
        <v>194</v>
      </c>
      <c r="J928" t="s">
        <v>264</v>
      </c>
      <c r="K928">
        <v>0</v>
      </c>
      <c r="L928" t="s">
        <v>164</v>
      </c>
      <c r="N928" t="s">
        <v>227</v>
      </c>
      <c r="O928" t="s">
        <v>264</v>
      </c>
      <c r="P928">
        <v>3.511204591820944E-2</v>
      </c>
      <c r="Q928" t="s">
        <v>164</v>
      </c>
    </row>
    <row r="929" spans="9:17" x14ac:dyDescent="0.45">
      <c r="I929" t="s">
        <v>194</v>
      </c>
      <c r="J929" t="s">
        <v>167</v>
      </c>
      <c r="K929">
        <v>1.1273888658321225E-2</v>
      </c>
      <c r="L929" t="s">
        <v>164</v>
      </c>
      <c r="N929" t="s">
        <v>227</v>
      </c>
      <c r="O929" t="s">
        <v>167</v>
      </c>
      <c r="P929">
        <v>3.3791849896523299E-2</v>
      </c>
      <c r="Q929" t="s">
        <v>164</v>
      </c>
    </row>
    <row r="930" spans="9:17" x14ac:dyDescent="0.45">
      <c r="I930" t="s">
        <v>194</v>
      </c>
      <c r="J930" t="s">
        <v>168</v>
      </c>
      <c r="K930">
        <v>7.766175954473032E-3</v>
      </c>
      <c r="L930" t="s">
        <v>164</v>
      </c>
      <c r="N930" t="s">
        <v>227</v>
      </c>
      <c r="O930" t="s">
        <v>168</v>
      </c>
      <c r="P930">
        <v>5.0759614880870876E-3</v>
      </c>
      <c r="Q930" t="s">
        <v>164</v>
      </c>
    </row>
    <row r="931" spans="9:17" x14ac:dyDescent="0.45">
      <c r="I931" t="s">
        <v>194</v>
      </c>
      <c r="J931" t="s">
        <v>169</v>
      </c>
      <c r="K931">
        <v>8.3474472375320401E-3</v>
      </c>
      <c r="L931" t="s">
        <v>164</v>
      </c>
      <c r="N931" t="s">
        <v>227</v>
      </c>
      <c r="O931" t="s">
        <v>169</v>
      </c>
      <c r="P931">
        <v>4.4778222616509433E-3</v>
      </c>
      <c r="Q931" t="s">
        <v>164</v>
      </c>
    </row>
    <row r="932" spans="9:17" x14ac:dyDescent="0.45">
      <c r="I932" t="s">
        <v>194</v>
      </c>
      <c r="J932" t="s">
        <v>265</v>
      </c>
      <c r="K932">
        <v>4.5501832077258275E-2</v>
      </c>
      <c r="L932" t="s">
        <v>164</v>
      </c>
      <c r="N932" t="s">
        <v>227</v>
      </c>
      <c r="O932" t="s">
        <v>265</v>
      </c>
      <c r="P932">
        <v>2.5026193530002325E-2</v>
      </c>
      <c r="Q932" t="s">
        <v>164</v>
      </c>
    </row>
    <row r="933" spans="9:17" x14ac:dyDescent="0.45">
      <c r="I933" t="s">
        <v>194</v>
      </c>
      <c r="J933" t="s">
        <v>266</v>
      </c>
      <c r="K933">
        <v>3.9492029569737847E-3</v>
      </c>
      <c r="L933" t="s">
        <v>164</v>
      </c>
      <c r="N933" t="s">
        <v>227</v>
      </c>
      <c r="O933" t="s">
        <v>266</v>
      </c>
      <c r="P933">
        <v>1.1379330780930797E-2</v>
      </c>
      <c r="Q933" t="s">
        <v>164</v>
      </c>
    </row>
    <row r="934" spans="9:17" x14ac:dyDescent="0.45">
      <c r="I934" t="s">
        <v>194</v>
      </c>
      <c r="J934" t="s">
        <v>267</v>
      </c>
      <c r="K934">
        <v>0</v>
      </c>
      <c r="L934" t="s">
        <v>164</v>
      </c>
      <c r="N934" t="s">
        <v>227</v>
      </c>
      <c r="O934" t="s">
        <v>267</v>
      </c>
      <c r="P934">
        <v>4.6229449779495328E-2</v>
      </c>
      <c r="Q934" t="s">
        <v>164</v>
      </c>
    </row>
    <row r="935" spans="9:17" x14ac:dyDescent="0.45">
      <c r="I935" t="s">
        <v>194</v>
      </c>
      <c r="J935" t="s">
        <v>170</v>
      </c>
      <c r="K935">
        <v>1.6350039464894633E-2</v>
      </c>
      <c r="L935" t="s">
        <v>164</v>
      </c>
      <c r="N935" t="s">
        <v>227</v>
      </c>
      <c r="O935" t="s">
        <v>170</v>
      </c>
      <c r="P935">
        <v>6.7100868863043242E-2</v>
      </c>
      <c r="Q935" t="s">
        <v>164</v>
      </c>
    </row>
    <row r="936" spans="9:17" x14ac:dyDescent="0.45">
      <c r="I936" t="s">
        <v>194</v>
      </c>
      <c r="J936" t="s">
        <v>171</v>
      </c>
      <c r="K936">
        <v>9.7921758798290761E-3</v>
      </c>
      <c r="L936" t="s">
        <v>164</v>
      </c>
      <c r="N936" t="s">
        <v>227</v>
      </c>
      <c r="O936" t="s">
        <v>171</v>
      </c>
      <c r="P936">
        <v>7.7156605626300832E-3</v>
      </c>
      <c r="Q936" t="s">
        <v>164</v>
      </c>
    </row>
    <row r="937" spans="9:17" x14ac:dyDescent="0.45">
      <c r="I937" t="s">
        <v>194</v>
      </c>
      <c r="J937" t="s">
        <v>172</v>
      </c>
      <c r="K937">
        <v>1.0634760872627793E-2</v>
      </c>
      <c r="L937" t="s">
        <v>164</v>
      </c>
      <c r="N937" t="s">
        <v>227</v>
      </c>
      <c r="O937" t="s">
        <v>172</v>
      </c>
      <c r="P937">
        <v>6.3298486734887829E-3</v>
      </c>
      <c r="Q937" t="s">
        <v>164</v>
      </c>
    </row>
    <row r="938" spans="9:17" x14ac:dyDescent="0.45">
      <c r="I938" t="s">
        <v>194</v>
      </c>
      <c r="J938" t="s">
        <v>268</v>
      </c>
      <c r="K938">
        <v>6.10547316628599E-2</v>
      </c>
      <c r="L938" t="s">
        <v>164</v>
      </c>
      <c r="N938" t="s">
        <v>227</v>
      </c>
      <c r="O938" t="s">
        <v>268</v>
      </c>
      <c r="P938">
        <v>2.6213645035936432E-2</v>
      </c>
      <c r="Q938" t="s">
        <v>164</v>
      </c>
    </row>
    <row r="939" spans="9:17" x14ac:dyDescent="0.45">
      <c r="I939" t="s">
        <v>194</v>
      </c>
      <c r="J939" t="s">
        <v>269</v>
      </c>
      <c r="K939">
        <v>5.8671419697780836E-3</v>
      </c>
      <c r="L939" t="s">
        <v>164</v>
      </c>
      <c r="N939" t="s">
        <v>227</v>
      </c>
      <c r="O939" t="s">
        <v>269</v>
      </c>
      <c r="P939">
        <v>7.6681637212063902E-3</v>
      </c>
      <c r="Q939" t="s">
        <v>164</v>
      </c>
    </row>
    <row r="940" spans="9:17" x14ac:dyDescent="0.45">
      <c r="I940" t="s">
        <v>194</v>
      </c>
      <c r="J940" t="s">
        <v>270</v>
      </c>
      <c r="K940">
        <v>0</v>
      </c>
      <c r="L940" t="s">
        <v>164</v>
      </c>
      <c r="N940" t="s">
        <v>227</v>
      </c>
      <c r="O940" t="s">
        <v>270</v>
      </c>
      <c r="P940">
        <v>3.9668935347109413E-2</v>
      </c>
      <c r="Q940" t="s">
        <v>164</v>
      </c>
    </row>
    <row r="941" spans="9:17" x14ac:dyDescent="0.45">
      <c r="I941" t="s">
        <v>194</v>
      </c>
      <c r="J941" t="s">
        <v>173</v>
      </c>
      <c r="K941">
        <v>2.5441826898058659E-2</v>
      </c>
      <c r="L941" t="s">
        <v>164</v>
      </c>
      <c r="N941" t="s">
        <v>227</v>
      </c>
      <c r="O941" t="s">
        <v>173</v>
      </c>
      <c r="P941">
        <v>9.7643759560013366E-2</v>
      </c>
      <c r="Q941" t="s">
        <v>164</v>
      </c>
    </row>
    <row r="942" spans="9:17" x14ac:dyDescent="0.45">
      <c r="I942" t="s">
        <v>194</v>
      </c>
      <c r="J942" t="s">
        <v>174</v>
      </c>
      <c r="K942">
        <v>1.4116982486178832E-2</v>
      </c>
      <c r="L942" t="s">
        <v>164</v>
      </c>
      <c r="N942" t="s">
        <v>227</v>
      </c>
      <c r="O942" t="s">
        <v>174</v>
      </c>
      <c r="P942">
        <v>1.2890827095288472E-2</v>
      </c>
      <c r="Q942" t="s">
        <v>164</v>
      </c>
    </row>
    <row r="943" spans="9:17" x14ac:dyDescent="0.45">
      <c r="I943" t="s">
        <v>194</v>
      </c>
      <c r="J943" t="s">
        <v>175</v>
      </c>
      <c r="K943">
        <v>1.6474039272375229E-2</v>
      </c>
      <c r="L943" t="s">
        <v>164</v>
      </c>
      <c r="N943" t="s">
        <v>227</v>
      </c>
      <c r="O943" t="s">
        <v>175</v>
      </c>
      <c r="P943">
        <v>1.058441620429576E-2</v>
      </c>
      <c r="Q943" t="s">
        <v>164</v>
      </c>
    </row>
    <row r="944" spans="9:17" x14ac:dyDescent="0.45">
      <c r="I944" t="s">
        <v>194</v>
      </c>
      <c r="J944" t="s">
        <v>271</v>
      </c>
      <c r="K944">
        <v>9.4029323403580417E-2</v>
      </c>
      <c r="L944" t="s">
        <v>164</v>
      </c>
      <c r="N944" t="s">
        <v>227</v>
      </c>
      <c r="O944" t="s">
        <v>271</v>
      </c>
      <c r="P944">
        <v>4.079722796540642E-2</v>
      </c>
      <c r="Q944" t="s">
        <v>164</v>
      </c>
    </row>
    <row r="945" spans="9:17" x14ac:dyDescent="0.45">
      <c r="I945" t="s">
        <v>194</v>
      </c>
      <c r="J945" t="s">
        <v>272</v>
      </c>
      <c r="K945">
        <v>7.238407259701804E-3</v>
      </c>
      <c r="L945" t="s">
        <v>164</v>
      </c>
      <c r="N945" t="s">
        <v>227</v>
      </c>
      <c r="O945" t="s">
        <v>272</v>
      </c>
      <c r="P945">
        <v>8.9906370270664976E-3</v>
      </c>
      <c r="Q945" t="s">
        <v>164</v>
      </c>
    </row>
    <row r="946" spans="9:17" x14ac:dyDescent="0.45">
      <c r="I946" t="s">
        <v>194</v>
      </c>
      <c r="J946" t="s">
        <v>273</v>
      </c>
      <c r="K946">
        <v>8.8445681506590084E-6</v>
      </c>
      <c r="L946" t="s">
        <v>164</v>
      </c>
      <c r="N946" t="s">
        <v>227</v>
      </c>
      <c r="O946" t="s">
        <v>273</v>
      </c>
      <c r="P946">
        <v>4.797405139735967E-2</v>
      </c>
      <c r="Q946" t="s">
        <v>164</v>
      </c>
    </row>
    <row r="947" spans="9:17" x14ac:dyDescent="0.45">
      <c r="I947" t="s">
        <v>194</v>
      </c>
      <c r="J947" t="s">
        <v>274</v>
      </c>
      <c r="K947">
        <v>1.9413019218642091E-2</v>
      </c>
      <c r="L947" t="s">
        <v>164</v>
      </c>
      <c r="N947" t="s">
        <v>227</v>
      </c>
      <c r="O947" t="s">
        <v>274</v>
      </c>
      <c r="P947">
        <v>4.457238485172553E-2</v>
      </c>
      <c r="Q947" t="s">
        <v>164</v>
      </c>
    </row>
    <row r="948" spans="9:17" x14ac:dyDescent="0.45">
      <c r="I948" t="s">
        <v>194</v>
      </c>
      <c r="J948" t="s">
        <v>275</v>
      </c>
      <c r="K948">
        <v>1.2147681312202032E-2</v>
      </c>
      <c r="L948" t="s">
        <v>164</v>
      </c>
      <c r="N948" t="s">
        <v>227</v>
      </c>
      <c r="O948" t="s">
        <v>275</v>
      </c>
      <c r="P948">
        <v>8.2874955492628286E-3</v>
      </c>
      <c r="Q948" t="s">
        <v>164</v>
      </c>
    </row>
    <row r="949" spans="9:17" x14ac:dyDescent="0.45">
      <c r="I949" t="s">
        <v>194</v>
      </c>
      <c r="J949" t="s">
        <v>276</v>
      </c>
      <c r="K949">
        <v>1.4685161123408477E-2</v>
      </c>
      <c r="L949" t="s">
        <v>164</v>
      </c>
      <c r="N949" t="s">
        <v>227</v>
      </c>
      <c r="O949" t="s">
        <v>276</v>
      </c>
      <c r="P949">
        <v>7.1473071168643015E-3</v>
      </c>
      <c r="Q949" t="s">
        <v>164</v>
      </c>
    </row>
    <row r="950" spans="9:17" x14ac:dyDescent="0.45">
      <c r="I950" t="s">
        <v>194</v>
      </c>
      <c r="J950" t="s">
        <v>277</v>
      </c>
      <c r="K950">
        <v>8.921956711598221E-2</v>
      </c>
      <c r="L950" t="s">
        <v>164</v>
      </c>
      <c r="N950" t="s">
        <v>227</v>
      </c>
      <c r="O950" t="s">
        <v>277</v>
      </c>
      <c r="P950">
        <v>3.0755961783041994E-2</v>
      </c>
      <c r="Q950" t="s">
        <v>164</v>
      </c>
    </row>
    <row r="951" spans="9:17" x14ac:dyDescent="0.45">
      <c r="I951" t="s">
        <v>194</v>
      </c>
      <c r="J951" t="s">
        <v>278</v>
      </c>
      <c r="K951">
        <v>7.2106080232719168E-3</v>
      </c>
      <c r="L951" t="s">
        <v>164</v>
      </c>
      <c r="N951" t="s">
        <v>227</v>
      </c>
      <c r="O951" t="s">
        <v>278</v>
      </c>
      <c r="P951">
        <v>4.6200179133917803E-3</v>
      </c>
      <c r="Q951" t="s">
        <v>164</v>
      </c>
    </row>
    <row r="952" spans="9:17" x14ac:dyDescent="0.45">
      <c r="I952" t="s">
        <v>194</v>
      </c>
      <c r="J952" t="s">
        <v>279</v>
      </c>
      <c r="K952">
        <v>3.6755437108325077E-3</v>
      </c>
      <c r="L952" t="s">
        <v>164</v>
      </c>
      <c r="N952" t="s">
        <v>227</v>
      </c>
      <c r="O952" t="s">
        <v>279</v>
      </c>
      <c r="P952">
        <v>2.3071416887002778E-2</v>
      </c>
      <c r="Q952" t="s">
        <v>164</v>
      </c>
    </row>
    <row r="953" spans="9:17" x14ac:dyDescent="0.45">
      <c r="I953" t="s">
        <v>194</v>
      </c>
      <c r="J953" t="s">
        <v>280</v>
      </c>
      <c r="K953">
        <v>2.5557999424488952E-2</v>
      </c>
      <c r="L953" t="s">
        <v>164</v>
      </c>
      <c r="N953" t="s">
        <v>227</v>
      </c>
      <c r="O953" t="s">
        <v>280</v>
      </c>
      <c r="P953">
        <v>3.3014659560258224E-2</v>
      </c>
      <c r="Q953" t="s">
        <v>164</v>
      </c>
    </row>
    <row r="954" spans="9:17" x14ac:dyDescent="0.45">
      <c r="I954" t="s">
        <v>194</v>
      </c>
      <c r="J954" t="s">
        <v>281</v>
      </c>
      <c r="K954">
        <v>1.4958845692707966E-2</v>
      </c>
      <c r="L954" t="s">
        <v>164</v>
      </c>
      <c r="N954" t="s">
        <v>227</v>
      </c>
      <c r="O954" t="s">
        <v>281</v>
      </c>
      <c r="P954">
        <v>4.3805567008449644E-3</v>
      </c>
      <c r="Q954" t="s">
        <v>164</v>
      </c>
    </row>
    <row r="955" spans="9:17" x14ac:dyDescent="0.45">
      <c r="I955" t="s">
        <v>194</v>
      </c>
      <c r="J955" t="s">
        <v>282</v>
      </c>
      <c r="K955">
        <v>1.706831230254275E-2</v>
      </c>
      <c r="L955" t="s">
        <v>164</v>
      </c>
      <c r="N955" t="s">
        <v>227</v>
      </c>
      <c r="O955" t="s">
        <v>282</v>
      </c>
      <c r="P955">
        <v>4.8421334222213432E-3</v>
      </c>
      <c r="Q955" t="s">
        <v>164</v>
      </c>
    </row>
    <row r="956" spans="9:17" x14ac:dyDescent="0.45">
      <c r="I956" t="s">
        <v>194</v>
      </c>
      <c r="J956" t="s">
        <v>283</v>
      </c>
      <c r="K956">
        <v>0.10017168437168322</v>
      </c>
      <c r="L956" t="s">
        <v>164</v>
      </c>
      <c r="N956" t="s">
        <v>227</v>
      </c>
      <c r="O956" t="s">
        <v>283</v>
      </c>
      <c r="P956">
        <v>1.8141418468968142E-2</v>
      </c>
      <c r="Q956" t="s">
        <v>164</v>
      </c>
    </row>
    <row r="957" spans="9:17" x14ac:dyDescent="0.45">
      <c r="I957" t="s">
        <v>194</v>
      </c>
      <c r="J957" t="s">
        <v>284</v>
      </c>
      <c r="K957">
        <v>7.8153413441616904E-3</v>
      </c>
      <c r="L957" t="s">
        <v>164</v>
      </c>
      <c r="N957" t="s">
        <v>227</v>
      </c>
      <c r="O957" t="s">
        <v>284</v>
      </c>
      <c r="P957">
        <v>3.8782297735306132E-3</v>
      </c>
      <c r="Q957" t="s">
        <v>164</v>
      </c>
    </row>
    <row r="958" spans="9:17" x14ac:dyDescent="0.45">
      <c r="I958" t="s">
        <v>194</v>
      </c>
      <c r="J958" t="s">
        <v>285</v>
      </c>
      <c r="K958">
        <v>7.1683273859428592E-4</v>
      </c>
      <c r="L958" t="s">
        <v>164</v>
      </c>
      <c r="N958" t="s">
        <v>227</v>
      </c>
      <c r="O958" t="s">
        <v>285</v>
      </c>
      <c r="P958">
        <v>2.2475893886234413E-2</v>
      </c>
      <c r="Q958" t="s">
        <v>164</v>
      </c>
    </row>
    <row r="959" spans="9:17" x14ac:dyDescent="0.45">
      <c r="I959" t="s">
        <v>194</v>
      </c>
      <c r="J959" t="s">
        <v>286</v>
      </c>
      <c r="K959">
        <v>3.3265186680512489E-2</v>
      </c>
      <c r="L959" t="s">
        <v>164</v>
      </c>
      <c r="N959" t="s">
        <v>227</v>
      </c>
      <c r="O959" t="s">
        <v>286</v>
      </c>
      <c r="P959">
        <v>4.013368048056374E-2</v>
      </c>
      <c r="Q959" t="s">
        <v>164</v>
      </c>
    </row>
    <row r="960" spans="9:17" x14ac:dyDescent="0.45">
      <c r="I960" t="s">
        <v>194</v>
      </c>
      <c r="J960" t="s">
        <v>287</v>
      </c>
      <c r="K960">
        <v>1.7619218227368491E-2</v>
      </c>
      <c r="L960" t="s">
        <v>164</v>
      </c>
      <c r="N960" t="s">
        <v>227</v>
      </c>
      <c r="O960" t="s">
        <v>287</v>
      </c>
      <c r="P960">
        <v>6.4559568614160415E-3</v>
      </c>
      <c r="Q960" t="s">
        <v>164</v>
      </c>
    </row>
    <row r="961" spans="9:17" x14ac:dyDescent="0.45">
      <c r="I961" t="s">
        <v>194</v>
      </c>
      <c r="J961" t="s">
        <v>288</v>
      </c>
      <c r="K961">
        <v>1.9251803242275316E-2</v>
      </c>
      <c r="L961" t="s">
        <v>164</v>
      </c>
      <c r="N961" t="s">
        <v>227</v>
      </c>
      <c r="O961" t="s">
        <v>288</v>
      </c>
      <c r="P961">
        <v>5.3821560112203362E-3</v>
      </c>
      <c r="Q961" t="s">
        <v>164</v>
      </c>
    </row>
    <row r="962" spans="9:17" x14ac:dyDescent="0.45">
      <c r="I962" t="s">
        <v>194</v>
      </c>
      <c r="J962" t="s">
        <v>289</v>
      </c>
      <c r="K962">
        <v>0.1058417281425892</v>
      </c>
      <c r="L962" t="s">
        <v>164</v>
      </c>
      <c r="N962" t="s">
        <v>227</v>
      </c>
      <c r="O962" t="s">
        <v>289</v>
      </c>
      <c r="P962">
        <v>2.9515136695195749E-2</v>
      </c>
      <c r="Q962" t="s">
        <v>164</v>
      </c>
    </row>
    <row r="963" spans="9:17" x14ac:dyDescent="0.45">
      <c r="I963" t="s">
        <v>194</v>
      </c>
      <c r="J963" t="s">
        <v>290</v>
      </c>
      <c r="K963">
        <v>7.549441803803977E-3</v>
      </c>
      <c r="L963" t="s">
        <v>164</v>
      </c>
      <c r="N963" t="s">
        <v>227</v>
      </c>
      <c r="O963" t="s">
        <v>290</v>
      </c>
      <c r="P963">
        <v>1.1055790377976681E-2</v>
      </c>
      <c r="Q963" t="s">
        <v>164</v>
      </c>
    </row>
    <row r="964" spans="9:17" x14ac:dyDescent="0.45">
      <c r="I964" t="s">
        <v>194</v>
      </c>
      <c r="J964" t="s">
        <v>291</v>
      </c>
      <c r="K964">
        <v>0</v>
      </c>
      <c r="L964" t="s">
        <v>164</v>
      </c>
      <c r="N964" t="s">
        <v>227</v>
      </c>
      <c r="O964" t="s">
        <v>291</v>
      </c>
      <c r="P964">
        <v>3.8535119141213894E-2</v>
      </c>
      <c r="Q964" t="s">
        <v>164</v>
      </c>
    </row>
    <row r="965" spans="9:17" x14ac:dyDescent="0.45">
      <c r="I965" t="s">
        <v>194</v>
      </c>
      <c r="J965" t="s">
        <v>292</v>
      </c>
      <c r="K965">
        <v>1.2334815206499915E-2</v>
      </c>
      <c r="L965" t="s">
        <v>164</v>
      </c>
      <c r="N965" t="s">
        <v>227</v>
      </c>
      <c r="O965" t="s">
        <v>292</v>
      </c>
      <c r="P965">
        <v>1.1270818830887566E-2</v>
      </c>
      <c r="Q965" t="s">
        <v>164</v>
      </c>
    </row>
    <row r="966" spans="9:17" x14ac:dyDescent="0.45">
      <c r="I966" t="s">
        <v>194</v>
      </c>
      <c r="J966" t="s">
        <v>293</v>
      </c>
      <c r="K966">
        <v>7.8075863994122342E-3</v>
      </c>
      <c r="L966" t="s">
        <v>164</v>
      </c>
      <c r="N966" t="s">
        <v>227</v>
      </c>
      <c r="O966" t="s">
        <v>293</v>
      </c>
      <c r="P966">
        <v>2.8155496115782985E-3</v>
      </c>
      <c r="Q966" t="s">
        <v>164</v>
      </c>
    </row>
    <row r="967" spans="9:17" x14ac:dyDescent="0.45">
      <c r="I967" t="s">
        <v>194</v>
      </c>
      <c r="J967" t="s">
        <v>294</v>
      </c>
      <c r="K967">
        <v>8.7768296060609912E-3</v>
      </c>
      <c r="L967" t="s">
        <v>164</v>
      </c>
      <c r="N967" t="s">
        <v>227</v>
      </c>
      <c r="O967" t="s">
        <v>294</v>
      </c>
      <c r="P967">
        <v>3.6822930850555513E-3</v>
      </c>
      <c r="Q967" t="s">
        <v>164</v>
      </c>
    </row>
    <row r="968" spans="9:17" x14ac:dyDescent="0.45">
      <c r="I968" t="s">
        <v>194</v>
      </c>
      <c r="J968" t="s">
        <v>295</v>
      </c>
      <c r="K968">
        <v>4.7741747019246356E-2</v>
      </c>
      <c r="L968" t="s">
        <v>164</v>
      </c>
      <c r="N968" t="s">
        <v>227</v>
      </c>
      <c r="O968" t="s">
        <v>295</v>
      </c>
      <c r="P968">
        <v>2.8166981678571668E-2</v>
      </c>
      <c r="Q968" t="s">
        <v>164</v>
      </c>
    </row>
    <row r="969" spans="9:17" x14ac:dyDescent="0.45">
      <c r="I969" t="s">
        <v>194</v>
      </c>
      <c r="J969" t="s">
        <v>296</v>
      </c>
      <c r="K969">
        <v>3.8432745474583042E-3</v>
      </c>
      <c r="L969" t="s">
        <v>164</v>
      </c>
      <c r="N969" t="s">
        <v>227</v>
      </c>
      <c r="O969" t="s">
        <v>296</v>
      </c>
      <c r="P969">
        <v>6.3075964155651478E-3</v>
      </c>
      <c r="Q969" t="s">
        <v>164</v>
      </c>
    </row>
    <row r="970" spans="9:17" x14ac:dyDescent="0.45">
      <c r="I970" t="s">
        <v>194</v>
      </c>
      <c r="J970" t="s">
        <v>297</v>
      </c>
      <c r="K970">
        <v>0</v>
      </c>
      <c r="L970" t="s">
        <v>164</v>
      </c>
      <c r="N970" t="s">
        <v>227</v>
      </c>
      <c r="O970" t="s">
        <v>297</v>
      </c>
      <c r="P970">
        <v>2.1403873097452106E-2</v>
      </c>
      <c r="Q970" t="s">
        <v>164</v>
      </c>
    </row>
    <row r="971" spans="9:17" x14ac:dyDescent="0.45">
      <c r="I971" t="s">
        <v>195</v>
      </c>
      <c r="J971" t="s">
        <v>163</v>
      </c>
      <c r="K971">
        <v>1.4366633409375495E-2</v>
      </c>
      <c r="L971" t="s">
        <v>164</v>
      </c>
    </row>
    <row r="972" spans="9:17" x14ac:dyDescent="0.45">
      <c r="I972" t="s">
        <v>195</v>
      </c>
      <c r="J972" t="s">
        <v>165</v>
      </c>
      <c r="K972">
        <v>1.0032281551872342E-2</v>
      </c>
      <c r="L972" t="s">
        <v>164</v>
      </c>
    </row>
    <row r="973" spans="9:17" x14ac:dyDescent="0.45">
      <c r="I973" t="s">
        <v>195</v>
      </c>
      <c r="J973" t="s">
        <v>166</v>
      </c>
      <c r="K973">
        <v>1.037864268257256E-2</v>
      </c>
      <c r="L973" t="s">
        <v>164</v>
      </c>
    </row>
    <row r="974" spans="9:17" x14ac:dyDescent="0.45">
      <c r="I974" t="s">
        <v>195</v>
      </c>
      <c r="J974" t="s">
        <v>262</v>
      </c>
      <c r="K974">
        <v>4.8272498340298231E-2</v>
      </c>
      <c r="L974" t="s">
        <v>164</v>
      </c>
    </row>
    <row r="975" spans="9:17" x14ac:dyDescent="0.45">
      <c r="I975" t="s">
        <v>195</v>
      </c>
      <c r="J975" t="s">
        <v>263</v>
      </c>
      <c r="K975">
        <v>3.8480973517864446E-3</v>
      </c>
      <c r="L975" t="s">
        <v>164</v>
      </c>
    </row>
    <row r="976" spans="9:17" x14ac:dyDescent="0.45">
      <c r="I976" t="s">
        <v>195</v>
      </c>
      <c r="J976" t="s">
        <v>264</v>
      </c>
      <c r="K976">
        <v>0</v>
      </c>
      <c r="L976" t="s">
        <v>164</v>
      </c>
    </row>
    <row r="977" spans="9:12" x14ac:dyDescent="0.45">
      <c r="I977" t="s">
        <v>195</v>
      </c>
      <c r="J977" t="s">
        <v>167</v>
      </c>
      <c r="K977">
        <v>1.262734789355051E-2</v>
      </c>
      <c r="L977" t="s">
        <v>164</v>
      </c>
    </row>
    <row r="978" spans="9:12" x14ac:dyDescent="0.45">
      <c r="I978" t="s">
        <v>195</v>
      </c>
      <c r="J978" t="s">
        <v>168</v>
      </c>
      <c r="K978">
        <v>8.6997483178771762E-3</v>
      </c>
      <c r="L978" t="s">
        <v>164</v>
      </c>
    </row>
    <row r="979" spans="9:12" x14ac:dyDescent="0.45">
      <c r="I979" t="s">
        <v>195</v>
      </c>
      <c r="J979" t="s">
        <v>169</v>
      </c>
      <c r="K979">
        <v>9.3579986522251361E-3</v>
      </c>
      <c r="L979" t="s">
        <v>164</v>
      </c>
    </row>
    <row r="980" spans="9:12" x14ac:dyDescent="0.45">
      <c r="I980" t="s">
        <v>195</v>
      </c>
      <c r="J980" t="s">
        <v>265</v>
      </c>
      <c r="K980">
        <v>4.7623561237487011E-2</v>
      </c>
      <c r="L980" t="s">
        <v>164</v>
      </c>
    </row>
    <row r="981" spans="9:12" x14ac:dyDescent="0.45">
      <c r="I981" t="s">
        <v>195</v>
      </c>
      <c r="J981" t="s">
        <v>266</v>
      </c>
      <c r="K981">
        <v>4.3539140502433593E-3</v>
      </c>
      <c r="L981" t="s">
        <v>164</v>
      </c>
    </row>
    <row r="982" spans="9:12" x14ac:dyDescent="0.45">
      <c r="I982" t="s">
        <v>195</v>
      </c>
      <c r="J982" t="s">
        <v>267</v>
      </c>
      <c r="K982">
        <v>0</v>
      </c>
      <c r="L982" t="s">
        <v>164</v>
      </c>
    </row>
    <row r="983" spans="9:12" x14ac:dyDescent="0.45">
      <c r="I983" t="s">
        <v>195</v>
      </c>
      <c r="J983" t="s">
        <v>170</v>
      </c>
      <c r="K983">
        <v>1.4534982323768179E-2</v>
      </c>
      <c r="L983" t="s">
        <v>164</v>
      </c>
    </row>
    <row r="984" spans="9:12" x14ac:dyDescent="0.45">
      <c r="I984" t="s">
        <v>195</v>
      </c>
      <c r="J984" t="s">
        <v>171</v>
      </c>
      <c r="K984">
        <v>9.7523624435810023E-3</v>
      </c>
      <c r="L984" t="s">
        <v>164</v>
      </c>
    </row>
    <row r="985" spans="9:12" x14ac:dyDescent="0.45">
      <c r="I985" t="s">
        <v>195</v>
      </c>
      <c r="J985" t="s">
        <v>172</v>
      </c>
      <c r="K985">
        <v>1.0615954320489687E-2</v>
      </c>
      <c r="L985" t="s">
        <v>164</v>
      </c>
    </row>
    <row r="986" spans="9:12" x14ac:dyDescent="0.45">
      <c r="I986" t="s">
        <v>195</v>
      </c>
      <c r="J986" t="s">
        <v>268</v>
      </c>
      <c r="K986">
        <v>5.6586180165310092E-2</v>
      </c>
      <c r="L986" t="s">
        <v>164</v>
      </c>
    </row>
    <row r="987" spans="9:12" x14ac:dyDescent="0.45">
      <c r="I987" t="s">
        <v>195</v>
      </c>
      <c r="J987" t="s">
        <v>269</v>
      </c>
      <c r="K987">
        <v>4.8593073137303362E-3</v>
      </c>
      <c r="L987" t="s">
        <v>164</v>
      </c>
    </row>
    <row r="988" spans="9:12" x14ac:dyDescent="0.45">
      <c r="I988" t="s">
        <v>195</v>
      </c>
      <c r="J988" t="s">
        <v>270</v>
      </c>
      <c r="K988">
        <v>0</v>
      </c>
      <c r="L988" t="s">
        <v>164</v>
      </c>
    </row>
    <row r="989" spans="9:12" x14ac:dyDescent="0.45">
      <c r="I989" t="s">
        <v>195</v>
      </c>
      <c r="J989" t="s">
        <v>173</v>
      </c>
      <c r="K989">
        <v>2.7029851083919844E-2</v>
      </c>
      <c r="L989" t="s">
        <v>164</v>
      </c>
    </row>
    <row r="990" spans="9:12" x14ac:dyDescent="0.45">
      <c r="I990" t="s">
        <v>195</v>
      </c>
      <c r="J990" t="s">
        <v>174</v>
      </c>
      <c r="K990">
        <v>1.499822081601233E-2</v>
      </c>
      <c r="L990" t="s">
        <v>164</v>
      </c>
    </row>
    <row r="991" spans="9:12" x14ac:dyDescent="0.45">
      <c r="I991" t="s">
        <v>195</v>
      </c>
      <c r="J991" t="s">
        <v>175</v>
      </c>
      <c r="K991">
        <v>1.6761103126585779E-2</v>
      </c>
      <c r="L991" t="s">
        <v>164</v>
      </c>
    </row>
    <row r="992" spans="9:12" x14ac:dyDescent="0.45">
      <c r="I992" t="s">
        <v>195</v>
      </c>
      <c r="J992" t="s">
        <v>271</v>
      </c>
      <c r="K992">
        <v>9.2698121615178125E-2</v>
      </c>
      <c r="L992" t="s">
        <v>164</v>
      </c>
    </row>
    <row r="993" spans="9:12" x14ac:dyDescent="0.45">
      <c r="I993" t="s">
        <v>195</v>
      </c>
      <c r="J993" t="s">
        <v>272</v>
      </c>
      <c r="K993">
        <v>7.1419105735315985E-3</v>
      </c>
      <c r="L993" t="s">
        <v>164</v>
      </c>
    </row>
    <row r="994" spans="9:12" x14ac:dyDescent="0.45">
      <c r="I994" t="s">
        <v>195</v>
      </c>
      <c r="J994" t="s">
        <v>273</v>
      </c>
      <c r="K994">
        <v>1.0369771946028825E-3</v>
      </c>
      <c r="L994" t="s">
        <v>164</v>
      </c>
    </row>
    <row r="995" spans="9:12" x14ac:dyDescent="0.45">
      <c r="I995" t="s">
        <v>195</v>
      </c>
      <c r="J995" t="s">
        <v>274</v>
      </c>
      <c r="K995">
        <v>2.2972653044212091E-2</v>
      </c>
      <c r="L995" t="s">
        <v>164</v>
      </c>
    </row>
    <row r="996" spans="9:12" x14ac:dyDescent="0.45">
      <c r="I996" t="s">
        <v>195</v>
      </c>
      <c r="J996" t="s">
        <v>275</v>
      </c>
      <c r="K996">
        <v>1.2998210562609429E-2</v>
      </c>
      <c r="L996" t="s">
        <v>164</v>
      </c>
    </row>
    <row r="997" spans="9:12" x14ac:dyDescent="0.45">
      <c r="I997" t="s">
        <v>195</v>
      </c>
      <c r="J997" t="s">
        <v>276</v>
      </c>
      <c r="K997">
        <v>1.4926178935816471E-2</v>
      </c>
      <c r="L997" t="s">
        <v>164</v>
      </c>
    </row>
    <row r="998" spans="9:12" x14ac:dyDescent="0.45">
      <c r="I998" t="s">
        <v>195</v>
      </c>
      <c r="J998" t="s">
        <v>277</v>
      </c>
      <c r="K998">
        <v>8.655641654444983E-2</v>
      </c>
      <c r="L998" t="s">
        <v>164</v>
      </c>
    </row>
    <row r="999" spans="9:12" x14ac:dyDescent="0.45">
      <c r="I999" t="s">
        <v>195</v>
      </c>
      <c r="J999" t="s">
        <v>278</v>
      </c>
      <c r="K999">
        <v>6.7119924081512575E-3</v>
      </c>
      <c r="L999" t="s">
        <v>164</v>
      </c>
    </row>
    <row r="1000" spans="9:12" x14ac:dyDescent="0.45">
      <c r="I1000" t="s">
        <v>195</v>
      </c>
      <c r="J1000" t="s">
        <v>279</v>
      </c>
      <c r="K1000">
        <v>3.757493130802769E-3</v>
      </c>
      <c r="L1000" t="s">
        <v>164</v>
      </c>
    </row>
    <row r="1001" spans="9:12" x14ac:dyDescent="0.45">
      <c r="I1001" t="s">
        <v>195</v>
      </c>
      <c r="J1001" t="s">
        <v>280</v>
      </c>
      <c r="K1001">
        <v>2.8027028244047358E-2</v>
      </c>
      <c r="L1001" t="s">
        <v>164</v>
      </c>
    </row>
    <row r="1002" spans="9:12" x14ac:dyDescent="0.45">
      <c r="I1002" t="s">
        <v>195</v>
      </c>
      <c r="J1002" t="s">
        <v>281</v>
      </c>
      <c r="K1002">
        <v>1.504138788049931E-2</v>
      </c>
      <c r="L1002" t="s">
        <v>164</v>
      </c>
    </row>
    <row r="1003" spans="9:12" x14ac:dyDescent="0.45">
      <c r="I1003" t="s">
        <v>195</v>
      </c>
      <c r="J1003" t="s">
        <v>282</v>
      </c>
      <c r="K1003">
        <v>1.6636411042971182E-2</v>
      </c>
      <c r="L1003" t="s">
        <v>164</v>
      </c>
    </row>
    <row r="1004" spans="9:12" x14ac:dyDescent="0.45">
      <c r="I1004" t="s">
        <v>195</v>
      </c>
      <c r="J1004" t="s">
        <v>283</v>
      </c>
      <c r="K1004">
        <v>9.5377017965438279E-2</v>
      </c>
      <c r="L1004" t="s">
        <v>164</v>
      </c>
    </row>
    <row r="1005" spans="9:12" x14ac:dyDescent="0.45">
      <c r="I1005" t="s">
        <v>195</v>
      </c>
      <c r="J1005" t="s">
        <v>284</v>
      </c>
      <c r="K1005">
        <v>7.9578040969170566E-3</v>
      </c>
      <c r="L1005" t="s">
        <v>164</v>
      </c>
    </row>
    <row r="1006" spans="9:12" x14ac:dyDescent="0.45">
      <c r="I1006" t="s">
        <v>195</v>
      </c>
      <c r="J1006" t="s">
        <v>285</v>
      </c>
      <c r="K1006">
        <v>2.0009402978571631E-3</v>
      </c>
      <c r="L1006" t="s">
        <v>164</v>
      </c>
    </row>
    <row r="1007" spans="9:12" x14ac:dyDescent="0.45">
      <c r="I1007" t="s">
        <v>195</v>
      </c>
      <c r="J1007" t="s">
        <v>286</v>
      </c>
      <c r="K1007">
        <v>3.5163847478714552E-2</v>
      </c>
      <c r="L1007" t="s">
        <v>164</v>
      </c>
    </row>
    <row r="1008" spans="9:12" x14ac:dyDescent="0.45">
      <c r="I1008" t="s">
        <v>195</v>
      </c>
      <c r="J1008" t="s">
        <v>287</v>
      </c>
      <c r="K1008">
        <v>1.8061893455319004E-2</v>
      </c>
      <c r="L1008" t="s">
        <v>164</v>
      </c>
    </row>
    <row r="1009" spans="9:12" x14ac:dyDescent="0.45">
      <c r="I1009" t="s">
        <v>195</v>
      </c>
      <c r="J1009" t="s">
        <v>288</v>
      </c>
      <c r="K1009">
        <v>1.9505994902154253E-2</v>
      </c>
      <c r="L1009" t="s">
        <v>164</v>
      </c>
    </row>
    <row r="1010" spans="9:12" x14ac:dyDescent="0.45">
      <c r="I1010" t="s">
        <v>195</v>
      </c>
      <c r="J1010" t="s">
        <v>289</v>
      </c>
      <c r="K1010">
        <v>0.10001458186627296</v>
      </c>
      <c r="L1010" t="s">
        <v>164</v>
      </c>
    </row>
    <row r="1011" spans="9:12" x14ac:dyDescent="0.45">
      <c r="I1011" t="s">
        <v>195</v>
      </c>
      <c r="J1011" t="s">
        <v>290</v>
      </c>
      <c r="K1011">
        <v>6.9172592357294093E-3</v>
      </c>
      <c r="L1011" t="s">
        <v>164</v>
      </c>
    </row>
    <row r="1012" spans="9:12" x14ac:dyDescent="0.45">
      <c r="I1012" t="s">
        <v>195</v>
      </c>
      <c r="J1012" t="s">
        <v>291</v>
      </c>
      <c r="K1012">
        <v>0</v>
      </c>
      <c r="L1012" t="s">
        <v>164</v>
      </c>
    </row>
    <row r="1013" spans="9:12" x14ac:dyDescent="0.45">
      <c r="I1013" t="s">
        <v>195</v>
      </c>
      <c r="J1013" t="s">
        <v>292</v>
      </c>
      <c r="K1013">
        <v>1.3231872673129356E-2</v>
      </c>
      <c r="L1013" t="s">
        <v>164</v>
      </c>
    </row>
    <row r="1014" spans="9:12" x14ac:dyDescent="0.45">
      <c r="I1014" t="s">
        <v>195</v>
      </c>
      <c r="J1014" t="s">
        <v>293</v>
      </c>
      <c r="K1014">
        <v>8.8651848816971163E-3</v>
      </c>
      <c r="L1014" t="s">
        <v>164</v>
      </c>
    </row>
    <row r="1015" spans="9:12" x14ac:dyDescent="0.45">
      <c r="I1015" t="s">
        <v>195</v>
      </c>
      <c r="J1015" t="s">
        <v>294</v>
      </c>
      <c r="K1015">
        <v>9.305956475409851E-3</v>
      </c>
      <c r="L1015" t="s">
        <v>164</v>
      </c>
    </row>
    <row r="1016" spans="9:12" x14ac:dyDescent="0.45">
      <c r="I1016" t="s">
        <v>195</v>
      </c>
      <c r="J1016" t="s">
        <v>295</v>
      </c>
      <c r="K1016">
        <v>4.6724867244019835E-2</v>
      </c>
      <c r="L1016" t="s">
        <v>164</v>
      </c>
    </row>
    <row r="1017" spans="9:12" x14ac:dyDescent="0.45">
      <c r="I1017" t="s">
        <v>195</v>
      </c>
      <c r="J1017" t="s">
        <v>296</v>
      </c>
      <c r="K1017">
        <v>3.6693131697830808E-3</v>
      </c>
      <c r="L1017" t="s">
        <v>164</v>
      </c>
    </row>
    <row r="1018" spans="9:12" x14ac:dyDescent="0.45">
      <c r="I1018" t="s">
        <v>195</v>
      </c>
      <c r="J1018" t="s">
        <v>297</v>
      </c>
      <c r="K1018">
        <v>0</v>
      </c>
      <c r="L1018" t="s">
        <v>164</v>
      </c>
    </row>
    <row r="1019" spans="9:12" x14ac:dyDescent="0.45">
      <c r="I1019" t="s">
        <v>196</v>
      </c>
      <c r="J1019" t="s">
        <v>163</v>
      </c>
      <c r="K1019">
        <v>1.2797687387107867E-2</v>
      </c>
      <c r="L1019" t="s">
        <v>164</v>
      </c>
    </row>
    <row r="1020" spans="9:12" x14ac:dyDescent="0.45">
      <c r="I1020" t="s">
        <v>196</v>
      </c>
      <c r="J1020" t="s">
        <v>165</v>
      </c>
      <c r="K1020">
        <v>9.0586601807439767E-3</v>
      </c>
      <c r="L1020" t="s">
        <v>164</v>
      </c>
    </row>
    <row r="1021" spans="9:12" x14ac:dyDescent="0.45">
      <c r="I1021" t="s">
        <v>196</v>
      </c>
      <c r="J1021" t="s">
        <v>166</v>
      </c>
      <c r="K1021">
        <v>9.6260186231080513E-3</v>
      </c>
      <c r="L1021" t="s">
        <v>164</v>
      </c>
    </row>
    <row r="1022" spans="9:12" x14ac:dyDescent="0.45">
      <c r="I1022" t="s">
        <v>196</v>
      </c>
      <c r="J1022" t="s">
        <v>262</v>
      </c>
      <c r="K1022">
        <v>4.931137970369949E-2</v>
      </c>
      <c r="L1022" t="s">
        <v>164</v>
      </c>
    </row>
    <row r="1023" spans="9:12" x14ac:dyDescent="0.45">
      <c r="I1023" t="s">
        <v>196</v>
      </c>
      <c r="J1023" t="s">
        <v>263</v>
      </c>
      <c r="K1023">
        <v>4.0318079447142323E-3</v>
      </c>
      <c r="L1023" t="s">
        <v>164</v>
      </c>
    </row>
    <row r="1024" spans="9:12" x14ac:dyDescent="0.45">
      <c r="I1024" t="s">
        <v>196</v>
      </c>
      <c r="J1024" t="s">
        <v>264</v>
      </c>
      <c r="K1024">
        <v>0</v>
      </c>
      <c r="L1024" t="s">
        <v>164</v>
      </c>
    </row>
    <row r="1025" spans="9:12" x14ac:dyDescent="0.45">
      <c r="I1025" t="s">
        <v>196</v>
      </c>
      <c r="J1025" t="s">
        <v>167</v>
      </c>
      <c r="K1025">
        <v>1.1911260386825972E-2</v>
      </c>
      <c r="L1025" t="s">
        <v>164</v>
      </c>
    </row>
    <row r="1026" spans="9:12" x14ac:dyDescent="0.45">
      <c r="I1026" t="s">
        <v>196</v>
      </c>
      <c r="J1026" t="s">
        <v>168</v>
      </c>
      <c r="K1026">
        <v>8.3977230219097494E-3</v>
      </c>
      <c r="L1026" t="s">
        <v>164</v>
      </c>
    </row>
    <row r="1027" spans="9:12" x14ac:dyDescent="0.45">
      <c r="I1027" t="s">
        <v>196</v>
      </c>
      <c r="J1027" t="s">
        <v>169</v>
      </c>
      <c r="K1027">
        <v>8.925696221997962E-3</v>
      </c>
      <c r="L1027" t="s">
        <v>164</v>
      </c>
    </row>
    <row r="1028" spans="9:12" x14ac:dyDescent="0.45">
      <c r="I1028" t="s">
        <v>196</v>
      </c>
      <c r="J1028" t="s">
        <v>265</v>
      </c>
      <c r="K1028">
        <v>4.8365281902471448E-2</v>
      </c>
      <c r="L1028" t="s">
        <v>164</v>
      </c>
    </row>
    <row r="1029" spans="9:12" x14ac:dyDescent="0.45">
      <c r="I1029" t="s">
        <v>196</v>
      </c>
      <c r="J1029" t="s">
        <v>266</v>
      </c>
      <c r="K1029">
        <v>4.3505302242648801E-3</v>
      </c>
      <c r="L1029" t="s">
        <v>164</v>
      </c>
    </row>
    <row r="1030" spans="9:12" x14ac:dyDescent="0.45">
      <c r="I1030" t="s">
        <v>196</v>
      </c>
      <c r="J1030" t="s">
        <v>267</v>
      </c>
      <c r="K1030">
        <v>0</v>
      </c>
      <c r="L1030" t="s">
        <v>164</v>
      </c>
    </row>
    <row r="1031" spans="9:12" x14ac:dyDescent="0.45">
      <c r="I1031" t="s">
        <v>196</v>
      </c>
      <c r="J1031" t="s">
        <v>170</v>
      </c>
      <c r="K1031">
        <v>1.5270227461441015E-2</v>
      </c>
      <c r="L1031" t="s">
        <v>164</v>
      </c>
    </row>
    <row r="1032" spans="9:12" x14ac:dyDescent="0.45">
      <c r="I1032" t="s">
        <v>196</v>
      </c>
      <c r="J1032" t="s">
        <v>171</v>
      </c>
      <c r="K1032">
        <v>9.3641920692787289E-3</v>
      </c>
      <c r="L1032" t="s">
        <v>164</v>
      </c>
    </row>
    <row r="1033" spans="9:12" x14ac:dyDescent="0.45">
      <c r="I1033" t="s">
        <v>196</v>
      </c>
      <c r="J1033" t="s">
        <v>172</v>
      </c>
      <c r="K1033">
        <v>1.02840380997519E-2</v>
      </c>
      <c r="L1033" t="s">
        <v>164</v>
      </c>
    </row>
    <row r="1034" spans="9:12" x14ac:dyDescent="0.45">
      <c r="I1034" t="s">
        <v>196</v>
      </c>
      <c r="J1034" t="s">
        <v>268</v>
      </c>
      <c r="K1034">
        <v>5.6104176996238653E-2</v>
      </c>
      <c r="L1034" t="s">
        <v>164</v>
      </c>
    </row>
    <row r="1035" spans="9:12" x14ac:dyDescent="0.45">
      <c r="I1035" t="s">
        <v>196</v>
      </c>
      <c r="J1035" t="s">
        <v>269</v>
      </c>
      <c r="K1035">
        <v>4.6450325799231411E-3</v>
      </c>
      <c r="L1035" t="s">
        <v>164</v>
      </c>
    </row>
    <row r="1036" spans="9:12" x14ac:dyDescent="0.45">
      <c r="I1036" t="s">
        <v>196</v>
      </c>
      <c r="J1036" t="s">
        <v>270</v>
      </c>
      <c r="K1036">
        <v>0</v>
      </c>
      <c r="L1036" t="s">
        <v>164</v>
      </c>
    </row>
    <row r="1037" spans="9:12" x14ac:dyDescent="0.45">
      <c r="I1037" t="s">
        <v>196</v>
      </c>
      <c r="J1037" t="s">
        <v>173</v>
      </c>
      <c r="K1037">
        <v>2.8961279936797521E-2</v>
      </c>
      <c r="L1037" t="s">
        <v>164</v>
      </c>
    </row>
    <row r="1038" spans="9:12" x14ac:dyDescent="0.45">
      <c r="I1038" t="s">
        <v>196</v>
      </c>
      <c r="J1038" t="s">
        <v>174</v>
      </c>
      <c r="K1038">
        <v>1.5697436123396202E-2</v>
      </c>
      <c r="L1038" t="s">
        <v>164</v>
      </c>
    </row>
    <row r="1039" spans="9:12" x14ac:dyDescent="0.45">
      <c r="I1039" t="s">
        <v>196</v>
      </c>
      <c r="J1039" t="s">
        <v>175</v>
      </c>
      <c r="K1039">
        <v>1.7611433984882588E-2</v>
      </c>
      <c r="L1039" t="s">
        <v>164</v>
      </c>
    </row>
    <row r="1040" spans="9:12" x14ac:dyDescent="0.45">
      <c r="I1040" t="s">
        <v>196</v>
      </c>
      <c r="J1040" t="s">
        <v>271</v>
      </c>
      <c r="K1040">
        <v>9.3801894115510889E-2</v>
      </c>
      <c r="L1040" t="s">
        <v>164</v>
      </c>
    </row>
    <row r="1041" spans="9:12" x14ac:dyDescent="0.45">
      <c r="I1041" t="s">
        <v>196</v>
      </c>
      <c r="J1041" t="s">
        <v>272</v>
      </c>
      <c r="K1041">
        <v>7.1421670996662159E-3</v>
      </c>
      <c r="L1041" t="s">
        <v>164</v>
      </c>
    </row>
    <row r="1042" spans="9:12" x14ac:dyDescent="0.45">
      <c r="I1042" t="s">
        <v>196</v>
      </c>
      <c r="J1042" t="s">
        <v>273</v>
      </c>
      <c r="K1042">
        <v>1.1788900191185499E-4</v>
      </c>
      <c r="L1042" t="s">
        <v>164</v>
      </c>
    </row>
    <row r="1043" spans="9:12" x14ac:dyDescent="0.45">
      <c r="I1043" t="s">
        <v>196</v>
      </c>
      <c r="J1043" t="s">
        <v>274</v>
      </c>
      <c r="K1043">
        <v>2.5110575254852361E-2</v>
      </c>
      <c r="L1043" t="s">
        <v>164</v>
      </c>
    </row>
    <row r="1044" spans="9:12" x14ac:dyDescent="0.45">
      <c r="I1044" t="s">
        <v>196</v>
      </c>
      <c r="J1044" t="s">
        <v>275</v>
      </c>
      <c r="K1044">
        <v>1.3966502604806605E-2</v>
      </c>
      <c r="L1044" t="s">
        <v>164</v>
      </c>
    </row>
    <row r="1045" spans="9:12" x14ac:dyDescent="0.45">
      <c r="I1045" t="s">
        <v>196</v>
      </c>
      <c r="J1045" t="s">
        <v>276</v>
      </c>
      <c r="K1045">
        <v>1.6025526263002951E-2</v>
      </c>
      <c r="L1045" t="s">
        <v>164</v>
      </c>
    </row>
    <row r="1046" spans="9:12" x14ac:dyDescent="0.45">
      <c r="I1046" t="s">
        <v>196</v>
      </c>
      <c r="J1046" t="s">
        <v>277</v>
      </c>
      <c r="K1046">
        <v>8.9655634703689188E-2</v>
      </c>
      <c r="L1046" t="s">
        <v>164</v>
      </c>
    </row>
    <row r="1047" spans="9:12" x14ac:dyDescent="0.45">
      <c r="I1047" t="s">
        <v>196</v>
      </c>
      <c r="J1047" t="s">
        <v>278</v>
      </c>
      <c r="K1047">
        <v>6.9366614701377866E-3</v>
      </c>
      <c r="L1047" t="s">
        <v>164</v>
      </c>
    </row>
    <row r="1048" spans="9:12" x14ac:dyDescent="0.45">
      <c r="I1048" t="s">
        <v>196</v>
      </c>
      <c r="J1048" t="s">
        <v>279</v>
      </c>
      <c r="K1048">
        <v>4.2418405600956081E-3</v>
      </c>
      <c r="L1048" t="s">
        <v>164</v>
      </c>
    </row>
    <row r="1049" spans="9:12" x14ac:dyDescent="0.45">
      <c r="I1049" t="s">
        <v>196</v>
      </c>
      <c r="J1049" t="s">
        <v>280</v>
      </c>
      <c r="K1049">
        <v>2.8943504641537915E-2</v>
      </c>
      <c r="L1049" t="s">
        <v>164</v>
      </c>
    </row>
    <row r="1050" spans="9:12" x14ac:dyDescent="0.45">
      <c r="I1050" t="s">
        <v>196</v>
      </c>
      <c r="J1050" t="s">
        <v>281</v>
      </c>
      <c r="K1050">
        <v>1.5888245985342574E-2</v>
      </c>
      <c r="L1050" t="s">
        <v>164</v>
      </c>
    </row>
    <row r="1051" spans="9:12" x14ac:dyDescent="0.45">
      <c r="I1051" t="s">
        <v>196</v>
      </c>
      <c r="J1051" t="s">
        <v>282</v>
      </c>
      <c r="K1051">
        <v>1.7590129065181585E-2</v>
      </c>
      <c r="L1051" t="s">
        <v>164</v>
      </c>
    </row>
    <row r="1052" spans="9:12" x14ac:dyDescent="0.45">
      <c r="I1052" t="s">
        <v>196</v>
      </c>
      <c r="J1052" t="s">
        <v>283</v>
      </c>
      <c r="K1052">
        <v>9.7807475448092249E-2</v>
      </c>
      <c r="L1052" t="s">
        <v>164</v>
      </c>
    </row>
    <row r="1053" spans="9:12" x14ac:dyDescent="0.45">
      <c r="I1053" t="s">
        <v>196</v>
      </c>
      <c r="J1053" t="s">
        <v>284</v>
      </c>
      <c r="K1053">
        <v>7.3793844794649201E-3</v>
      </c>
      <c r="L1053" t="s">
        <v>164</v>
      </c>
    </row>
    <row r="1054" spans="9:12" x14ac:dyDescent="0.45">
      <c r="I1054" t="s">
        <v>196</v>
      </c>
      <c r="J1054" t="s">
        <v>285</v>
      </c>
      <c r="K1054">
        <v>1.0997029392638608E-3</v>
      </c>
      <c r="L1054" t="s">
        <v>164</v>
      </c>
    </row>
    <row r="1055" spans="9:12" x14ac:dyDescent="0.45">
      <c r="I1055" t="s">
        <v>196</v>
      </c>
      <c r="J1055" t="s">
        <v>286</v>
      </c>
      <c r="K1055">
        <v>3.342409747147948E-2</v>
      </c>
      <c r="L1055" t="s">
        <v>164</v>
      </c>
    </row>
    <row r="1056" spans="9:12" x14ac:dyDescent="0.45">
      <c r="I1056" t="s">
        <v>196</v>
      </c>
      <c r="J1056" t="s">
        <v>287</v>
      </c>
      <c r="K1056">
        <v>1.7403432635356278E-2</v>
      </c>
      <c r="L1056" t="s">
        <v>164</v>
      </c>
    </row>
    <row r="1057" spans="9:12" x14ac:dyDescent="0.45">
      <c r="I1057" t="s">
        <v>196</v>
      </c>
      <c r="J1057" t="s">
        <v>288</v>
      </c>
      <c r="K1057">
        <v>1.8627410554423428E-2</v>
      </c>
      <c r="L1057" t="s">
        <v>164</v>
      </c>
    </row>
    <row r="1058" spans="9:12" x14ac:dyDescent="0.45">
      <c r="I1058" t="s">
        <v>196</v>
      </c>
      <c r="J1058" t="s">
        <v>289</v>
      </c>
      <c r="K1058">
        <v>9.4725034124316237E-2</v>
      </c>
      <c r="L1058" t="s">
        <v>164</v>
      </c>
    </row>
    <row r="1059" spans="9:12" x14ac:dyDescent="0.45">
      <c r="I1059" t="s">
        <v>196</v>
      </c>
      <c r="J1059" t="s">
        <v>290</v>
      </c>
      <c r="K1059">
        <v>6.1759211655313534E-3</v>
      </c>
      <c r="L1059" t="s">
        <v>164</v>
      </c>
    </row>
    <row r="1060" spans="9:12" x14ac:dyDescent="0.45">
      <c r="I1060" t="s">
        <v>196</v>
      </c>
      <c r="J1060" t="s">
        <v>291</v>
      </c>
      <c r="K1060">
        <v>0</v>
      </c>
      <c r="L1060" t="s">
        <v>164</v>
      </c>
    </row>
    <row r="1061" spans="9:12" x14ac:dyDescent="0.45">
      <c r="I1061" t="s">
        <v>196</v>
      </c>
      <c r="J1061" t="s">
        <v>292</v>
      </c>
      <c r="K1061">
        <v>1.2424151090353292E-2</v>
      </c>
      <c r="L1061" t="s">
        <v>164</v>
      </c>
    </row>
    <row r="1062" spans="9:12" x14ac:dyDescent="0.45">
      <c r="I1062" t="s">
        <v>196</v>
      </c>
      <c r="J1062" t="s">
        <v>293</v>
      </c>
      <c r="K1062">
        <v>8.3454567774705127E-3</v>
      </c>
      <c r="L1062" t="s">
        <v>164</v>
      </c>
    </row>
    <row r="1063" spans="9:12" x14ac:dyDescent="0.45">
      <c r="I1063" t="s">
        <v>196</v>
      </c>
      <c r="J1063" t="s">
        <v>294</v>
      </c>
      <c r="K1063">
        <v>8.8855725557707033E-3</v>
      </c>
      <c r="L1063" t="s">
        <v>164</v>
      </c>
    </row>
    <row r="1064" spans="9:12" x14ac:dyDescent="0.45">
      <c r="I1064" t="s">
        <v>196</v>
      </c>
      <c r="J1064" t="s">
        <v>295</v>
      </c>
      <c r="K1064">
        <v>4.6182808202529575E-2</v>
      </c>
      <c r="L1064" t="s">
        <v>164</v>
      </c>
    </row>
    <row r="1065" spans="9:12" x14ac:dyDescent="0.45">
      <c r="I1065" t="s">
        <v>196</v>
      </c>
      <c r="J1065" t="s">
        <v>296</v>
      </c>
      <c r="K1065">
        <v>3.3851189416590427E-3</v>
      </c>
      <c r="L1065" t="s">
        <v>164</v>
      </c>
    </row>
    <row r="1066" spans="9:12" x14ac:dyDescent="0.45">
      <c r="I1066" t="s">
        <v>196</v>
      </c>
      <c r="J1066" t="s">
        <v>297</v>
      </c>
      <c r="K1066">
        <v>0</v>
      </c>
      <c r="L1066" t="s">
        <v>164</v>
      </c>
    </row>
    <row r="1067" spans="9:12" x14ac:dyDescent="0.45">
      <c r="I1067" t="s">
        <v>197</v>
      </c>
      <c r="J1067" t="s">
        <v>163</v>
      </c>
      <c r="K1067">
        <v>1.2841373215759143E-2</v>
      </c>
      <c r="L1067" t="s">
        <v>164</v>
      </c>
    </row>
    <row r="1068" spans="9:12" x14ac:dyDescent="0.45">
      <c r="I1068" t="s">
        <v>197</v>
      </c>
      <c r="J1068" t="s">
        <v>165</v>
      </c>
      <c r="K1068">
        <v>9.0918184283735708E-3</v>
      </c>
      <c r="L1068" t="s">
        <v>164</v>
      </c>
    </row>
    <row r="1069" spans="9:12" x14ac:dyDescent="0.45">
      <c r="I1069" t="s">
        <v>197</v>
      </c>
      <c r="J1069" t="s">
        <v>166</v>
      </c>
      <c r="K1069">
        <v>9.5514317653055437E-3</v>
      </c>
      <c r="L1069" t="s">
        <v>164</v>
      </c>
    </row>
    <row r="1070" spans="9:12" x14ac:dyDescent="0.45">
      <c r="I1070" t="s">
        <v>197</v>
      </c>
      <c r="J1070" t="s">
        <v>262</v>
      </c>
      <c r="K1070">
        <v>5.5452784715235522E-2</v>
      </c>
      <c r="L1070" t="s">
        <v>164</v>
      </c>
    </row>
    <row r="1071" spans="9:12" x14ac:dyDescent="0.45">
      <c r="I1071" t="s">
        <v>197</v>
      </c>
      <c r="J1071" t="s">
        <v>263</v>
      </c>
      <c r="K1071">
        <v>6.0716511205528775E-3</v>
      </c>
      <c r="L1071" t="s">
        <v>164</v>
      </c>
    </row>
    <row r="1072" spans="9:12" x14ac:dyDescent="0.45">
      <c r="I1072" t="s">
        <v>197</v>
      </c>
      <c r="J1072" t="s">
        <v>264</v>
      </c>
      <c r="K1072">
        <v>0</v>
      </c>
      <c r="L1072" t="s">
        <v>164</v>
      </c>
    </row>
    <row r="1073" spans="9:12" x14ac:dyDescent="0.45">
      <c r="I1073" t="s">
        <v>197</v>
      </c>
      <c r="J1073" t="s">
        <v>167</v>
      </c>
      <c r="K1073">
        <v>1.0091827043689151E-2</v>
      </c>
      <c r="L1073" t="s">
        <v>164</v>
      </c>
    </row>
    <row r="1074" spans="9:12" x14ac:dyDescent="0.45">
      <c r="I1074" t="s">
        <v>197</v>
      </c>
      <c r="J1074" t="s">
        <v>168</v>
      </c>
      <c r="K1074">
        <v>7.3206689703551459E-3</v>
      </c>
      <c r="L1074" t="s">
        <v>164</v>
      </c>
    </row>
    <row r="1075" spans="9:12" x14ac:dyDescent="0.45">
      <c r="I1075" t="s">
        <v>197</v>
      </c>
      <c r="J1075" t="s">
        <v>169</v>
      </c>
      <c r="K1075">
        <v>8.0215172569056241E-3</v>
      </c>
      <c r="L1075" t="s">
        <v>164</v>
      </c>
    </row>
    <row r="1076" spans="9:12" x14ac:dyDescent="0.45">
      <c r="I1076" t="s">
        <v>197</v>
      </c>
      <c r="J1076" t="s">
        <v>265</v>
      </c>
      <c r="K1076">
        <v>4.7857554457044968E-2</v>
      </c>
      <c r="L1076" t="s">
        <v>164</v>
      </c>
    </row>
    <row r="1077" spans="9:12" x14ac:dyDescent="0.45">
      <c r="I1077" t="s">
        <v>197</v>
      </c>
      <c r="J1077" t="s">
        <v>266</v>
      </c>
      <c r="K1077">
        <v>4.7934362879307208E-3</v>
      </c>
      <c r="L1077" t="s">
        <v>164</v>
      </c>
    </row>
    <row r="1078" spans="9:12" x14ac:dyDescent="0.45">
      <c r="I1078" t="s">
        <v>197</v>
      </c>
      <c r="J1078" t="s">
        <v>267</v>
      </c>
      <c r="K1078">
        <v>0</v>
      </c>
      <c r="L1078" t="s">
        <v>164</v>
      </c>
    </row>
    <row r="1079" spans="9:12" x14ac:dyDescent="0.45">
      <c r="I1079" t="s">
        <v>197</v>
      </c>
      <c r="J1079" t="s">
        <v>170</v>
      </c>
      <c r="K1079">
        <v>1.5200444322816904E-2</v>
      </c>
      <c r="L1079" t="s">
        <v>164</v>
      </c>
    </row>
    <row r="1080" spans="9:12" x14ac:dyDescent="0.45">
      <c r="I1080" t="s">
        <v>197</v>
      </c>
      <c r="J1080" t="s">
        <v>171</v>
      </c>
      <c r="K1080">
        <v>9.7844625198072743E-3</v>
      </c>
      <c r="L1080" t="s">
        <v>164</v>
      </c>
    </row>
    <row r="1081" spans="9:12" x14ac:dyDescent="0.45">
      <c r="I1081" t="s">
        <v>197</v>
      </c>
      <c r="J1081" t="s">
        <v>172</v>
      </c>
      <c r="K1081">
        <v>1.0884023830169495E-2</v>
      </c>
      <c r="L1081" t="s">
        <v>164</v>
      </c>
    </row>
    <row r="1082" spans="9:12" x14ac:dyDescent="0.45">
      <c r="I1082" t="s">
        <v>197</v>
      </c>
      <c r="J1082" t="s">
        <v>268</v>
      </c>
      <c r="K1082">
        <v>6.3945915779985804E-2</v>
      </c>
      <c r="L1082" t="s">
        <v>164</v>
      </c>
    </row>
    <row r="1083" spans="9:12" x14ac:dyDescent="0.45">
      <c r="I1083" t="s">
        <v>197</v>
      </c>
      <c r="J1083" t="s">
        <v>269</v>
      </c>
      <c r="K1083">
        <v>6.108276159989154E-3</v>
      </c>
      <c r="L1083" t="s">
        <v>164</v>
      </c>
    </row>
    <row r="1084" spans="9:12" x14ac:dyDescent="0.45">
      <c r="I1084" t="s">
        <v>197</v>
      </c>
      <c r="J1084" t="s">
        <v>270</v>
      </c>
      <c r="K1084">
        <v>0</v>
      </c>
      <c r="L1084" t="s">
        <v>164</v>
      </c>
    </row>
    <row r="1085" spans="9:12" x14ac:dyDescent="0.45">
      <c r="I1085" t="s">
        <v>197</v>
      </c>
      <c r="J1085" t="s">
        <v>173</v>
      </c>
      <c r="K1085">
        <v>2.4417213948514056E-2</v>
      </c>
      <c r="L1085" t="s">
        <v>164</v>
      </c>
    </row>
    <row r="1086" spans="9:12" x14ac:dyDescent="0.45">
      <c r="I1086" t="s">
        <v>197</v>
      </c>
      <c r="J1086" t="s">
        <v>174</v>
      </c>
      <c r="K1086">
        <v>1.4154053246591997E-2</v>
      </c>
      <c r="L1086" t="s">
        <v>164</v>
      </c>
    </row>
    <row r="1087" spans="9:12" x14ac:dyDescent="0.45">
      <c r="I1087" t="s">
        <v>197</v>
      </c>
      <c r="J1087" t="s">
        <v>175</v>
      </c>
      <c r="K1087">
        <v>1.6490241668382803E-2</v>
      </c>
      <c r="L1087" t="s">
        <v>164</v>
      </c>
    </row>
    <row r="1088" spans="9:12" x14ac:dyDescent="0.45">
      <c r="I1088" t="s">
        <v>197</v>
      </c>
      <c r="J1088" t="s">
        <v>271</v>
      </c>
      <c r="K1088">
        <v>9.1358933162528258E-2</v>
      </c>
      <c r="L1088" t="s">
        <v>164</v>
      </c>
    </row>
    <row r="1089" spans="9:12" x14ac:dyDescent="0.45">
      <c r="I1089" t="s">
        <v>197</v>
      </c>
      <c r="J1089" t="s">
        <v>272</v>
      </c>
      <c r="K1089">
        <v>6.1752446944776992E-3</v>
      </c>
      <c r="L1089" t="s">
        <v>164</v>
      </c>
    </row>
    <row r="1090" spans="9:12" x14ac:dyDescent="0.45">
      <c r="I1090" t="s">
        <v>197</v>
      </c>
      <c r="J1090" t="s">
        <v>273</v>
      </c>
      <c r="K1090">
        <v>0</v>
      </c>
      <c r="L1090" t="s">
        <v>164</v>
      </c>
    </row>
    <row r="1091" spans="9:12" x14ac:dyDescent="0.45">
      <c r="I1091" t="s">
        <v>197</v>
      </c>
      <c r="J1091" t="s">
        <v>274</v>
      </c>
      <c r="K1091">
        <v>1.5819370541020641E-2</v>
      </c>
      <c r="L1091" t="s">
        <v>164</v>
      </c>
    </row>
    <row r="1092" spans="9:12" x14ac:dyDescent="0.45">
      <c r="I1092" t="s">
        <v>197</v>
      </c>
      <c r="J1092" t="s">
        <v>275</v>
      </c>
      <c r="K1092">
        <v>1.1194397480515197E-2</v>
      </c>
      <c r="L1092" t="s">
        <v>164</v>
      </c>
    </row>
    <row r="1093" spans="9:12" x14ac:dyDescent="0.45">
      <c r="I1093" t="s">
        <v>197</v>
      </c>
      <c r="J1093" t="s">
        <v>276</v>
      </c>
      <c r="K1093">
        <v>1.3670043919355801E-2</v>
      </c>
      <c r="L1093" t="s">
        <v>164</v>
      </c>
    </row>
    <row r="1094" spans="9:12" x14ac:dyDescent="0.45">
      <c r="I1094" t="s">
        <v>197</v>
      </c>
      <c r="J1094" t="s">
        <v>277</v>
      </c>
      <c r="K1094">
        <v>8.9270816620274751E-2</v>
      </c>
      <c r="L1094" t="s">
        <v>164</v>
      </c>
    </row>
    <row r="1095" spans="9:12" x14ac:dyDescent="0.45">
      <c r="I1095" t="s">
        <v>197</v>
      </c>
      <c r="J1095" t="s">
        <v>278</v>
      </c>
      <c r="K1095">
        <v>6.8482299057862264E-3</v>
      </c>
      <c r="L1095" t="s">
        <v>164</v>
      </c>
    </row>
    <row r="1096" spans="9:12" x14ac:dyDescent="0.45">
      <c r="I1096" t="s">
        <v>197</v>
      </c>
      <c r="J1096" t="s">
        <v>279</v>
      </c>
      <c r="K1096">
        <v>4.4782017934353159E-3</v>
      </c>
      <c r="L1096" t="s">
        <v>164</v>
      </c>
    </row>
    <row r="1097" spans="9:12" x14ac:dyDescent="0.45">
      <c r="I1097" t="s">
        <v>197</v>
      </c>
      <c r="J1097" t="s">
        <v>280</v>
      </c>
      <c r="K1097">
        <v>2.4807790664444326E-2</v>
      </c>
      <c r="L1097" t="s">
        <v>164</v>
      </c>
    </row>
    <row r="1098" spans="9:12" x14ac:dyDescent="0.45">
      <c r="I1098" t="s">
        <v>197</v>
      </c>
      <c r="J1098" t="s">
        <v>281</v>
      </c>
      <c r="K1098">
        <v>1.6208560292358377E-2</v>
      </c>
      <c r="L1098" t="s">
        <v>164</v>
      </c>
    </row>
    <row r="1099" spans="9:12" x14ac:dyDescent="0.45">
      <c r="I1099" t="s">
        <v>197</v>
      </c>
      <c r="J1099" t="s">
        <v>282</v>
      </c>
      <c r="K1099">
        <v>1.7831746083466209E-2</v>
      </c>
      <c r="L1099" t="s">
        <v>164</v>
      </c>
    </row>
    <row r="1100" spans="9:12" x14ac:dyDescent="0.45">
      <c r="I1100" t="s">
        <v>197</v>
      </c>
      <c r="J1100" t="s">
        <v>283</v>
      </c>
      <c r="K1100">
        <v>9.8365209909457588E-2</v>
      </c>
      <c r="L1100" t="s">
        <v>164</v>
      </c>
    </row>
    <row r="1101" spans="9:12" x14ac:dyDescent="0.45">
      <c r="I1101" t="s">
        <v>197</v>
      </c>
      <c r="J1101" t="s">
        <v>284</v>
      </c>
      <c r="K1101">
        <v>6.633790499619349E-3</v>
      </c>
      <c r="L1101" t="s">
        <v>164</v>
      </c>
    </row>
    <row r="1102" spans="9:12" x14ac:dyDescent="0.45">
      <c r="I1102" t="s">
        <v>197</v>
      </c>
      <c r="J1102" t="s">
        <v>285</v>
      </c>
      <c r="K1102">
        <v>1.0356539914926995E-3</v>
      </c>
      <c r="L1102" t="s">
        <v>164</v>
      </c>
    </row>
    <row r="1103" spans="9:12" x14ac:dyDescent="0.45">
      <c r="I1103" t="s">
        <v>197</v>
      </c>
      <c r="J1103" t="s">
        <v>286</v>
      </c>
      <c r="K1103">
        <v>3.0059181765865434E-2</v>
      </c>
      <c r="L1103" t="s">
        <v>164</v>
      </c>
    </row>
    <row r="1104" spans="9:12" x14ac:dyDescent="0.45">
      <c r="I1104" t="s">
        <v>197</v>
      </c>
      <c r="J1104" t="s">
        <v>287</v>
      </c>
      <c r="K1104">
        <v>1.8101361396381566E-2</v>
      </c>
      <c r="L1104" t="s">
        <v>164</v>
      </c>
    </row>
    <row r="1105" spans="9:12" x14ac:dyDescent="0.45">
      <c r="I1105" t="s">
        <v>197</v>
      </c>
      <c r="J1105" t="s">
        <v>288</v>
      </c>
      <c r="K1105">
        <v>1.9719394938563006E-2</v>
      </c>
      <c r="L1105" t="s">
        <v>164</v>
      </c>
    </row>
    <row r="1106" spans="9:12" x14ac:dyDescent="0.45">
      <c r="I1106" t="s">
        <v>197</v>
      </c>
      <c r="J1106" t="s">
        <v>289</v>
      </c>
      <c r="K1106">
        <v>0.10637011302094337</v>
      </c>
      <c r="L1106" t="s">
        <v>164</v>
      </c>
    </row>
    <row r="1107" spans="9:12" x14ac:dyDescent="0.45">
      <c r="I1107" t="s">
        <v>197</v>
      </c>
      <c r="J1107" t="s">
        <v>290</v>
      </c>
      <c r="K1107">
        <v>6.7382710785114331E-3</v>
      </c>
      <c r="L1107" t="s">
        <v>164</v>
      </c>
    </row>
    <row r="1108" spans="9:12" x14ac:dyDescent="0.45">
      <c r="I1108" t="s">
        <v>197</v>
      </c>
      <c r="J1108" t="s">
        <v>291</v>
      </c>
      <c r="K1108">
        <v>0</v>
      </c>
      <c r="L1108" t="s">
        <v>164</v>
      </c>
    </row>
    <row r="1109" spans="9:12" x14ac:dyDescent="0.45">
      <c r="I1109" t="s">
        <v>197</v>
      </c>
      <c r="J1109" t="s">
        <v>292</v>
      </c>
      <c r="K1109">
        <v>9.8062864870560873E-3</v>
      </c>
      <c r="L1109" t="s">
        <v>164</v>
      </c>
    </row>
    <row r="1110" spans="9:12" x14ac:dyDescent="0.45">
      <c r="I1110" t="s">
        <v>197</v>
      </c>
      <c r="J1110" t="s">
        <v>293</v>
      </c>
      <c r="K1110">
        <v>8.0613333711288745E-3</v>
      </c>
      <c r="L1110" t="s">
        <v>164</v>
      </c>
    </row>
    <row r="1111" spans="9:12" x14ac:dyDescent="0.45">
      <c r="I1111" t="s">
        <v>197</v>
      </c>
      <c r="J1111" t="s">
        <v>294</v>
      </c>
      <c r="K1111">
        <v>8.8817588755741236E-3</v>
      </c>
      <c r="L1111" t="s">
        <v>164</v>
      </c>
    </row>
    <row r="1112" spans="9:12" x14ac:dyDescent="0.45">
      <c r="I1112" t="s">
        <v>197</v>
      </c>
      <c r="J1112" t="s">
        <v>295</v>
      </c>
      <c r="K1112">
        <v>5.2034057874134301E-2</v>
      </c>
      <c r="L1112" t="s">
        <v>164</v>
      </c>
    </row>
    <row r="1113" spans="9:12" x14ac:dyDescent="0.45">
      <c r="I1113" t="s">
        <v>197</v>
      </c>
      <c r="J1113" t="s">
        <v>296</v>
      </c>
      <c r="K1113">
        <v>4.4515568961983869E-3</v>
      </c>
      <c r="L1113" t="s">
        <v>164</v>
      </c>
    </row>
    <row r="1114" spans="9:12" x14ac:dyDescent="0.45">
      <c r="I1114" t="s">
        <v>197</v>
      </c>
      <c r="J1114" t="s">
        <v>297</v>
      </c>
      <c r="K1114">
        <v>0</v>
      </c>
      <c r="L1114" t="s">
        <v>164</v>
      </c>
    </row>
    <row r="1115" spans="9:12" x14ac:dyDescent="0.45">
      <c r="I1115" t="s">
        <v>198</v>
      </c>
      <c r="J1115" t="s">
        <v>163</v>
      </c>
      <c r="K1115">
        <v>1.5083229151277966E-2</v>
      </c>
      <c r="L1115" t="s">
        <v>164</v>
      </c>
    </row>
    <row r="1116" spans="9:12" x14ac:dyDescent="0.45">
      <c r="I1116" t="s">
        <v>198</v>
      </c>
      <c r="J1116" t="s">
        <v>165</v>
      </c>
      <c r="K1116">
        <v>1.0302787098516727E-2</v>
      </c>
      <c r="L1116" t="s">
        <v>164</v>
      </c>
    </row>
    <row r="1117" spans="9:12" x14ac:dyDescent="0.45">
      <c r="I1117" t="s">
        <v>198</v>
      </c>
      <c r="J1117" t="s">
        <v>166</v>
      </c>
      <c r="K1117">
        <v>1.0264489197929619E-2</v>
      </c>
      <c r="L1117" t="s">
        <v>164</v>
      </c>
    </row>
    <row r="1118" spans="9:12" x14ac:dyDescent="0.45">
      <c r="I1118" t="s">
        <v>198</v>
      </c>
      <c r="J1118" t="s">
        <v>262</v>
      </c>
      <c r="K1118">
        <v>5.3720020372151504E-2</v>
      </c>
      <c r="L1118" t="s">
        <v>164</v>
      </c>
    </row>
    <row r="1119" spans="9:12" x14ac:dyDescent="0.45">
      <c r="I1119" t="s">
        <v>198</v>
      </c>
      <c r="J1119" t="s">
        <v>263</v>
      </c>
      <c r="K1119">
        <v>5.6855580362538596E-3</v>
      </c>
      <c r="L1119" t="s">
        <v>164</v>
      </c>
    </row>
    <row r="1120" spans="9:12" x14ac:dyDescent="0.45">
      <c r="I1120" t="s">
        <v>198</v>
      </c>
      <c r="J1120" t="s">
        <v>264</v>
      </c>
      <c r="K1120">
        <v>5.6758812935139169E-5</v>
      </c>
      <c r="L1120" t="s">
        <v>164</v>
      </c>
    </row>
    <row r="1121" spans="9:12" x14ac:dyDescent="0.45">
      <c r="I1121" t="s">
        <v>198</v>
      </c>
      <c r="J1121" t="s">
        <v>167</v>
      </c>
      <c r="K1121">
        <v>1.2642485799187145E-2</v>
      </c>
      <c r="L1121" t="s">
        <v>164</v>
      </c>
    </row>
    <row r="1122" spans="9:12" x14ac:dyDescent="0.45">
      <c r="I1122" t="s">
        <v>198</v>
      </c>
      <c r="J1122" t="s">
        <v>168</v>
      </c>
      <c r="K1122">
        <v>8.6990493788362527E-3</v>
      </c>
      <c r="L1122" t="s">
        <v>164</v>
      </c>
    </row>
    <row r="1123" spans="9:12" x14ac:dyDescent="0.45">
      <c r="I1123" t="s">
        <v>198</v>
      </c>
      <c r="J1123" t="s">
        <v>169</v>
      </c>
      <c r="K1123">
        <v>9.1288110230244857E-3</v>
      </c>
      <c r="L1123" t="s">
        <v>164</v>
      </c>
    </row>
    <row r="1124" spans="9:12" x14ac:dyDescent="0.45">
      <c r="I1124" t="s">
        <v>198</v>
      </c>
      <c r="J1124" t="s">
        <v>265</v>
      </c>
      <c r="K1124">
        <v>4.8680994857492464E-2</v>
      </c>
      <c r="L1124" t="s">
        <v>164</v>
      </c>
    </row>
    <row r="1125" spans="9:12" x14ac:dyDescent="0.45">
      <c r="I1125" t="s">
        <v>198</v>
      </c>
      <c r="J1125" t="s">
        <v>266</v>
      </c>
      <c r="K1125">
        <v>4.8151462026996645E-3</v>
      </c>
      <c r="L1125" t="s">
        <v>164</v>
      </c>
    </row>
    <row r="1126" spans="9:12" x14ac:dyDescent="0.45">
      <c r="I1126" t="s">
        <v>198</v>
      </c>
      <c r="J1126" t="s">
        <v>267</v>
      </c>
      <c r="K1126">
        <v>2.4679524010107041E-3</v>
      </c>
      <c r="L1126" t="s">
        <v>164</v>
      </c>
    </row>
    <row r="1127" spans="9:12" x14ac:dyDescent="0.45">
      <c r="I1127" t="s">
        <v>198</v>
      </c>
      <c r="J1127" t="s">
        <v>170</v>
      </c>
      <c r="K1127">
        <v>1.4134964393263422E-2</v>
      </c>
      <c r="L1127" t="s">
        <v>164</v>
      </c>
    </row>
    <row r="1128" spans="9:12" x14ac:dyDescent="0.45">
      <c r="I1128" t="s">
        <v>198</v>
      </c>
      <c r="J1128" t="s">
        <v>171</v>
      </c>
      <c r="K1128">
        <v>9.7932165380189944E-3</v>
      </c>
      <c r="L1128" t="s">
        <v>164</v>
      </c>
    </row>
    <row r="1129" spans="9:12" x14ac:dyDescent="0.45">
      <c r="I1129" t="s">
        <v>198</v>
      </c>
      <c r="J1129" t="s">
        <v>172</v>
      </c>
      <c r="K1129">
        <v>1.0683407591871195E-2</v>
      </c>
      <c r="L1129" t="s">
        <v>164</v>
      </c>
    </row>
    <row r="1130" spans="9:12" x14ac:dyDescent="0.45">
      <c r="I1130" t="s">
        <v>198</v>
      </c>
      <c r="J1130" t="s">
        <v>268</v>
      </c>
      <c r="K1130">
        <v>5.9784303379538294E-2</v>
      </c>
      <c r="L1130" t="s">
        <v>164</v>
      </c>
    </row>
    <row r="1131" spans="9:12" x14ac:dyDescent="0.45">
      <c r="I1131" t="s">
        <v>198</v>
      </c>
      <c r="J1131" t="s">
        <v>269</v>
      </c>
      <c r="K1131">
        <v>5.5697689474636615E-3</v>
      </c>
      <c r="L1131" t="s">
        <v>164</v>
      </c>
    </row>
    <row r="1132" spans="9:12" x14ac:dyDescent="0.45">
      <c r="I1132" t="s">
        <v>198</v>
      </c>
      <c r="J1132" t="s">
        <v>270</v>
      </c>
      <c r="K1132">
        <v>2.9857823489505605E-3</v>
      </c>
      <c r="L1132" t="s">
        <v>164</v>
      </c>
    </row>
    <row r="1133" spans="9:12" x14ac:dyDescent="0.45">
      <c r="I1133" t="s">
        <v>198</v>
      </c>
      <c r="J1133" t="s">
        <v>173</v>
      </c>
      <c r="K1133">
        <v>2.2983766420634467E-2</v>
      </c>
      <c r="L1133" t="s">
        <v>164</v>
      </c>
    </row>
    <row r="1134" spans="9:12" x14ac:dyDescent="0.45">
      <c r="I1134" t="s">
        <v>198</v>
      </c>
      <c r="J1134" t="s">
        <v>174</v>
      </c>
      <c r="K1134">
        <v>1.4111214731704957E-2</v>
      </c>
      <c r="L1134" t="s">
        <v>164</v>
      </c>
    </row>
    <row r="1135" spans="9:12" x14ac:dyDescent="0.45">
      <c r="I1135" t="s">
        <v>198</v>
      </c>
      <c r="J1135" t="s">
        <v>175</v>
      </c>
      <c r="K1135">
        <v>1.5999152116327346E-2</v>
      </c>
      <c r="L1135" t="s">
        <v>164</v>
      </c>
    </row>
    <row r="1136" spans="9:12" x14ac:dyDescent="0.45">
      <c r="I1136" t="s">
        <v>198</v>
      </c>
      <c r="J1136" t="s">
        <v>271</v>
      </c>
      <c r="K1136">
        <v>9.0173889578378727E-2</v>
      </c>
      <c r="L1136" t="s">
        <v>164</v>
      </c>
    </row>
    <row r="1137" spans="9:12" x14ac:dyDescent="0.45">
      <c r="I1137" t="s">
        <v>198</v>
      </c>
      <c r="J1137" t="s">
        <v>272</v>
      </c>
      <c r="K1137">
        <v>6.6386422794975416E-3</v>
      </c>
      <c r="L1137" t="s">
        <v>164</v>
      </c>
    </row>
    <row r="1138" spans="9:12" x14ac:dyDescent="0.45">
      <c r="I1138" t="s">
        <v>198</v>
      </c>
      <c r="J1138" t="s">
        <v>273</v>
      </c>
      <c r="K1138">
        <v>1.7143954200547523E-3</v>
      </c>
      <c r="L1138" t="s">
        <v>164</v>
      </c>
    </row>
    <row r="1139" spans="9:12" x14ac:dyDescent="0.45">
      <c r="I1139" t="s">
        <v>198</v>
      </c>
      <c r="J1139" t="s">
        <v>274</v>
      </c>
      <c r="K1139">
        <v>1.8110295537324319E-2</v>
      </c>
      <c r="L1139" t="s">
        <v>164</v>
      </c>
    </row>
    <row r="1140" spans="9:12" x14ac:dyDescent="0.45">
      <c r="I1140" t="s">
        <v>198</v>
      </c>
      <c r="J1140" t="s">
        <v>275</v>
      </c>
      <c r="K1140">
        <v>1.1269705526501817E-2</v>
      </c>
      <c r="L1140" t="s">
        <v>164</v>
      </c>
    </row>
    <row r="1141" spans="9:12" x14ac:dyDescent="0.45">
      <c r="I1141" t="s">
        <v>198</v>
      </c>
      <c r="J1141" t="s">
        <v>276</v>
      </c>
      <c r="K1141">
        <v>1.3671205978164689E-2</v>
      </c>
      <c r="L1141" t="s">
        <v>164</v>
      </c>
    </row>
    <row r="1142" spans="9:12" x14ac:dyDescent="0.45">
      <c r="I1142" t="s">
        <v>198</v>
      </c>
      <c r="J1142" t="s">
        <v>277</v>
      </c>
      <c r="K1142">
        <v>8.3680657505220427E-2</v>
      </c>
      <c r="L1142" t="s">
        <v>164</v>
      </c>
    </row>
    <row r="1143" spans="9:12" x14ac:dyDescent="0.45">
      <c r="I1143" t="s">
        <v>198</v>
      </c>
      <c r="J1143" t="s">
        <v>278</v>
      </c>
      <c r="K1143">
        <v>6.5025127181723335E-3</v>
      </c>
      <c r="L1143" t="s">
        <v>164</v>
      </c>
    </row>
    <row r="1144" spans="9:12" x14ac:dyDescent="0.45">
      <c r="I1144" t="s">
        <v>198</v>
      </c>
      <c r="J1144" t="s">
        <v>279</v>
      </c>
      <c r="K1144">
        <v>3.8540731235135904E-3</v>
      </c>
      <c r="L1144" t="s">
        <v>164</v>
      </c>
    </row>
    <row r="1145" spans="9:12" x14ac:dyDescent="0.45">
      <c r="I1145" t="s">
        <v>198</v>
      </c>
      <c r="J1145" t="s">
        <v>280</v>
      </c>
      <c r="K1145">
        <v>2.6800028359913283E-2</v>
      </c>
      <c r="L1145" t="s">
        <v>164</v>
      </c>
    </row>
    <row r="1146" spans="9:12" x14ac:dyDescent="0.45">
      <c r="I1146" t="s">
        <v>198</v>
      </c>
      <c r="J1146" t="s">
        <v>281</v>
      </c>
      <c r="K1146">
        <v>1.5290810076929158E-2</v>
      </c>
      <c r="L1146" t="s">
        <v>164</v>
      </c>
    </row>
    <row r="1147" spans="9:12" x14ac:dyDescent="0.45">
      <c r="I1147" t="s">
        <v>198</v>
      </c>
      <c r="J1147" t="s">
        <v>282</v>
      </c>
      <c r="K1147">
        <v>1.7044345118718687E-2</v>
      </c>
      <c r="L1147" t="s">
        <v>164</v>
      </c>
    </row>
    <row r="1148" spans="9:12" x14ac:dyDescent="0.45">
      <c r="I1148" t="s">
        <v>198</v>
      </c>
      <c r="J1148" t="s">
        <v>283</v>
      </c>
      <c r="K1148">
        <v>9.1680502966025604E-2</v>
      </c>
      <c r="L1148" t="s">
        <v>164</v>
      </c>
    </row>
    <row r="1149" spans="9:12" x14ac:dyDescent="0.45">
      <c r="I1149" t="s">
        <v>198</v>
      </c>
      <c r="J1149" t="s">
        <v>284</v>
      </c>
      <c r="K1149">
        <v>6.5701173252075062E-3</v>
      </c>
      <c r="L1149" t="s">
        <v>164</v>
      </c>
    </row>
    <row r="1150" spans="9:12" x14ac:dyDescent="0.45">
      <c r="I1150" t="s">
        <v>198</v>
      </c>
      <c r="J1150" t="s">
        <v>285</v>
      </c>
      <c r="K1150">
        <v>1.9544397822882195E-3</v>
      </c>
      <c r="L1150" t="s">
        <v>164</v>
      </c>
    </row>
    <row r="1151" spans="9:12" x14ac:dyDescent="0.45">
      <c r="I1151" t="s">
        <v>198</v>
      </c>
      <c r="J1151" t="s">
        <v>286</v>
      </c>
      <c r="K1151">
        <v>3.3869787456312875E-2</v>
      </c>
      <c r="L1151" t="s">
        <v>164</v>
      </c>
    </row>
    <row r="1152" spans="9:12" x14ac:dyDescent="0.45">
      <c r="I1152" t="s">
        <v>198</v>
      </c>
      <c r="J1152" t="s">
        <v>287</v>
      </c>
      <c r="K1152">
        <v>1.8047437380375602E-2</v>
      </c>
      <c r="L1152" t="s">
        <v>164</v>
      </c>
    </row>
    <row r="1153" spans="9:12" x14ac:dyDescent="0.45">
      <c r="I1153" t="s">
        <v>198</v>
      </c>
      <c r="J1153" t="s">
        <v>288</v>
      </c>
      <c r="K1153">
        <v>1.9132532737066343E-2</v>
      </c>
      <c r="L1153" t="s">
        <v>164</v>
      </c>
    </row>
    <row r="1154" spans="9:12" x14ac:dyDescent="0.45">
      <c r="I1154" t="s">
        <v>198</v>
      </c>
      <c r="J1154" t="s">
        <v>289</v>
      </c>
      <c r="K1154">
        <v>0.10471984543747208</v>
      </c>
      <c r="L1154" t="s">
        <v>164</v>
      </c>
    </row>
    <row r="1155" spans="9:12" x14ac:dyDescent="0.45">
      <c r="I1155" t="s">
        <v>198</v>
      </c>
      <c r="J1155" t="s">
        <v>290</v>
      </c>
      <c r="K1155">
        <v>6.8486227279261017E-3</v>
      </c>
      <c r="L1155" t="s">
        <v>164</v>
      </c>
    </row>
    <row r="1156" spans="9:12" x14ac:dyDescent="0.45">
      <c r="I1156" t="s">
        <v>198</v>
      </c>
      <c r="J1156" t="s">
        <v>291</v>
      </c>
      <c r="K1156">
        <v>0</v>
      </c>
      <c r="L1156" t="s">
        <v>164</v>
      </c>
    </row>
    <row r="1157" spans="9:12" x14ac:dyDescent="0.45">
      <c r="I1157" t="s">
        <v>198</v>
      </c>
      <c r="J1157" t="s">
        <v>292</v>
      </c>
      <c r="K1157">
        <v>1.2814649486308165E-2</v>
      </c>
      <c r="L1157" t="s">
        <v>164</v>
      </c>
    </row>
    <row r="1158" spans="9:12" x14ac:dyDescent="0.45">
      <c r="I1158" t="s">
        <v>198</v>
      </c>
      <c r="J1158" t="s">
        <v>293</v>
      </c>
      <c r="K1158">
        <v>8.7439209729264049E-3</v>
      </c>
      <c r="L1158" t="s">
        <v>164</v>
      </c>
    </row>
    <row r="1159" spans="9:12" x14ac:dyDescent="0.45">
      <c r="I1159" t="s">
        <v>198</v>
      </c>
      <c r="J1159" t="s">
        <v>294</v>
      </c>
      <c r="K1159">
        <v>8.9670684310258226E-3</v>
      </c>
      <c r="L1159" t="s">
        <v>164</v>
      </c>
    </row>
    <row r="1160" spans="9:12" x14ac:dyDescent="0.45">
      <c r="I1160" t="s">
        <v>198</v>
      </c>
      <c r="J1160" t="s">
        <v>295</v>
      </c>
      <c r="K1160">
        <v>4.9769640802610177E-2</v>
      </c>
      <c r="L1160" t="s">
        <v>164</v>
      </c>
    </row>
    <row r="1161" spans="9:12" x14ac:dyDescent="0.45">
      <c r="I1161" t="s">
        <v>198</v>
      </c>
      <c r="J1161" t="s">
        <v>296</v>
      </c>
      <c r="K1161">
        <v>4.5380144729760021E-3</v>
      </c>
      <c r="L1161" t="s">
        <v>164</v>
      </c>
    </row>
    <row r="1162" spans="9:12" x14ac:dyDescent="0.45">
      <c r="I1162" t="s">
        <v>198</v>
      </c>
      <c r="J1162" t="s">
        <v>297</v>
      </c>
      <c r="K1162">
        <v>0</v>
      </c>
      <c r="L1162" t="s">
        <v>164</v>
      </c>
    </row>
    <row r="1163" spans="9:12" x14ac:dyDescent="0.45">
      <c r="I1163" t="s">
        <v>199</v>
      </c>
      <c r="J1163" t="s">
        <v>163</v>
      </c>
      <c r="K1163">
        <v>1.4275612715242494E-2</v>
      </c>
      <c r="L1163" t="s">
        <v>164</v>
      </c>
    </row>
    <row r="1164" spans="9:12" x14ac:dyDescent="0.45">
      <c r="I1164" t="s">
        <v>199</v>
      </c>
      <c r="J1164" t="s">
        <v>165</v>
      </c>
      <c r="K1164">
        <v>1.0353778198950623E-2</v>
      </c>
      <c r="L1164" t="s">
        <v>164</v>
      </c>
    </row>
    <row r="1165" spans="9:12" x14ac:dyDescent="0.45">
      <c r="I1165" t="s">
        <v>199</v>
      </c>
      <c r="J1165" t="s">
        <v>166</v>
      </c>
      <c r="K1165">
        <v>1.0748246160853868E-2</v>
      </c>
      <c r="L1165" t="s">
        <v>164</v>
      </c>
    </row>
    <row r="1166" spans="9:12" x14ac:dyDescent="0.45">
      <c r="I1166" t="s">
        <v>199</v>
      </c>
      <c r="J1166" t="s">
        <v>262</v>
      </c>
      <c r="K1166">
        <v>5.2854214691321524E-2</v>
      </c>
      <c r="L1166" t="s">
        <v>164</v>
      </c>
    </row>
    <row r="1167" spans="9:12" x14ac:dyDescent="0.45">
      <c r="I1167" t="s">
        <v>199</v>
      </c>
      <c r="J1167" t="s">
        <v>263</v>
      </c>
      <c r="K1167">
        <v>4.7723031136518157E-3</v>
      </c>
      <c r="L1167" t="s">
        <v>164</v>
      </c>
    </row>
    <row r="1168" spans="9:12" x14ac:dyDescent="0.45">
      <c r="I1168" t="s">
        <v>199</v>
      </c>
      <c r="J1168" t="s">
        <v>264</v>
      </c>
      <c r="K1168">
        <v>1.5218269062649764E-4</v>
      </c>
      <c r="L1168" t="s">
        <v>164</v>
      </c>
    </row>
    <row r="1169" spans="9:12" x14ac:dyDescent="0.45">
      <c r="I1169" t="s">
        <v>199</v>
      </c>
      <c r="J1169" t="s">
        <v>167</v>
      </c>
      <c r="K1169">
        <v>1.2275161798060158E-2</v>
      </c>
      <c r="L1169" t="s">
        <v>164</v>
      </c>
    </row>
    <row r="1170" spans="9:12" x14ac:dyDescent="0.45">
      <c r="I1170" t="s">
        <v>199</v>
      </c>
      <c r="J1170" t="s">
        <v>168</v>
      </c>
      <c r="K1170">
        <v>8.9845719762707641E-3</v>
      </c>
      <c r="L1170" t="s">
        <v>164</v>
      </c>
    </row>
    <row r="1171" spans="9:12" x14ac:dyDescent="0.45">
      <c r="I1171" t="s">
        <v>199</v>
      </c>
      <c r="J1171" t="s">
        <v>169</v>
      </c>
      <c r="K1171">
        <v>9.697288160558792E-3</v>
      </c>
      <c r="L1171" t="s">
        <v>164</v>
      </c>
    </row>
    <row r="1172" spans="9:12" x14ac:dyDescent="0.45">
      <c r="I1172" t="s">
        <v>199</v>
      </c>
      <c r="J1172" t="s">
        <v>265</v>
      </c>
      <c r="K1172">
        <v>5.0608268442311775E-2</v>
      </c>
      <c r="L1172" t="s">
        <v>164</v>
      </c>
    </row>
    <row r="1173" spans="9:12" x14ac:dyDescent="0.45">
      <c r="I1173" t="s">
        <v>199</v>
      </c>
      <c r="J1173" t="s">
        <v>266</v>
      </c>
      <c r="K1173">
        <v>5.0151318230673494E-3</v>
      </c>
      <c r="L1173" t="s">
        <v>164</v>
      </c>
    </row>
    <row r="1174" spans="9:12" x14ac:dyDescent="0.45">
      <c r="I1174" t="s">
        <v>199</v>
      </c>
      <c r="J1174" t="s">
        <v>267</v>
      </c>
      <c r="K1174">
        <v>3.1845177216041306E-3</v>
      </c>
      <c r="L1174" t="s">
        <v>164</v>
      </c>
    </row>
    <row r="1175" spans="9:12" x14ac:dyDescent="0.45">
      <c r="I1175" t="s">
        <v>199</v>
      </c>
      <c r="J1175" t="s">
        <v>170</v>
      </c>
      <c r="K1175">
        <v>1.3053631939237587E-2</v>
      </c>
      <c r="L1175" t="s">
        <v>164</v>
      </c>
    </row>
    <row r="1176" spans="9:12" x14ac:dyDescent="0.45">
      <c r="I1176" t="s">
        <v>199</v>
      </c>
      <c r="J1176" t="s">
        <v>171</v>
      </c>
      <c r="K1176">
        <v>9.4264699926486506E-3</v>
      </c>
      <c r="L1176" t="s">
        <v>164</v>
      </c>
    </row>
    <row r="1177" spans="9:12" x14ac:dyDescent="0.45">
      <c r="I1177" t="s">
        <v>199</v>
      </c>
      <c r="J1177" t="s">
        <v>172</v>
      </c>
      <c r="K1177">
        <v>1.0439887101854371E-2</v>
      </c>
      <c r="L1177" t="s">
        <v>164</v>
      </c>
    </row>
    <row r="1178" spans="9:12" x14ac:dyDescent="0.45">
      <c r="I1178" t="s">
        <v>199</v>
      </c>
      <c r="J1178" t="s">
        <v>268</v>
      </c>
      <c r="K1178">
        <v>5.620390942525496E-2</v>
      </c>
      <c r="L1178" t="s">
        <v>164</v>
      </c>
    </row>
    <row r="1179" spans="9:12" x14ac:dyDescent="0.45">
      <c r="I1179" t="s">
        <v>199</v>
      </c>
      <c r="J1179" t="s">
        <v>269</v>
      </c>
      <c r="K1179">
        <v>5.4093705706501193E-3</v>
      </c>
      <c r="L1179" t="s">
        <v>164</v>
      </c>
    </row>
    <row r="1180" spans="9:12" x14ac:dyDescent="0.45">
      <c r="I1180" t="s">
        <v>199</v>
      </c>
      <c r="J1180" t="s">
        <v>270</v>
      </c>
      <c r="K1180">
        <v>3.6124035436807642E-3</v>
      </c>
      <c r="L1180" t="s">
        <v>164</v>
      </c>
    </row>
    <row r="1181" spans="9:12" x14ac:dyDescent="0.45">
      <c r="I1181" t="s">
        <v>199</v>
      </c>
      <c r="J1181" t="s">
        <v>173</v>
      </c>
      <c r="K1181">
        <v>2.2591258872634135E-2</v>
      </c>
      <c r="L1181" t="s">
        <v>164</v>
      </c>
    </row>
    <row r="1182" spans="9:12" x14ac:dyDescent="0.45">
      <c r="I1182" t="s">
        <v>199</v>
      </c>
      <c r="J1182" t="s">
        <v>174</v>
      </c>
      <c r="K1182">
        <v>1.4135718097657103E-2</v>
      </c>
      <c r="L1182" t="s">
        <v>164</v>
      </c>
    </row>
    <row r="1183" spans="9:12" x14ac:dyDescent="0.45">
      <c r="I1183" t="s">
        <v>199</v>
      </c>
      <c r="J1183" t="s">
        <v>175</v>
      </c>
      <c r="K1183">
        <v>1.6054884300473551E-2</v>
      </c>
      <c r="L1183" t="s">
        <v>164</v>
      </c>
    </row>
    <row r="1184" spans="9:12" x14ac:dyDescent="0.45">
      <c r="I1184" t="s">
        <v>199</v>
      </c>
      <c r="J1184" t="s">
        <v>271</v>
      </c>
      <c r="K1184">
        <v>9.0703583031432375E-2</v>
      </c>
      <c r="L1184" t="s">
        <v>164</v>
      </c>
    </row>
    <row r="1185" spans="9:12" x14ac:dyDescent="0.45">
      <c r="I1185" t="s">
        <v>199</v>
      </c>
      <c r="J1185" t="s">
        <v>272</v>
      </c>
      <c r="K1185">
        <v>7.3548506173357411E-3</v>
      </c>
      <c r="L1185" t="s">
        <v>164</v>
      </c>
    </row>
    <row r="1186" spans="9:12" x14ac:dyDescent="0.45">
      <c r="I1186" t="s">
        <v>199</v>
      </c>
      <c r="J1186" t="s">
        <v>273</v>
      </c>
      <c r="K1186">
        <v>4.7003691568537915E-3</v>
      </c>
      <c r="L1186" t="s">
        <v>164</v>
      </c>
    </row>
    <row r="1187" spans="9:12" x14ac:dyDescent="0.45">
      <c r="I1187" t="s">
        <v>199</v>
      </c>
      <c r="J1187" t="s">
        <v>274</v>
      </c>
      <c r="K1187">
        <v>2.0526031813491233E-2</v>
      </c>
      <c r="L1187" t="s">
        <v>164</v>
      </c>
    </row>
    <row r="1188" spans="9:12" x14ac:dyDescent="0.45">
      <c r="I1188" t="s">
        <v>199</v>
      </c>
      <c r="J1188" t="s">
        <v>275</v>
      </c>
      <c r="K1188">
        <v>1.2132470979011566E-2</v>
      </c>
      <c r="L1188" t="s">
        <v>164</v>
      </c>
    </row>
    <row r="1189" spans="9:12" x14ac:dyDescent="0.45">
      <c r="I1189" t="s">
        <v>199</v>
      </c>
      <c r="J1189" t="s">
        <v>276</v>
      </c>
      <c r="K1189">
        <v>1.408273102362958E-2</v>
      </c>
      <c r="L1189" t="s">
        <v>164</v>
      </c>
    </row>
    <row r="1190" spans="9:12" x14ac:dyDescent="0.45">
      <c r="I1190" t="s">
        <v>199</v>
      </c>
      <c r="J1190" t="s">
        <v>277</v>
      </c>
      <c r="K1190">
        <v>8.3207566323988347E-2</v>
      </c>
      <c r="L1190" t="s">
        <v>164</v>
      </c>
    </row>
    <row r="1191" spans="9:12" x14ac:dyDescent="0.45">
      <c r="I1191" t="s">
        <v>199</v>
      </c>
      <c r="J1191" t="s">
        <v>278</v>
      </c>
      <c r="K1191">
        <v>7.3808393543710292E-3</v>
      </c>
      <c r="L1191" t="s">
        <v>164</v>
      </c>
    </row>
    <row r="1192" spans="9:12" x14ac:dyDescent="0.45">
      <c r="I1192" t="s">
        <v>199</v>
      </c>
      <c r="J1192" t="s">
        <v>279</v>
      </c>
      <c r="K1192">
        <v>4.0785947781130484E-3</v>
      </c>
      <c r="L1192" t="s">
        <v>164</v>
      </c>
    </row>
    <row r="1193" spans="9:12" x14ac:dyDescent="0.45">
      <c r="I1193" t="s">
        <v>199</v>
      </c>
      <c r="J1193" t="s">
        <v>280</v>
      </c>
      <c r="K1193">
        <v>2.5245123947334285E-2</v>
      </c>
      <c r="L1193" t="s">
        <v>164</v>
      </c>
    </row>
    <row r="1194" spans="9:12" x14ac:dyDescent="0.45">
      <c r="I1194" t="s">
        <v>199</v>
      </c>
      <c r="J1194" t="s">
        <v>281</v>
      </c>
      <c r="K1194">
        <v>1.4551793247280363E-2</v>
      </c>
      <c r="L1194" t="s">
        <v>164</v>
      </c>
    </row>
    <row r="1195" spans="9:12" x14ac:dyDescent="0.45">
      <c r="I1195" t="s">
        <v>199</v>
      </c>
      <c r="J1195" t="s">
        <v>282</v>
      </c>
      <c r="K1195">
        <v>1.6348536170676838E-2</v>
      </c>
      <c r="L1195" t="s">
        <v>164</v>
      </c>
    </row>
    <row r="1196" spans="9:12" x14ac:dyDescent="0.45">
      <c r="I1196" t="s">
        <v>199</v>
      </c>
      <c r="J1196" t="s">
        <v>283</v>
      </c>
      <c r="K1196">
        <v>9.1042441715260602E-2</v>
      </c>
      <c r="L1196" t="s">
        <v>164</v>
      </c>
    </row>
    <row r="1197" spans="9:12" x14ac:dyDescent="0.45">
      <c r="I1197" t="s">
        <v>199</v>
      </c>
      <c r="J1197" t="s">
        <v>284</v>
      </c>
      <c r="K1197">
        <v>7.6141726618822164E-3</v>
      </c>
      <c r="L1197" t="s">
        <v>164</v>
      </c>
    </row>
    <row r="1198" spans="9:12" x14ac:dyDescent="0.45">
      <c r="I1198" t="s">
        <v>199</v>
      </c>
      <c r="J1198" t="s">
        <v>285</v>
      </c>
      <c r="K1198">
        <v>2.6971338966520963E-3</v>
      </c>
      <c r="L1198" t="s">
        <v>164</v>
      </c>
    </row>
    <row r="1199" spans="9:12" x14ac:dyDescent="0.45">
      <c r="I1199" t="s">
        <v>199</v>
      </c>
      <c r="J1199" t="s">
        <v>286</v>
      </c>
      <c r="K1199">
        <v>3.2572542174020461E-2</v>
      </c>
      <c r="L1199" t="s">
        <v>164</v>
      </c>
    </row>
    <row r="1200" spans="9:12" x14ac:dyDescent="0.45">
      <c r="I1200" t="s">
        <v>199</v>
      </c>
      <c r="J1200" t="s">
        <v>287</v>
      </c>
      <c r="K1200">
        <v>1.8216029170444726E-2</v>
      </c>
      <c r="L1200" t="s">
        <v>164</v>
      </c>
    </row>
    <row r="1201" spans="9:12" x14ac:dyDescent="0.45">
      <c r="I1201" t="s">
        <v>199</v>
      </c>
      <c r="J1201" t="s">
        <v>288</v>
      </c>
      <c r="K1201">
        <v>1.9245381411297419E-2</v>
      </c>
      <c r="L1201" t="s">
        <v>164</v>
      </c>
    </row>
    <row r="1202" spans="9:12" x14ac:dyDescent="0.45">
      <c r="I1202" t="s">
        <v>199</v>
      </c>
      <c r="J1202" t="s">
        <v>289</v>
      </c>
      <c r="K1202">
        <v>0.10129935730277323</v>
      </c>
      <c r="L1202" t="s">
        <v>164</v>
      </c>
    </row>
    <row r="1203" spans="9:12" x14ac:dyDescent="0.45">
      <c r="I1203" t="s">
        <v>199</v>
      </c>
      <c r="J1203" t="s">
        <v>290</v>
      </c>
      <c r="K1203">
        <v>7.3026979227860849E-3</v>
      </c>
      <c r="L1203" t="s">
        <v>164</v>
      </c>
    </row>
    <row r="1204" spans="9:12" x14ac:dyDescent="0.45">
      <c r="I1204" t="s">
        <v>199</v>
      </c>
      <c r="J1204" t="s">
        <v>291</v>
      </c>
      <c r="K1204">
        <v>0</v>
      </c>
      <c r="L1204" t="s">
        <v>164</v>
      </c>
    </row>
    <row r="1205" spans="9:12" x14ac:dyDescent="0.45">
      <c r="I1205" t="s">
        <v>199</v>
      </c>
      <c r="J1205" t="s">
        <v>292</v>
      </c>
      <c r="K1205">
        <v>1.3170014279617028E-2</v>
      </c>
      <c r="L1205" t="s">
        <v>164</v>
      </c>
    </row>
    <row r="1206" spans="9:12" x14ac:dyDescent="0.45">
      <c r="I1206" t="s">
        <v>199</v>
      </c>
      <c r="J1206" t="s">
        <v>293</v>
      </c>
      <c r="K1206">
        <v>9.3752501715733995E-3</v>
      </c>
      <c r="L1206" t="s">
        <v>164</v>
      </c>
    </row>
    <row r="1207" spans="9:12" x14ac:dyDescent="0.45">
      <c r="I1207" t="s">
        <v>199</v>
      </c>
      <c r="J1207" t="s">
        <v>294</v>
      </c>
      <c r="K1207">
        <v>9.7951295876666858E-3</v>
      </c>
      <c r="L1207" t="s">
        <v>164</v>
      </c>
    </row>
    <row r="1208" spans="9:12" x14ac:dyDescent="0.45">
      <c r="I1208" t="s">
        <v>199</v>
      </c>
      <c r="J1208" t="s">
        <v>295</v>
      </c>
      <c r="K1208">
        <v>4.9474307373189759E-2</v>
      </c>
      <c r="L1208" t="s">
        <v>164</v>
      </c>
    </row>
    <row r="1209" spans="9:12" x14ac:dyDescent="0.45">
      <c r="I1209" t="s">
        <v>199</v>
      </c>
      <c r="J1209" t="s">
        <v>296</v>
      </c>
      <c r="K1209">
        <v>4.0342405527088497E-3</v>
      </c>
      <c r="L1209" t="s">
        <v>164</v>
      </c>
    </row>
    <row r="1210" spans="9:12" x14ac:dyDescent="0.45">
      <c r="I1210" t="s">
        <v>199</v>
      </c>
      <c r="J1210" t="s">
        <v>297</v>
      </c>
      <c r="K1210">
        <v>0</v>
      </c>
      <c r="L1210" t="s">
        <v>164</v>
      </c>
    </row>
    <row r="1211" spans="9:12" x14ac:dyDescent="0.45">
      <c r="I1211" t="s">
        <v>200</v>
      </c>
      <c r="J1211" t="s">
        <v>163</v>
      </c>
      <c r="K1211">
        <v>1.0621073798023427E-2</v>
      </c>
      <c r="L1211" t="s">
        <v>164</v>
      </c>
    </row>
    <row r="1212" spans="9:12" x14ac:dyDescent="0.45">
      <c r="I1212" t="s">
        <v>200</v>
      </c>
      <c r="J1212" t="s">
        <v>165</v>
      </c>
      <c r="K1212">
        <v>8.9404512986995411E-3</v>
      </c>
      <c r="L1212" t="s">
        <v>164</v>
      </c>
    </row>
    <row r="1213" spans="9:12" x14ac:dyDescent="0.45">
      <c r="I1213" t="s">
        <v>200</v>
      </c>
      <c r="J1213" t="s">
        <v>166</v>
      </c>
      <c r="K1213">
        <v>9.9287340331821652E-3</v>
      </c>
      <c r="L1213" t="s">
        <v>164</v>
      </c>
    </row>
    <row r="1214" spans="9:12" x14ac:dyDescent="0.45">
      <c r="I1214" t="s">
        <v>200</v>
      </c>
      <c r="J1214" t="s">
        <v>262</v>
      </c>
      <c r="K1214">
        <v>5.4312103252012883E-2</v>
      </c>
      <c r="L1214" t="s">
        <v>164</v>
      </c>
    </row>
    <row r="1215" spans="9:12" x14ac:dyDescent="0.45">
      <c r="I1215" t="s">
        <v>200</v>
      </c>
      <c r="J1215" t="s">
        <v>263</v>
      </c>
      <c r="K1215">
        <v>4.7925631576309869E-3</v>
      </c>
      <c r="L1215" t="s">
        <v>164</v>
      </c>
    </row>
    <row r="1216" spans="9:12" x14ac:dyDescent="0.45">
      <c r="I1216" t="s">
        <v>200</v>
      </c>
      <c r="J1216" t="s">
        <v>264</v>
      </c>
      <c r="K1216">
        <v>1.4489311670995901E-5</v>
      </c>
      <c r="L1216" t="s">
        <v>164</v>
      </c>
    </row>
    <row r="1217" spans="9:12" x14ac:dyDescent="0.45">
      <c r="I1217" t="s">
        <v>200</v>
      </c>
      <c r="J1217" t="s">
        <v>167</v>
      </c>
      <c r="K1217">
        <v>9.5713090627903372E-3</v>
      </c>
      <c r="L1217" t="s">
        <v>164</v>
      </c>
    </row>
    <row r="1218" spans="9:12" x14ac:dyDescent="0.45">
      <c r="I1218" t="s">
        <v>200</v>
      </c>
      <c r="J1218" t="s">
        <v>168</v>
      </c>
      <c r="K1218">
        <v>8.210022803136317E-3</v>
      </c>
      <c r="L1218" t="s">
        <v>164</v>
      </c>
    </row>
    <row r="1219" spans="9:12" x14ac:dyDescent="0.45">
      <c r="I1219" t="s">
        <v>200</v>
      </c>
      <c r="J1219" t="s">
        <v>169</v>
      </c>
      <c r="K1219">
        <v>9.4092930445681348E-3</v>
      </c>
      <c r="L1219" t="s">
        <v>164</v>
      </c>
    </row>
    <row r="1220" spans="9:12" x14ac:dyDescent="0.45">
      <c r="I1220" t="s">
        <v>200</v>
      </c>
      <c r="J1220" t="s">
        <v>265</v>
      </c>
      <c r="K1220">
        <v>5.1580138812186017E-2</v>
      </c>
      <c r="L1220" t="s">
        <v>164</v>
      </c>
    </row>
    <row r="1221" spans="9:12" x14ac:dyDescent="0.45">
      <c r="I1221" t="s">
        <v>200</v>
      </c>
      <c r="J1221" t="s">
        <v>266</v>
      </c>
      <c r="K1221">
        <v>4.8570654072125326E-3</v>
      </c>
      <c r="L1221" t="s">
        <v>164</v>
      </c>
    </row>
    <row r="1222" spans="9:12" x14ac:dyDescent="0.45">
      <c r="I1222" t="s">
        <v>200</v>
      </c>
      <c r="J1222" t="s">
        <v>267</v>
      </c>
      <c r="K1222">
        <v>1.4328562211209169E-3</v>
      </c>
      <c r="L1222" t="s">
        <v>164</v>
      </c>
    </row>
    <row r="1223" spans="9:12" x14ac:dyDescent="0.45">
      <c r="I1223" t="s">
        <v>200</v>
      </c>
      <c r="J1223" t="s">
        <v>170</v>
      </c>
      <c r="K1223">
        <v>1.0669969790895748E-2</v>
      </c>
      <c r="L1223" t="s">
        <v>164</v>
      </c>
    </row>
    <row r="1224" spans="9:12" x14ac:dyDescent="0.45">
      <c r="I1224" t="s">
        <v>200</v>
      </c>
      <c r="J1224" t="s">
        <v>171</v>
      </c>
      <c r="K1224">
        <v>8.6275757420645784E-3</v>
      </c>
      <c r="L1224" t="s">
        <v>164</v>
      </c>
    </row>
    <row r="1225" spans="9:12" x14ac:dyDescent="0.45">
      <c r="I1225" t="s">
        <v>200</v>
      </c>
      <c r="J1225" t="s">
        <v>172</v>
      </c>
      <c r="K1225">
        <v>9.9856626096174982E-3</v>
      </c>
      <c r="L1225" t="s">
        <v>164</v>
      </c>
    </row>
    <row r="1226" spans="9:12" x14ac:dyDescent="0.45">
      <c r="I1226" t="s">
        <v>200</v>
      </c>
      <c r="J1226" t="s">
        <v>268</v>
      </c>
      <c r="K1226">
        <v>5.4358881746738884E-2</v>
      </c>
      <c r="L1226" t="s">
        <v>164</v>
      </c>
    </row>
    <row r="1227" spans="9:12" x14ac:dyDescent="0.45">
      <c r="I1227" t="s">
        <v>200</v>
      </c>
      <c r="J1227" t="s">
        <v>269</v>
      </c>
      <c r="K1227">
        <v>4.5159771674360026E-3</v>
      </c>
      <c r="L1227" t="s">
        <v>164</v>
      </c>
    </row>
    <row r="1228" spans="9:12" x14ac:dyDescent="0.45">
      <c r="I1228" t="s">
        <v>200</v>
      </c>
      <c r="J1228" t="s">
        <v>270</v>
      </c>
      <c r="K1228">
        <v>1.9671128346240023E-3</v>
      </c>
      <c r="L1228" t="s">
        <v>164</v>
      </c>
    </row>
    <row r="1229" spans="9:12" x14ac:dyDescent="0.45">
      <c r="I1229" t="s">
        <v>200</v>
      </c>
      <c r="J1229" t="s">
        <v>173</v>
      </c>
      <c r="K1229">
        <v>2.2498700352791265E-2</v>
      </c>
      <c r="L1229" t="s">
        <v>164</v>
      </c>
    </row>
    <row r="1230" spans="9:12" x14ac:dyDescent="0.45">
      <c r="I1230" t="s">
        <v>200</v>
      </c>
      <c r="J1230" t="s">
        <v>174</v>
      </c>
      <c r="K1230">
        <v>1.4888463536958671E-2</v>
      </c>
      <c r="L1230" t="s">
        <v>164</v>
      </c>
    </row>
    <row r="1231" spans="9:12" x14ac:dyDescent="0.45">
      <c r="I1231" t="s">
        <v>200</v>
      </c>
      <c r="J1231" t="s">
        <v>175</v>
      </c>
      <c r="K1231">
        <v>1.7442909954593525E-2</v>
      </c>
      <c r="L1231" t="s">
        <v>164</v>
      </c>
    </row>
    <row r="1232" spans="9:12" x14ac:dyDescent="0.45">
      <c r="I1232" t="s">
        <v>200</v>
      </c>
      <c r="J1232" t="s">
        <v>271</v>
      </c>
      <c r="K1232">
        <v>9.1078566882392492E-2</v>
      </c>
      <c r="L1232" t="s">
        <v>164</v>
      </c>
    </row>
    <row r="1233" spans="9:12" x14ac:dyDescent="0.45">
      <c r="I1233" t="s">
        <v>200</v>
      </c>
      <c r="J1233" t="s">
        <v>272</v>
      </c>
      <c r="K1233">
        <v>6.0550562412775635E-3</v>
      </c>
      <c r="L1233" t="s">
        <v>164</v>
      </c>
    </row>
    <row r="1234" spans="9:12" x14ac:dyDescent="0.45">
      <c r="I1234" t="s">
        <v>200</v>
      </c>
      <c r="J1234" t="s">
        <v>273</v>
      </c>
      <c r="K1234">
        <v>2.9399051128632669E-3</v>
      </c>
      <c r="L1234" t="s">
        <v>164</v>
      </c>
    </row>
    <row r="1235" spans="9:12" x14ac:dyDescent="0.45">
      <c r="I1235" t="s">
        <v>200</v>
      </c>
      <c r="J1235" t="s">
        <v>274</v>
      </c>
      <c r="K1235">
        <v>2.2308115292911448E-2</v>
      </c>
      <c r="L1235" t="s">
        <v>164</v>
      </c>
    </row>
    <row r="1236" spans="9:12" x14ac:dyDescent="0.45">
      <c r="I1236" t="s">
        <v>200</v>
      </c>
      <c r="J1236" t="s">
        <v>275</v>
      </c>
      <c r="K1236">
        <v>1.3940064871065194E-2</v>
      </c>
      <c r="L1236" t="s">
        <v>164</v>
      </c>
    </row>
    <row r="1237" spans="9:12" x14ac:dyDescent="0.45">
      <c r="I1237" t="s">
        <v>200</v>
      </c>
      <c r="J1237" t="s">
        <v>276</v>
      </c>
      <c r="K1237">
        <v>1.6266294598950563E-2</v>
      </c>
      <c r="L1237" t="s">
        <v>164</v>
      </c>
    </row>
    <row r="1238" spans="9:12" x14ac:dyDescent="0.45">
      <c r="I1238" t="s">
        <v>200</v>
      </c>
      <c r="J1238" t="s">
        <v>277</v>
      </c>
      <c r="K1238">
        <v>9.1732078319134686E-2</v>
      </c>
      <c r="L1238" t="s">
        <v>164</v>
      </c>
    </row>
    <row r="1239" spans="9:12" x14ac:dyDescent="0.45">
      <c r="I1239" t="s">
        <v>200</v>
      </c>
      <c r="J1239" t="s">
        <v>278</v>
      </c>
      <c r="K1239">
        <v>7.2757224939266115E-3</v>
      </c>
      <c r="L1239" t="s">
        <v>164</v>
      </c>
    </row>
    <row r="1240" spans="9:12" x14ac:dyDescent="0.45">
      <c r="I1240" t="s">
        <v>200</v>
      </c>
      <c r="J1240" t="s">
        <v>279</v>
      </c>
      <c r="K1240">
        <v>4.0622619657047776E-3</v>
      </c>
      <c r="L1240" t="s">
        <v>164</v>
      </c>
    </row>
    <row r="1241" spans="9:12" x14ac:dyDescent="0.45">
      <c r="I1241" t="s">
        <v>200</v>
      </c>
      <c r="J1241" t="s">
        <v>280</v>
      </c>
      <c r="K1241">
        <v>2.8521007605574196E-2</v>
      </c>
      <c r="L1241" t="s">
        <v>164</v>
      </c>
    </row>
    <row r="1242" spans="9:12" x14ac:dyDescent="0.45">
      <c r="I1242" t="s">
        <v>200</v>
      </c>
      <c r="J1242" t="s">
        <v>281</v>
      </c>
      <c r="K1242">
        <v>1.6538699748368451E-2</v>
      </c>
      <c r="L1242" t="s">
        <v>164</v>
      </c>
    </row>
    <row r="1243" spans="9:12" x14ac:dyDescent="0.45">
      <c r="I1243" t="s">
        <v>200</v>
      </c>
      <c r="J1243" t="s">
        <v>282</v>
      </c>
      <c r="K1243">
        <v>1.8256132547450149E-2</v>
      </c>
      <c r="L1243" t="s">
        <v>164</v>
      </c>
    </row>
    <row r="1244" spans="9:12" x14ac:dyDescent="0.45">
      <c r="I1244" t="s">
        <v>200</v>
      </c>
      <c r="J1244" t="s">
        <v>283</v>
      </c>
      <c r="K1244">
        <v>9.9476163094602041E-2</v>
      </c>
      <c r="L1244" t="s">
        <v>164</v>
      </c>
    </row>
    <row r="1245" spans="9:12" x14ac:dyDescent="0.45">
      <c r="I1245" t="s">
        <v>200</v>
      </c>
      <c r="J1245" t="s">
        <v>284</v>
      </c>
      <c r="K1245">
        <v>7.7871031794998179E-3</v>
      </c>
      <c r="L1245" t="s">
        <v>164</v>
      </c>
    </row>
    <row r="1246" spans="9:12" x14ac:dyDescent="0.45">
      <c r="I1246" t="s">
        <v>200</v>
      </c>
      <c r="J1246" t="s">
        <v>285</v>
      </c>
      <c r="K1246">
        <v>2.7598509474498329E-3</v>
      </c>
      <c r="L1246" t="s">
        <v>164</v>
      </c>
    </row>
    <row r="1247" spans="9:12" x14ac:dyDescent="0.45">
      <c r="I1247" t="s">
        <v>200</v>
      </c>
      <c r="J1247" t="s">
        <v>286</v>
      </c>
      <c r="K1247">
        <v>2.7491496784384974E-2</v>
      </c>
      <c r="L1247" t="s">
        <v>164</v>
      </c>
    </row>
    <row r="1248" spans="9:12" x14ac:dyDescent="0.45">
      <c r="I1248" t="s">
        <v>200</v>
      </c>
      <c r="J1248" t="s">
        <v>287</v>
      </c>
      <c r="K1248">
        <v>1.8062069568101396E-2</v>
      </c>
      <c r="L1248" t="s">
        <v>164</v>
      </c>
    </row>
    <row r="1249" spans="9:12" x14ac:dyDescent="0.45">
      <c r="I1249" t="s">
        <v>200</v>
      </c>
      <c r="J1249" t="s">
        <v>288</v>
      </c>
      <c r="K1249">
        <v>1.9465846566255766E-2</v>
      </c>
      <c r="L1249" t="s">
        <v>164</v>
      </c>
    </row>
    <row r="1250" spans="9:12" x14ac:dyDescent="0.45">
      <c r="I1250" t="s">
        <v>200</v>
      </c>
      <c r="J1250" t="s">
        <v>289</v>
      </c>
      <c r="K1250">
        <v>9.6547488675416487E-2</v>
      </c>
      <c r="L1250" t="s">
        <v>164</v>
      </c>
    </row>
    <row r="1251" spans="9:12" x14ac:dyDescent="0.45">
      <c r="I1251" t="s">
        <v>200</v>
      </c>
      <c r="J1251" t="s">
        <v>290</v>
      </c>
      <c r="K1251">
        <v>6.1036341745370872E-3</v>
      </c>
      <c r="L1251" t="s">
        <v>164</v>
      </c>
    </row>
    <row r="1252" spans="9:12" x14ac:dyDescent="0.45">
      <c r="I1252" t="s">
        <v>200</v>
      </c>
      <c r="J1252" t="s">
        <v>291</v>
      </c>
      <c r="K1252">
        <v>0</v>
      </c>
      <c r="L1252" t="s">
        <v>164</v>
      </c>
    </row>
    <row r="1253" spans="9:12" x14ac:dyDescent="0.45">
      <c r="I1253" t="s">
        <v>200</v>
      </c>
      <c r="J1253" t="s">
        <v>292</v>
      </c>
      <c r="K1253">
        <v>1.1277457425311992E-2</v>
      </c>
      <c r="L1253" t="s">
        <v>164</v>
      </c>
    </row>
    <row r="1254" spans="9:12" x14ac:dyDescent="0.45">
      <c r="I1254" t="s">
        <v>200</v>
      </c>
      <c r="J1254" t="s">
        <v>293</v>
      </c>
      <c r="K1254">
        <v>9.0016227548415893E-3</v>
      </c>
      <c r="L1254" t="s">
        <v>164</v>
      </c>
    </row>
    <row r="1255" spans="9:12" x14ac:dyDescent="0.45">
      <c r="I1255" t="s">
        <v>200</v>
      </c>
      <c r="J1255" t="s">
        <v>294</v>
      </c>
      <c r="K1255">
        <v>9.6445412728555051E-3</v>
      </c>
      <c r="L1255" t="s">
        <v>164</v>
      </c>
    </row>
    <row r="1256" spans="9:12" x14ac:dyDescent="0.45">
      <c r="I1256" t="s">
        <v>200</v>
      </c>
      <c r="J1256" t="s">
        <v>295</v>
      </c>
      <c r="K1256">
        <v>5.0752963860076418E-2</v>
      </c>
      <c r="L1256" t="s">
        <v>164</v>
      </c>
    </row>
    <row r="1257" spans="9:12" x14ac:dyDescent="0.45">
      <c r="I1257" t="s">
        <v>200</v>
      </c>
      <c r="J1257" t="s">
        <v>296</v>
      </c>
      <c r="K1257">
        <v>4.030502079092617E-3</v>
      </c>
      <c r="L1257" t="s">
        <v>164</v>
      </c>
    </row>
    <row r="1258" spans="9:12" x14ac:dyDescent="0.45">
      <c r="I1258" t="s">
        <v>200</v>
      </c>
      <c r="J1258" t="s">
        <v>297</v>
      </c>
      <c r="K1258">
        <v>0</v>
      </c>
      <c r="L1258" t="s">
        <v>164</v>
      </c>
    </row>
    <row r="1259" spans="9:12" x14ac:dyDescent="0.45">
      <c r="I1259" t="s">
        <v>201</v>
      </c>
      <c r="J1259" t="s">
        <v>163</v>
      </c>
      <c r="K1259">
        <v>1.4187132437478472E-2</v>
      </c>
      <c r="L1259" t="s">
        <v>164</v>
      </c>
    </row>
    <row r="1260" spans="9:12" x14ac:dyDescent="0.45">
      <c r="I1260" t="s">
        <v>201</v>
      </c>
      <c r="J1260" t="s">
        <v>165</v>
      </c>
      <c r="K1260">
        <v>1.091938100093511E-2</v>
      </c>
      <c r="L1260" t="s">
        <v>164</v>
      </c>
    </row>
    <row r="1261" spans="9:12" x14ac:dyDescent="0.45">
      <c r="I1261" t="s">
        <v>201</v>
      </c>
      <c r="J1261" t="s">
        <v>166</v>
      </c>
      <c r="K1261">
        <v>1.1831207421380505E-2</v>
      </c>
      <c r="L1261" t="s">
        <v>164</v>
      </c>
    </row>
    <row r="1262" spans="9:12" x14ac:dyDescent="0.45">
      <c r="I1262" t="s">
        <v>201</v>
      </c>
      <c r="J1262" t="s">
        <v>262</v>
      </c>
      <c r="K1262">
        <v>6.7213957826279425E-2</v>
      </c>
      <c r="L1262" t="s">
        <v>164</v>
      </c>
    </row>
    <row r="1263" spans="9:12" x14ac:dyDescent="0.45">
      <c r="I1263" t="s">
        <v>201</v>
      </c>
      <c r="J1263" t="s">
        <v>263</v>
      </c>
      <c r="K1263">
        <v>6.1434310954505559E-3</v>
      </c>
      <c r="L1263" t="s">
        <v>164</v>
      </c>
    </row>
    <row r="1264" spans="9:12" x14ac:dyDescent="0.45">
      <c r="I1264" t="s">
        <v>201</v>
      </c>
      <c r="J1264" t="s">
        <v>264</v>
      </c>
      <c r="K1264">
        <v>2.1347581098466965E-3</v>
      </c>
      <c r="L1264" t="s">
        <v>164</v>
      </c>
    </row>
    <row r="1265" spans="9:12" x14ac:dyDescent="0.45">
      <c r="I1265" t="s">
        <v>201</v>
      </c>
      <c r="J1265" t="s">
        <v>167</v>
      </c>
      <c r="K1265">
        <v>6.6774985837803084E-3</v>
      </c>
      <c r="L1265" t="s">
        <v>164</v>
      </c>
    </row>
    <row r="1266" spans="9:12" x14ac:dyDescent="0.45">
      <c r="I1266" t="s">
        <v>201</v>
      </c>
      <c r="J1266" t="s">
        <v>168</v>
      </c>
      <c r="K1266">
        <v>6.7259440193677801E-3</v>
      </c>
      <c r="L1266" t="s">
        <v>164</v>
      </c>
    </row>
    <row r="1267" spans="9:12" x14ac:dyDescent="0.45">
      <c r="I1267" t="s">
        <v>201</v>
      </c>
      <c r="J1267" t="s">
        <v>169</v>
      </c>
      <c r="K1267">
        <v>8.3643630945611312E-3</v>
      </c>
      <c r="L1267" t="s">
        <v>164</v>
      </c>
    </row>
    <row r="1268" spans="9:12" x14ac:dyDescent="0.45">
      <c r="I1268" t="s">
        <v>201</v>
      </c>
      <c r="J1268" t="s">
        <v>265</v>
      </c>
      <c r="K1268">
        <v>4.9740341535777902E-2</v>
      </c>
      <c r="L1268" t="s">
        <v>164</v>
      </c>
    </row>
    <row r="1269" spans="9:12" x14ac:dyDescent="0.45">
      <c r="I1269" t="s">
        <v>201</v>
      </c>
      <c r="J1269" t="s">
        <v>266</v>
      </c>
      <c r="K1269">
        <v>3.5563150252227041E-3</v>
      </c>
      <c r="L1269" t="s">
        <v>164</v>
      </c>
    </row>
    <row r="1270" spans="9:12" x14ac:dyDescent="0.45">
      <c r="I1270" t="s">
        <v>201</v>
      </c>
      <c r="J1270" t="s">
        <v>267</v>
      </c>
      <c r="K1270">
        <v>2.1362669079202585E-3</v>
      </c>
      <c r="L1270" t="s">
        <v>164</v>
      </c>
    </row>
    <row r="1271" spans="9:12" x14ac:dyDescent="0.45">
      <c r="I1271" t="s">
        <v>201</v>
      </c>
      <c r="J1271" t="s">
        <v>170</v>
      </c>
      <c r="K1271">
        <v>7.9938806628103588E-3</v>
      </c>
      <c r="L1271" t="s">
        <v>164</v>
      </c>
    </row>
    <row r="1272" spans="9:12" x14ac:dyDescent="0.45">
      <c r="I1272" t="s">
        <v>201</v>
      </c>
      <c r="J1272" t="s">
        <v>171</v>
      </c>
      <c r="K1272">
        <v>7.9235729889847416E-3</v>
      </c>
      <c r="L1272" t="s">
        <v>164</v>
      </c>
    </row>
    <row r="1273" spans="9:12" x14ac:dyDescent="0.45">
      <c r="I1273" t="s">
        <v>201</v>
      </c>
      <c r="J1273" t="s">
        <v>172</v>
      </c>
      <c r="K1273">
        <v>9.3003682888959712E-3</v>
      </c>
      <c r="L1273" t="s">
        <v>164</v>
      </c>
    </row>
    <row r="1274" spans="9:12" x14ac:dyDescent="0.45">
      <c r="I1274" t="s">
        <v>201</v>
      </c>
      <c r="J1274" t="s">
        <v>268</v>
      </c>
      <c r="K1274">
        <v>5.599858925840967E-2</v>
      </c>
      <c r="L1274" t="s">
        <v>164</v>
      </c>
    </row>
    <row r="1275" spans="9:12" x14ac:dyDescent="0.45">
      <c r="I1275" t="s">
        <v>201</v>
      </c>
      <c r="J1275" t="s">
        <v>269</v>
      </c>
      <c r="K1275">
        <v>4.4045040668949688E-3</v>
      </c>
      <c r="L1275" t="s">
        <v>164</v>
      </c>
    </row>
    <row r="1276" spans="9:12" x14ac:dyDescent="0.45">
      <c r="I1276" t="s">
        <v>201</v>
      </c>
      <c r="J1276" t="s">
        <v>270</v>
      </c>
      <c r="K1276">
        <v>2.898458043477257E-3</v>
      </c>
      <c r="L1276" t="s">
        <v>164</v>
      </c>
    </row>
    <row r="1277" spans="9:12" x14ac:dyDescent="0.45">
      <c r="I1277" t="s">
        <v>201</v>
      </c>
      <c r="J1277" t="s">
        <v>173</v>
      </c>
      <c r="K1277">
        <v>1.5950750888558216E-2</v>
      </c>
      <c r="L1277" t="s">
        <v>164</v>
      </c>
    </row>
    <row r="1278" spans="9:12" x14ac:dyDescent="0.45">
      <c r="I1278" t="s">
        <v>201</v>
      </c>
      <c r="J1278" t="s">
        <v>174</v>
      </c>
      <c r="K1278">
        <v>1.2176984019795903E-2</v>
      </c>
      <c r="L1278" t="s">
        <v>164</v>
      </c>
    </row>
    <row r="1279" spans="9:12" x14ac:dyDescent="0.45">
      <c r="I1279" t="s">
        <v>201</v>
      </c>
      <c r="J1279" t="s">
        <v>175</v>
      </c>
      <c r="K1279">
        <v>1.5145249840544255E-2</v>
      </c>
      <c r="L1279" t="s">
        <v>164</v>
      </c>
    </row>
    <row r="1280" spans="9:12" x14ac:dyDescent="0.45">
      <c r="I1280" t="s">
        <v>201</v>
      </c>
      <c r="J1280" t="s">
        <v>271</v>
      </c>
      <c r="K1280">
        <v>9.0052851891337257E-2</v>
      </c>
      <c r="L1280" t="s">
        <v>164</v>
      </c>
    </row>
    <row r="1281" spans="9:12" x14ac:dyDescent="0.45">
      <c r="I1281" t="s">
        <v>201</v>
      </c>
      <c r="J1281" t="s">
        <v>272</v>
      </c>
      <c r="K1281">
        <v>5.77298152868801E-3</v>
      </c>
      <c r="L1281" t="s">
        <v>164</v>
      </c>
    </row>
    <row r="1282" spans="9:12" x14ac:dyDescent="0.45">
      <c r="I1282" t="s">
        <v>201</v>
      </c>
      <c r="J1282" t="s">
        <v>273</v>
      </c>
      <c r="K1282">
        <v>6.4662830076912348E-4</v>
      </c>
      <c r="L1282" t="s">
        <v>164</v>
      </c>
    </row>
    <row r="1283" spans="9:12" x14ac:dyDescent="0.45">
      <c r="I1283" t="s">
        <v>201</v>
      </c>
      <c r="J1283" t="s">
        <v>274</v>
      </c>
      <c r="K1283">
        <v>1.2126385895100629E-2</v>
      </c>
      <c r="L1283" t="s">
        <v>164</v>
      </c>
    </row>
    <row r="1284" spans="9:12" x14ac:dyDescent="0.45">
      <c r="I1284" t="s">
        <v>201</v>
      </c>
      <c r="J1284" t="s">
        <v>275</v>
      </c>
      <c r="K1284">
        <v>1.0595582618010692E-2</v>
      </c>
      <c r="L1284" t="s">
        <v>164</v>
      </c>
    </row>
    <row r="1285" spans="9:12" x14ac:dyDescent="0.45">
      <c r="I1285" t="s">
        <v>201</v>
      </c>
      <c r="J1285" t="s">
        <v>276</v>
      </c>
      <c r="K1285">
        <v>1.3636363345286655E-2</v>
      </c>
      <c r="L1285" t="s">
        <v>164</v>
      </c>
    </row>
    <row r="1286" spans="9:12" x14ac:dyDescent="0.45">
      <c r="I1286" t="s">
        <v>201</v>
      </c>
      <c r="J1286" t="s">
        <v>277</v>
      </c>
      <c r="K1286">
        <v>8.9721883493705759E-2</v>
      </c>
      <c r="L1286" t="s">
        <v>164</v>
      </c>
    </row>
    <row r="1287" spans="9:12" x14ac:dyDescent="0.45">
      <c r="I1287" t="s">
        <v>201</v>
      </c>
      <c r="J1287" t="s">
        <v>278</v>
      </c>
      <c r="K1287">
        <v>7.5183332782467168E-3</v>
      </c>
      <c r="L1287" t="s">
        <v>164</v>
      </c>
    </row>
    <row r="1288" spans="9:12" x14ac:dyDescent="0.45">
      <c r="I1288" t="s">
        <v>201</v>
      </c>
      <c r="J1288" t="s">
        <v>279</v>
      </c>
      <c r="K1288">
        <v>4.6776981907257695E-3</v>
      </c>
      <c r="L1288" t="s">
        <v>164</v>
      </c>
    </row>
    <row r="1289" spans="9:12" x14ac:dyDescent="0.45">
      <c r="I1289" t="s">
        <v>201</v>
      </c>
      <c r="J1289" t="s">
        <v>280</v>
      </c>
      <c r="K1289">
        <v>1.5955972064576086E-2</v>
      </c>
      <c r="L1289" t="s">
        <v>164</v>
      </c>
    </row>
    <row r="1290" spans="9:12" x14ac:dyDescent="0.45">
      <c r="I1290" t="s">
        <v>201</v>
      </c>
      <c r="J1290" t="s">
        <v>281</v>
      </c>
      <c r="K1290">
        <v>1.3888068057948606E-2</v>
      </c>
      <c r="L1290" t="s">
        <v>164</v>
      </c>
    </row>
    <row r="1291" spans="9:12" x14ac:dyDescent="0.45">
      <c r="I1291" t="s">
        <v>201</v>
      </c>
      <c r="J1291" t="s">
        <v>282</v>
      </c>
      <c r="K1291">
        <v>1.7164918530084748E-2</v>
      </c>
      <c r="L1291" t="s">
        <v>164</v>
      </c>
    </row>
    <row r="1292" spans="9:12" x14ac:dyDescent="0.45">
      <c r="I1292" t="s">
        <v>201</v>
      </c>
      <c r="J1292" t="s">
        <v>283</v>
      </c>
      <c r="K1292">
        <v>0.10295292376661902</v>
      </c>
      <c r="L1292" t="s">
        <v>164</v>
      </c>
    </row>
    <row r="1293" spans="9:12" x14ac:dyDescent="0.45">
      <c r="I1293" t="s">
        <v>201</v>
      </c>
      <c r="J1293" t="s">
        <v>284</v>
      </c>
      <c r="K1293">
        <v>7.5457941023987568E-3</v>
      </c>
      <c r="L1293" t="s">
        <v>164</v>
      </c>
    </row>
    <row r="1294" spans="9:12" x14ac:dyDescent="0.45">
      <c r="I1294" t="s">
        <v>201</v>
      </c>
      <c r="J1294" t="s">
        <v>285</v>
      </c>
      <c r="K1294">
        <v>1.7642725768520612E-3</v>
      </c>
      <c r="L1294" t="s">
        <v>164</v>
      </c>
    </row>
    <row r="1295" spans="9:12" x14ac:dyDescent="0.45">
      <c r="I1295" t="s">
        <v>201</v>
      </c>
      <c r="J1295" t="s">
        <v>286</v>
      </c>
      <c r="K1295">
        <v>2.6786348714280536E-2</v>
      </c>
      <c r="L1295" t="s">
        <v>164</v>
      </c>
    </row>
    <row r="1296" spans="9:12" x14ac:dyDescent="0.45">
      <c r="I1296" t="s">
        <v>201</v>
      </c>
      <c r="J1296" t="s">
        <v>287</v>
      </c>
      <c r="K1296">
        <v>1.9041636644965415E-2</v>
      </c>
      <c r="L1296" t="s">
        <v>164</v>
      </c>
    </row>
    <row r="1297" spans="9:12" x14ac:dyDescent="0.45">
      <c r="I1297" t="s">
        <v>201</v>
      </c>
      <c r="J1297" t="s">
        <v>288</v>
      </c>
      <c r="K1297">
        <v>2.1449757190473352E-2</v>
      </c>
      <c r="L1297" t="s">
        <v>164</v>
      </c>
    </row>
    <row r="1298" spans="9:12" x14ac:dyDescent="0.45">
      <c r="I1298" t="s">
        <v>201</v>
      </c>
      <c r="J1298" t="s">
        <v>289</v>
      </c>
      <c r="K1298">
        <v>0.11222704320259774</v>
      </c>
      <c r="L1298" t="s">
        <v>164</v>
      </c>
    </row>
    <row r="1299" spans="9:12" x14ac:dyDescent="0.45">
      <c r="I1299" t="s">
        <v>201</v>
      </c>
      <c r="J1299" t="s">
        <v>290</v>
      </c>
      <c r="K1299">
        <v>6.7907430130475345E-3</v>
      </c>
      <c r="L1299" t="s">
        <v>164</v>
      </c>
    </row>
    <row r="1300" spans="9:12" x14ac:dyDescent="0.45">
      <c r="I1300" t="s">
        <v>201</v>
      </c>
      <c r="J1300" t="s">
        <v>291</v>
      </c>
      <c r="K1300">
        <v>0</v>
      </c>
      <c r="L1300" t="s">
        <v>164</v>
      </c>
    </row>
    <row r="1301" spans="9:12" x14ac:dyDescent="0.45">
      <c r="I1301" t="s">
        <v>201</v>
      </c>
      <c r="J1301" t="s">
        <v>292</v>
      </c>
      <c r="K1301">
        <v>1.251399676571611E-2</v>
      </c>
      <c r="L1301" t="s">
        <v>164</v>
      </c>
    </row>
    <row r="1302" spans="9:12" x14ac:dyDescent="0.45">
      <c r="I1302" t="s">
        <v>201</v>
      </c>
      <c r="J1302" t="s">
        <v>293</v>
      </c>
      <c r="K1302">
        <v>1.009087725294649E-2</v>
      </c>
      <c r="L1302" t="s">
        <v>164</v>
      </c>
    </row>
    <row r="1303" spans="9:12" x14ac:dyDescent="0.45">
      <c r="I1303" t="s">
        <v>201</v>
      </c>
      <c r="J1303" t="s">
        <v>294</v>
      </c>
      <c r="K1303">
        <v>1.1284647783996491E-2</v>
      </c>
      <c r="L1303" t="s">
        <v>164</v>
      </c>
    </row>
    <row r="1304" spans="9:12" x14ac:dyDescent="0.45">
      <c r="I1304" t="s">
        <v>201</v>
      </c>
      <c r="J1304" t="s">
        <v>295</v>
      </c>
      <c r="K1304">
        <v>5.9798829560253022E-2</v>
      </c>
      <c r="L1304" t="s">
        <v>164</v>
      </c>
    </row>
    <row r="1305" spans="9:12" x14ac:dyDescent="0.45">
      <c r="I1305" t="s">
        <v>201</v>
      </c>
      <c r="J1305" t="s">
        <v>296</v>
      </c>
      <c r="K1305">
        <v>4.5725071150023227E-3</v>
      </c>
      <c r="L1305" t="s">
        <v>164</v>
      </c>
    </row>
    <row r="1306" spans="9:12" x14ac:dyDescent="0.45">
      <c r="I1306" t="s">
        <v>201</v>
      </c>
      <c r="J1306" t="s">
        <v>297</v>
      </c>
      <c r="K1306">
        <v>0</v>
      </c>
      <c r="L1306" t="s">
        <v>164</v>
      </c>
    </row>
    <row r="1307" spans="9:12" x14ac:dyDescent="0.45">
      <c r="I1307" t="s">
        <v>202</v>
      </c>
      <c r="J1307" t="s">
        <v>163</v>
      </c>
      <c r="K1307">
        <v>1.1522690418101625E-2</v>
      </c>
      <c r="L1307" t="s">
        <v>164</v>
      </c>
    </row>
    <row r="1308" spans="9:12" x14ac:dyDescent="0.45">
      <c r="I1308" t="s">
        <v>202</v>
      </c>
      <c r="J1308" t="s">
        <v>165</v>
      </c>
      <c r="K1308">
        <v>9.3316880181826423E-3</v>
      </c>
      <c r="L1308" t="s">
        <v>164</v>
      </c>
    </row>
    <row r="1309" spans="9:12" x14ac:dyDescent="0.45">
      <c r="I1309" t="s">
        <v>202</v>
      </c>
      <c r="J1309" t="s">
        <v>166</v>
      </c>
      <c r="K1309">
        <v>1.0398344344964162E-2</v>
      </c>
      <c r="L1309" t="s">
        <v>164</v>
      </c>
    </row>
    <row r="1310" spans="9:12" x14ac:dyDescent="0.45">
      <c r="I1310" t="s">
        <v>202</v>
      </c>
      <c r="J1310" t="s">
        <v>262</v>
      </c>
      <c r="K1310">
        <v>6.1118737128641153E-2</v>
      </c>
      <c r="L1310" t="s">
        <v>164</v>
      </c>
    </row>
    <row r="1311" spans="9:12" x14ac:dyDescent="0.45">
      <c r="I1311" t="s">
        <v>202</v>
      </c>
      <c r="J1311" t="s">
        <v>263</v>
      </c>
      <c r="K1311">
        <v>5.2210838061648767E-3</v>
      </c>
      <c r="L1311" t="s">
        <v>164</v>
      </c>
    </row>
    <row r="1312" spans="9:12" x14ac:dyDescent="0.45">
      <c r="I1312" t="s">
        <v>202</v>
      </c>
      <c r="J1312" t="s">
        <v>264</v>
      </c>
      <c r="K1312">
        <v>2.0580114211445318E-3</v>
      </c>
      <c r="L1312" t="s">
        <v>164</v>
      </c>
    </row>
    <row r="1313" spans="9:12" x14ac:dyDescent="0.45">
      <c r="I1313" t="s">
        <v>202</v>
      </c>
      <c r="J1313" t="s">
        <v>167</v>
      </c>
      <c r="K1313">
        <v>5.1878668373598943E-3</v>
      </c>
      <c r="L1313" t="s">
        <v>164</v>
      </c>
    </row>
    <row r="1314" spans="9:12" x14ac:dyDescent="0.45">
      <c r="I1314" t="s">
        <v>202</v>
      </c>
      <c r="J1314" t="s">
        <v>168</v>
      </c>
      <c r="K1314">
        <v>5.9604553620855923E-3</v>
      </c>
      <c r="L1314" t="s">
        <v>164</v>
      </c>
    </row>
    <row r="1315" spans="9:12" x14ac:dyDescent="0.45">
      <c r="I1315" t="s">
        <v>202</v>
      </c>
      <c r="J1315" t="s">
        <v>169</v>
      </c>
      <c r="K1315">
        <v>7.9118562464812817E-3</v>
      </c>
      <c r="L1315" t="s">
        <v>164</v>
      </c>
    </row>
    <row r="1316" spans="9:12" x14ac:dyDescent="0.45">
      <c r="I1316" t="s">
        <v>202</v>
      </c>
      <c r="J1316" t="s">
        <v>265</v>
      </c>
      <c r="K1316">
        <v>4.6207364875038973E-2</v>
      </c>
      <c r="L1316" t="s">
        <v>164</v>
      </c>
    </row>
    <row r="1317" spans="9:12" x14ac:dyDescent="0.45">
      <c r="I1317" t="s">
        <v>202</v>
      </c>
      <c r="J1317" t="s">
        <v>266</v>
      </c>
      <c r="K1317">
        <v>3.0699054191128767E-3</v>
      </c>
      <c r="L1317" t="s">
        <v>164</v>
      </c>
    </row>
    <row r="1318" spans="9:12" x14ac:dyDescent="0.45">
      <c r="I1318" t="s">
        <v>202</v>
      </c>
      <c r="J1318" t="s">
        <v>267</v>
      </c>
      <c r="K1318">
        <v>1.8204480619496656E-3</v>
      </c>
      <c r="L1318" t="s">
        <v>164</v>
      </c>
    </row>
    <row r="1319" spans="9:12" x14ac:dyDescent="0.45">
      <c r="I1319" t="s">
        <v>202</v>
      </c>
      <c r="J1319" t="s">
        <v>170</v>
      </c>
      <c r="K1319">
        <v>9.2381487873574222E-3</v>
      </c>
      <c r="L1319" t="s">
        <v>164</v>
      </c>
    </row>
    <row r="1320" spans="9:12" x14ac:dyDescent="0.45">
      <c r="I1320" t="s">
        <v>202</v>
      </c>
      <c r="J1320" t="s">
        <v>171</v>
      </c>
      <c r="K1320">
        <v>8.2282033012400571E-3</v>
      </c>
      <c r="L1320" t="s">
        <v>164</v>
      </c>
    </row>
    <row r="1321" spans="9:12" x14ac:dyDescent="0.45">
      <c r="I1321" t="s">
        <v>202</v>
      </c>
      <c r="J1321" t="s">
        <v>172</v>
      </c>
      <c r="K1321">
        <v>9.5699131814111701E-3</v>
      </c>
      <c r="L1321" t="s">
        <v>164</v>
      </c>
    </row>
    <row r="1322" spans="9:12" x14ac:dyDescent="0.45">
      <c r="I1322" t="s">
        <v>202</v>
      </c>
      <c r="J1322" t="s">
        <v>268</v>
      </c>
      <c r="K1322">
        <v>5.7891215863784082E-2</v>
      </c>
      <c r="L1322" t="s">
        <v>164</v>
      </c>
    </row>
    <row r="1323" spans="9:12" x14ac:dyDescent="0.45">
      <c r="I1323" t="s">
        <v>202</v>
      </c>
      <c r="J1323" t="s">
        <v>269</v>
      </c>
      <c r="K1323">
        <v>4.8169130165364067E-3</v>
      </c>
      <c r="L1323" t="s">
        <v>164</v>
      </c>
    </row>
    <row r="1324" spans="9:12" x14ac:dyDescent="0.45">
      <c r="I1324" t="s">
        <v>202</v>
      </c>
      <c r="J1324" t="s">
        <v>270</v>
      </c>
      <c r="K1324">
        <v>2.3932549044477988E-3</v>
      </c>
      <c r="L1324" t="s">
        <v>164</v>
      </c>
    </row>
    <row r="1325" spans="9:12" x14ac:dyDescent="0.45">
      <c r="I1325" t="s">
        <v>202</v>
      </c>
      <c r="J1325" t="s">
        <v>173</v>
      </c>
      <c r="K1325">
        <v>1.6982586351151518E-2</v>
      </c>
      <c r="L1325" t="s">
        <v>164</v>
      </c>
    </row>
    <row r="1326" spans="9:12" x14ac:dyDescent="0.45">
      <c r="I1326" t="s">
        <v>202</v>
      </c>
      <c r="J1326" t="s">
        <v>174</v>
      </c>
      <c r="K1326">
        <v>1.2888068221154701E-2</v>
      </c>
      <c r="L1326" t="s">
        <v>164</v>
      </c>
    </row>
    <row r="1327" spans="9:12" x14ac:dyDescent="0.45">
      <c r="I1327" t="s">
        <v>202</v>
      </c>
      <c r="J1327" t="s">
        <v>175</v>
      </c>
      <c r="K1327">
        <v>1.5455273561069207E-2</v>
      </c>
      <c r="L1327" t="s">
        <v>164</v>
      </c>
    </row>
    <row r="1328" spans="9:12" x14ac:dyDescent="0.45">
      <c r="I1328" t="s">
        <v>202</v>
      </c>
      <c r="J1328" t="s">
        <v>271</v>
      </c>
      <c r="K1328">
        <v>9.2394375503901019E-2</v>
      </c>
      <c r="L1328" t="s">
        <v>164</v>
      </c>
    </row>
    <row r="1329" spans="9:12" x14ac:dyDescent="0.45">
      <c r="I1329" t="s">
        <v>202</v>
      </c>
      <c r="J1329" t="s">
        <v>272</v>
      </c>
      <c r="K1329">
        <v>6.1148337774365978E-3</v>
      </c>
      <c r="L1329" t="s">
        <v>164</v>
      </c>
    </row>
    <row r="1330" spans="9:12" x14ac:dyDescent="0.45">
      <c r="I1330" t="s">
        <v>202</v>
      </c>
      <c r="J1330" t="s">
        <v>273</v>
      </c>
      <c r="K1330">
        <v>6.5698582089378116E-5</v>
      </c>
      <c r="L1330" t="s">
        <v>164</v>
      </c>
    </row>
    <row r="1331" spans="9:12" x14ac:dyDescent="0.45">
      <c r="I1331" t="s">
        <v>202</v>
      </c>
      <c r="J1331" t="s">
        <v>274</v>
      </c>
      <c r="K1331">
        <v>1.3871103444941711E-2</v>
      </c>
      <c r="L1331" t="s">
        <v>164</v>
      </c>
    </row>
    <row r="1332" spans="9:12" x14ac:dyDescent="0.45">
      <c r="I1332" t="s">
        <v>202</v>
      </c>
      <c r="J1332" t="s">
        <v>275</v>
      </c>
      <c r="K1332">
        <v>1.184222452108195E-2</v>
      </c>
      <c r="L1332" t="s">
        <v>164</v>
      </c>
    </row>
    <row r="1333" spans="9:12" x14ac:dyDescent="0.45">
      <c r="I1333" t="s">
        <v>202</v>
      </c>
      <c r="J1333" t="s">
        <v>276</v>
      </c>
      <c r="K1333">
        <v>1.4831658725476272E-2</v>
      </c>
      <c r="L1333" t="s">
        <v>164</v>
      </c>
    </row>
    <row r="1334" spans="9:12" x14ac:dyDescent="0.45">
      <c r="I1334" t="s">
        <v>202</v>
      </c>
      <c r="J1334" t="s">
        <v>277</v>
      </c>
      <c r="K1334">
        <v>9.334144746972059E-2</v>
      </c>
      <c r="L1334" t="s">
        <v>164</v>
      </c>
    </row>
    <row r="1335" spans="9:12" x14ac:dyDescent="0.45">
      <c r="I1335" t="s">
        <v>202</v>
      </c>
      <c r="J1335" t="s">
        <v>278</v>
      </c>
      <c r="K1335">
        <v>7.7542997813138132E-3</v>
      </c>
      <c r="L1335" t="s">
        <v>164</v>
      </c>
    </row>
    <row r="1336" spans="9:12" x14ac:dyDescent="0.45">
      <c r="I1336" t="s">
        <v>202</v>
      </c>
      <c r="J1336" t="s">
        <v>279</v>
      </c>
      <c r="K1336">
        <v>3.0905909280598224E-3</v>
      </c>
      <c r="L1336" t="s">
        <v>164</v>
      </c>
    </row>
    <row r="1337" spans="9:12" x14ac:dyDescent="0.45">
      <c r="I1337" t="s">
        <v>202</v>
      </c>
      <c r="J1337" t="s">
        <v>280</v>
      </c>
      <c r="K1337">
        <v>1.7711303598689113E-2</v>
      </c>
      <c r="L1337" t="s">
        <v>164</v>
      </c>
    </row>
    <row r="1338" spans="9:12" x14ac:dyDescent="0.45">
      <c r="I1338" t="s">
        <v>202</v>
      </c>
      <c r="J1338" t="s">
        <v>281</v>
      </c>
      <c r="K1338">
        <v>1.5059647294024732E-2</v>
      </c>
      <c r="L1338" t="s">
        <v>164</v>
      </c>
    </row>
    <row r="1339" spans="9:12" x14ac:dyDescent="0.45">
      <c r="I1339" t="s">
        <v>202</v>
      </c>
      <c r="J1339" t="s">
        <v>282</v>
      </c>
      <c r="K1339">
        <v>1.7726564165700922E-2</v>
      </c>
      <c r="L1339" t="s">
        <v>164</v>
      </c>
    </row>
    <row r="1340" spans="9:12" x14ac:dyDescent="0.45">
      <c r="I1340" t="s">
        <v>202</v>
      </c>
      <c r="J1340" t="s">
        <v>283</v>
      </c>
      <c r="K1340">
        <v>0.10744354101836054</v>
      </c>
      <c r="L1340" t="s">
        <v>164</v>
      </c>
    </row>
    <row r="1341" spans="9:12" x14ac:dyDescent="0.45">
      <c r="I1341" t="s">
        <v>202</v>
      </c>
      <c r="J1341" t="s">
        <v>284</v>
      </c>
      <c r="K1341">
        <v>8.168915776019952E-3</v>
      </c>
      <c r="L1341" t="s">
        <v>164</v>
      </c>
    </row>
    <row r="1342" spans="9:12" x14ac:dyDescent="0.45">
      <c r="I1342" t="s">
        <v>202</v>
      </c>
      <c r="J1342" t="s">
        <v>285</v>
      </c>
      <c r="K1342">
        <v>9.8491179670741943E-4</v>
      </c>
      <c r="L1342" t="s">
        <v>164</v>
      </c>
    </row>
    <row r="1343" spans="9:12" x14ac:dyDescent="0.45">
      <c r="I1343" t="s">
        <v>202</v>
      </c>
      <c r="J1343" t="s">
        <v>286</v>
      </c>
      <c r="K1343">
        <v>2.7335500721193978E-2</v>
      </c>
      <c r="L1343" t="s">
        <v>164</v>
      </c>
    </row>
    <row r="1344" spans="9:12" x14ac:dyDescent="0.45">
      <c r="I1344" t="s">
        <v>202</v>
      </c>
      <c r="J1344" t="s">
        <v>287</v>
      </c>
      <c r="K1344">
        <v>1.8866511164584453E-2</v>
      </c>
      <c r="L1344" t="s">
        <v>164</v>
      </c>
    </row>
    <row r="1345" spans="9:12" x14ac:dyDescent="0.45">
      <c r="I1345" t="s">
        <v>202</v>
      </c>
      <c r="J1345" t="s">
        <v>288</v>
      </c>
      <c r="K1345">
        <v>2.1396687290059696E-2</v>
      </c>
      <c r="L1345" t="s">
        <v>164</v>
      </c>
    </row>
    <row r="1346" spans="9:12" x14ac:dyDescent="0.45">
      <c r="I1346" t="s">
        <v>202</v>
      </c>
      <c r="J1346" t="s">
        <v>289</v>
      </c>
      <c r="K1346">
        <v>0.11202867243872863</v>
      </c>
      <c r="L1346" t="s">
        <v>164</v>
      </c>
    </row>
    <row r="1347" spans="9:12" x14ac:dyDescent="0.45">
      <c r="I1347" t="s">
        <v>202</v>
      </c>
      <c r="J1347" t="s">
        <v>290</v>
      </c>
      <c r="K1347">
        <v>7.5788444709157894E-3</v>
      </c>
      <c r="L1347" t="s">
        <v>164</v>
      </c>
    </row>
    <row r="1348" spans="9:12" x14ac:dyDescent="0.45">
      <c r="I1348" t="s">
        <v>202</v>
      </c>
      <c r="J1348" t="s">
        <v>291</v>
      </c>
      <c r="K1348">
        <v>0</v>
      </c>
      <c r="L1348" t="s">
        <v>164</v>
      </c>
    </row>
    <row r="1349" spans="9:12" x14ac:dyDescent="0.45">
      <c r="I1349" t="s">
        <v>202</v>
      </c>
      <c r="J1349" t="s">
        <v>292</v>
      </c>
      <c r="K1349">
        <v>1.236063938596643E-2</v>
      </c>
      <c r="L1349" t="s">
        <v>164</v>
      </c>
    </row>
    <row r="1350" spans="9:12" x14ac:dyDescent="0.45">
      <c r="I1350" t="s">
        <v>202</v>
      </c>
      <c r="J1350" t="s">
        <v>293</v>
      </c>
      <c r="K1350">
        <v>9.7322148223472297E-3</v>
      </c>
      <c r="L1350" t="s">
        <v>164</v>
      </c>
    </row>
    <row r="1351" spans="9:12" x14ac:dyDescent="0.45">
      <c r="I1351" t="s">
        <v>202</v>
      </c>
      <c r="J1351" t="s">
        <v>294</v>
      </c>
      <c r="K1351">
        <v>1.0733413167033331E-2</v>
      </c>
      <c r="L1351" t="s">
        <v>164</v>
      </c>
    </row>
    <row r="1352" spans="9:12" x14ac:dyDescent="0.45">
      <c r="I1352" t="s">
        <v>202</v>
      </c>
      <c r="J1352" t="s">
        <v>295</v>
      </c>
      <c r="K1352">
        <v>5.8085811331921873E-2</v>
      </c>
      <c r="L1352" t="s">
        <v>164</v>
      </c>
    </row>
    <row r="1353" spans="9:12" x14ac:dyDescent="0.45">
      <c r="I1353" t="s">
        <v>202</v>
      </c>
      <c r="J1353" t="s">
        <v>296</v>
      </c>
      <c r="K1353">
        <v>4.2085596963473641E-3</v>
      </c>
      <c r="L1353" t="s">
        <v>164</v>
      </c>
    </row>
    <row r="1354" spans="9:12" x14ac:dyDescent="0.45">
      <c r="I1354" t="s">
        <v>202</v>
      </c>
      <c r="J1354" t="s">
        <v>297</v>
      </c>
      <c r="K1354">
        <v>0</v>
      </c>
      <c r="L1354" t="s">
        <v>164</v>
      </c>
    </row>
    <row r="1355" spans="9:12" x14ac:dyDescent="0.45">
      <c r="I1355" t="s">
        <v>203</v>
      </c>
      <c r="J1355" t="s">
        <v>163</v>
      </c>
      <c r="K1355">
        <v>1.468008227820598E-2</v>
      </c>
      <c r="L1355" t="s">
        <v>164</v>
      </c>
    </row>
    <row r="1356" spans="9:12" x14ac:dyDescent="0.45">
      <c r="I1356" t="s">
        <v>203</v>
      </c>
      <c r="J1356" t="s">
        <v>165</v>
      </c>
      <c r="K1356">
        <v>1.0607129108046431E-2</v>
      </c>
      <c r="L1356" t="s">
        <v>164</v>
      </c>
    </row>
    <row r="1357" spans="9:12" x14ac:dyDescent="0.45">
      <c r="I1357" t="s">
        <v>203</v>
      </c>
      <c r="J1357" t="s">
        <v>166</v>
      </c>
      <c r="K1357">
        <v>1.1338840940748858E-2</v>
      </c>
      <c r="L1357" t="s">
        <v>164</v>
      </c>
    </row>
    <row r="1358" spans="9:12" x14ac:dyDescent="0.45">
      <c r="I1358" t="s">
        <v>203</v>
      </c>
      <c r="J1358" t="s">
        <v>262</v>
      </c>
      <c r="K1358">
        <v>5.8409597174622609E-2</v>
      </c>
      <c r="L1358" t="s">
        <v>164</v>
      </c>
    </row>
    <row r="1359" spans="9:12" x14ac:dyDescent="0.45">
      <c r="I1359" t="s">
        <v>203</v>
      </c>
      <c r="J1359" t="s">
        <v>263</v>
      </c>
      <c r="K1359">
        <v>4.9473027137785872E-3</v>
      </c>
      <c r="L1359" t="s">
        <v>164</v>
      </c>
    </row>
    <row r="1360" spans="9:12" x14ac:dyDescent="0.45">
      <c r="I1360" t="s">
        <v>203</v>
      </c>
      <c r="J1360" t="s">
        <v>264</v>
      </c>
      <c r="K1360">
        <v>0</v>
      </c>
      <c r="L1360" t="s">
        <v>164</v>
      </c>
    </row>
    <row r="1361" spans="9:12" x14ac:dyDescent="0.45">
      <c r="I1361" t="s">
        <v>203</v>
      </c>
      <c r="J1361" t="s">
        <v>167</v>
      </c>
      <c r="K1361">
        <v>7.5967594773320522E-3</v>
      </c>
      <c r="L1361" t="s">
        <v>164</v>
      </c>
    </row>
    <row r="1362" spans="9:12" x14ac:dyDescent="0.45">
      <c r="I1362" t="s">
        <v>203</v>
      </c>
      <c r="J1362" t="s">
        <v>168</v>
      </c>
      <c r="K1362">
        <v>6.5493023697921759E-3</v>
      </c>
      <c r="L1362" t="s">
        <v>164</v>
      </c>
    </row>
    <row r="1363" spans="9:12" x14ac:dyDescent="0.45">
      <c r="I1363" t="s">
        <v>203</v>
      </c>
      <c r="J1363" t="s">
        <v>169</v>
      </c>
      <c r="K1363">
        <v>7.6358864627641392E-3</v>
      </c>
      <c r="L1363" t="s">
        <v>164</v>
      </c>
    </row>
    <row r="1364" spans="9:12" x14ac:dyDescent="0.45">
      <c r="I1364" t="s">
        <v>203</v>
      </c>
      <c r="J1364" t="s">
        <v>265</v>
      </c>
      <c r="K1364">
        <v>4.3472425461622534E-2</v>
      </c>
      <c r="L1364" t="s">
        <v>164</v>
      </c>
    </row>
    <row r="1365" spans="9:12" x14ac:dyDescent="0.45">
      <c r="I1365" t="s">
        <v>203</v>
      </c>
      <c r="J1365" t="s">
        <v>266</v>
      </c>
      <c r="K1365">
        <v>2.7736784679758572E-3</v>
      </c>
      <c r="L1365" t="s">
        <v>164</v>
      </c>
    </row>
    <row r="1366" spans="9:12" x14ac:dyDescent="0.45">
      <c r="I1366" t="s">
        <v>203</v>
      </c>
      <c r="J1366" t="s">
        <v>267</v>
      </c>
      <c r="K1366">
        <v>0</v>
      </c>
      <c r="L1366" t="s">
        <v>164</v>
      </c>
    </row>
    <row r="1367" spans="9:12" x14ac:dyDescent="0.45">
      <c r="I1367" t="s">
        <v>203</v>
      </c>
      <c r="J1367" t="s">
        <v>170</v>
      </c>
      <c r="K1367">
        <v>1.3964499864922325E-2</v>
      </c>
      <c r="L1367" t="s">
        <v>164</v>
      </c>
    </row>
    <row r="1368" spans="9:12" x14ac:dyDescent="0.45">
      <c r="I1368" t="s">
        <v>203</v>
      </c>
      <c r="J1368" t="s">
        <v>171</v>
      </c>
      <c r="K1368">
        <v>9.0766861518714638E-3</v>
      </c>
      <c r="L1368" t="s">
        <v>164</v>
      </c>
    </row>
    <row r="1369" spans="9:12" x14ac:dyDescent="0.45">
      <c r="I1369" t="s">
        <v>203</v>
      </c>
      <c r="J1369" t="s">
        <v>172</v>
      </c>
      <c r="K1369">
        <v>1.0016145464855981E-2</v>
      </c>
      <c r="L1369" t="s">
        <v>164</v>
      </c>
    </row>
    <row r="1370" spans="9:12" x14ac:dyDescent="0.45">
      <c r="I1370" t="s">
        <v>203</v>
      </c>
      <c r="J1370" t="s">
        <v>268</v>
      </c>
      <c r="K1370">
        <v>5.6432066043596935E-2</v>
      </c>
      <c r="L1370" t="s">
        <v>164</v>
      </c>
    </row>
    <row r="1371" spans="9:12" x14ac:dyDescent="0.45">
      <c r="I1371" t="s">
        <v>203</v>
      </c>
      <c r="J1371" t="s">
        <v>269</v>
      </c>
      <c r="K1371">
        <v>4.3006118910433938E-3</v>
      </c>
      <c r="L1371" t="s">
        <v>164</v>
      </c>
    </row>
    <row r="1372" spans="9:12" x14ac:dyDescent="0.45">
      <c r="I1372" t="s">
        <v>203</v>
      </c>
      <c r="J1372" t="s">
        <v>270</v>
      </c>
      <c r="K1372">
        <v>0</v>
      </c>
      <c r="L1372" t="s">
        <v>164</v>
      </c>
    </row>
    <row r="1373" spans="9:12" x14ac:dyDescent="0.45">
      <c r="I1373" t="s">
        <v>203</v>
      </c>
      <c r="J1373" t="s">
        <v>173</v>
      </c>
      <c r="K1373">
        <v>2.163096036207229E-2</v>
      </c>
      <c r="L1373" t="s">
        <v>164</v>
      </c>
    </row>
    <row r="1374" spans="9:12" x14ac:dyDescent="0.45">
      <c r="I1374" t="s">
        <v>203</v>
      </c>
      <c r="J1374" t="s">
        <v>174</v>
      </c>
      <c r="K1374">
        <v>1.3375756477958554E-2</v>
      </c>
      <c r="L1374" t="s">
        <v>164</v>
      </c>
    </row>
    <row r="1375" spans="9:12" x14ac:dyDescent="0.45">
      <c r="I1375" t="s">
        <v>203</v>
      </c>
      <c r="J1375" t="s">
        <v>175</v>
      </c>
      <c r="K1375">
        <v>1.5299358211132187E-2</v>
      </c>
      <c r="L1375" t="s">
        <v>164</v>
      </c>
    </row>
    <row r="1376" spans="9:12" x14ac:dyDescent="0.45">
      <c r="I1376" t="s">
        <v>203</v>
      </c>
      <c r="J1376" t="s">
        <v>271</v>
      </c>
      <c r="K1376">
        <v>8.4831878312394027E-2</v>
      </c>
      <c r="L1376" t="s">
        <v>164</v>
      </c>
    </row>
    <row r="1377" spans="9:12" x14ac:dyDescent="0.45">
      <c r="I1377" t="s">
        <v>203</v>
      </c>
      <c r="J1377" t="s">
        <v>272</v>
      </c>
      <c r="K1377">
        <v>5.0682700132885297E-3</v>
      </c>
      <c r="L1377" t="s">
        <v>164</v>
      </c>
    </row>
    <row r="1378" spans="9:12" x14ac:dyDescent="0.45">
      <c r="I1378" t="s">
        <v>203</v>
      </c>
      <c r="J1378" t="s">
        <v>273</v>
      </c>
      <c r="K1378">
        <v>0</v>
      </c>
      <c r="L1378" t="s">
        <v>164</v>
      </c>
    </row>
    <row r="1379" spans="9:12" x14ac:dyDescent="0.45">
      <c r="I1379" t="s">
        <v>203</v>
      </c>
      <c r="J1379" t="s">
        <v>274</v>
      </c>
      <c r="K1379">
        <v>2.0758074048493745E-2</v>
      </c>
      <c r="L1379" t="s">
        <v>164</v>
      </c>
    </row>
    <row r="1380" spans="9:12" x14ac:dyDescent="0.45">
      <c r="I1380" t="s">
        <v>203</v>
      </c>
      <c r="J1380" t="s">
        <v>275</v>
      </c>
      <c r="K1380">
        <v>1.2933962262904579E-2</v>
      </c>
      <c r="L1380" t="s">
        <v>164</v>
      </c>
    </row>
    <row r="1381" spans="9:12" x14ac:dyDescent="0.45">
      <c r="I1381" t="s">
        <v>203</v>
      </c>
      <c r="J1381" t="s">
        <v>276</v>
      </c>
      <c r="K1381">
        <v>1.5147725599708889E-2</v>
      </c>
      <c r="L1381" t="s">
        <v>164</v>
      </c>
    </row>
    <row r="1382" spans="9:12" x14ac:dyDescent="0.45">
      <c r="I1382" t="s">
        <v>203</v>
      </c>
      <c r="J1382" t="s">
        <v>277</v>
      </c>
      <c r="K1382">
        <v>8.746335539596925E-2</v>
      </c>
      <c r="L1382" t="s">
        <v>164</v>
      </c>
    </row>
    <row r="1383" spans="9:12" x14ac:dyDescent="0.45">
      <c r="I1383" t="s">
        <v>203</v>
      </c>
      <c r="J1383" t="s">
        <v>278</v>
      </c>
      <c r="K1383">
        <v>6.398337535151624E-3</v>
      </c>
      <c r="L1383" t="s">
        <v>164</v>
      </c>
    </row>
    <row r="1384" spans="9:12" x14ac:dyDescent="0.45">
      <c r="I1384" t="s">
        <v>203</v>
      </c>
      <c r="J1384" t="s">
        <v>279</v>
      </c>
      <c r="K1384">
        <v>0</v>
      </c>
      <c r="L1384" t="s">
        <v>164</v>
      </c>
    </row>
    <row r="1385" spans="9:12" x14ac:dyDescent="0.45">
      <c r="I1385" t="s">
        <v>203</v>
      </c>
      <c r="J1385" t="s">
        <v>280</v>
      </c>
      <c r="K1385">
        <v>2.6587663002701219E-2</v>
      </c>
      <c r="L1385" t="s">
        <v>164</v>
      </c>
    </row>
    <row r="1386" spans="9:12" x14ac:dyDescent="0.45">
      <c r="I1386" t="s">
        <v>203</v>
      </c>
      <c r="J1386" t="s">
        <v>281</v>
      </c>
      <c r="K1386">
        <v>1.666620181999183E-2</v>
      </c>
      <c r="L1386" t="s">
        <v>164</v>
      </c>
    </row>
    <row r="1387" spans="9:12" x14ac:dyDescent="0.45">
      <c r="I1387" t="s">
        <v>203</v>
      </c>
      <c r="J1387" t="s">
        <v>282</v>
      </c>
      <c r="K1387">
        <v>1.8269082006657288E-2</v>
      </c>
      <c r="L1387" t="s">
        <v>164</v>
      </c>
    </row>
    <row r="1388" spans="9:12" x14ac:dyDescent="0.45">
      <c r="I1388" t="s">
        <v>203</v>
      </c>
      <c r="J1388" t="s">
        <v>283</v>
      </c>
      <c r="K1388">
        <v>0.10118903652531283</v>
      </c>
      <c r="L1388" t="s">
        <v>164</v>
      </c>
    </row>
    <row r="1389" spans="9:12" x14ac:dyDescent="0.45">
      <c r="I1389" t="s">
        <v>203</v>
      </c>
      <c r="J1389" t="s">
        <v>284</v>
      </c>
      <c r="K1389">
        <v>6.917122224453647E-3</v>
      </c>
      <c r="L1389" t="s">
        <v>164</v>
      </c>
    </row>
    <row r="1390" spans="9:12" x14ac:dyDescent="0.45">
      <c r="I1390" t="s">
        <v>203</v>
      </c>
      <c r="J1390" t="s">
        <v>285</v>
      </c>
      <c r="K1390">
        <v>0</v>
      </c>
      <c r="L1390" t="s">
        <v>164</v>
      </c>
    </row>
    <row r="1391" spans="9:12" x14ac:dyDescent="0.45">
      <c r="I1391" t="s">
        <v>203</v>
      </c>
      <c r="J1391" t="s">
        <v>286</v>
      </c>
      <c r="K1391">
        <v>3.5502535651816894E-2</v>
      </c>
      <c r="L1391" t="s">
        <v>164</v>
      </c>
    </row>
    <row r="1392" spans="9:12" x14ac:dyDescent="0.45">
      <c r="I1392" t="s">
        <v>203</v>
      </c>
      <c r="J1392" t="s">
        <v>287</v>
      </c>
      <c r="K1392">
        <v>1.964010488390899E-2</v>
      </c>
      <c r="L1392" t="s">
        <v>164</v>
      </c>
    </row>
    <row r="1393" spans="9:12" x14ac:dyDescent="0.45">
      <c r="I1393" t="s">
        <v>203</v>
      </c>
      <c r="J1393" t="s">
        <v>288</v>
      </c>
      <c r="K1393">
        <v>2.0931166831985266E-2</v>
      </c>
      <c r="L1393" t="s">
        <v>164</v>
      </c>
    </row>
    <row r="1394" spans="9:12" x14ac:dyDescent="0.45">
      <c r="I1394" t="s">
        <v>203</v>
      </c>
      <c r="J1394" t="s">
        <v>289</v>
      </c>
      <c r="K1394">
        <v>0.10671123000074678</v>
      </c>
      <c r="L1394" t="s">
        <v>164</v>
      </c>
    </row>
    <row r="1395" spans="9:12" x14ac:dyDescent="0.45">
      <c r="I1395" t="s">
        <v>203</v>
      </c>
      <c r="J1395" t="s">
        <v>290</v>
      </c>
      <c r="K1395">
        <v>6.9371007344299724E-3</v>
      </c>
      <c r="L1395" t="s">
        <v>164</v>
      </c>
    </row>
    <row r="1396" spans="9:12" x14ac:dyDescent="0.45">
      <c r="I1396" t="s">
        <v>203</v>
      </c>
      <c r="J1396" t="s">
        <v>291</v>
      </c>
      <c r="K1396">
        <v>0</v>
      </c>
      <c r="L1396" t="s">
        <v>164</v>
      </c>
    </row>
    <row r="1397" spans="9:12" x14ac:dyDescent="0.45">
      <c r="I1397" t="s">
        <v>203</v>
      </c>
      <c r="J1397" t="s">
        <v>292</v>
      </c>
      <c r="K1397">
        <v>1.717154703494455E-2</v>
      </c>
      <c r="L1397" t="s">
        <v>164</v>
      </c>
    </row>
    <row r="1398" spans="9:12" x14ac:dyDescent="0.45">
      <c r="I1398" t="s">
        <v>203</v>
      </c>
      <c r="J1398" t="s">
        <v>293</v>
      </c>
      <c r="K1398">
        <v>9.734302534710939E-3</v>
      </c>
      <c r="L1398" t="s">
        <v>164</v>
      </c>
    </row>
    <row r="1399" spans="9:12" x14ac:dyDescent="0.45">
      <c r="I1399" t="s">
        <v>203</v>
      </c>
      <c r="J1399" t="s">
        <v>294</v>
      </c>
      <c r="K1399">
        <v>1.024424213068348E-2</v>
      </c>
      <c r="L1399" t="s">
        <v>164</v>
      </c>
    </row>
    <row r="1400" spans="9:12" x14ac:dyDescent="0.45">
      <c r="I1400" t="s">
        <v>203</v>
      </c>
      <c r="J1400" t="s">
        <v>295</v>
      </c>
      <c r="K1400">
        <v>5.4674674885326895E-2</v>
      </c>
      <c r="L1400" t="s">
        <v>164</v>
      </c>
    </row>
    <row r="1401" spans="9:12" x14ac:dyDescent="0.45">
      <c r="I1401" t="s">
        <v>203</v>
      </c>
      <c r="J1401" t="s">
        <v>296</v>
      </c>
      <c r="K1401">
        <v>4.1152976420762676E-3</v>
      </c>
      <c r="L1401" t="s">
        <v>164</v>
      </c>
    </row>
    <row r="1402" spans="9:12" x14ac:dyDescent="0.45">
      <c r="I1402" t="s">
        <v>203</v>
      </c>
      <c r="J1402" t="s">
        <v>297</v>
      </c>
      <c r="K1402">
        <v>0</v>
      </c>
      <c r="L1402" t="s">
        <v>164</v>
      </c>
    </row>
    <row r="1403" spans="9:12" x14ac:dyDescent="0.45">
      <c r="I1403" t="s">
        <v>204</v>
      </c>
      <c r="J1403" t="s">
        <v>163</v>
      </c>
      <c r="K1403">
        <v>1.5917528927969146E-2</v>
      </c>
      <c r="L1403" t="s">
        <v>164</v>
      </c>
    </row>
    <row r="1404" spans="9:12" x14ac:dyDescent="0.45">
      <c r="I1404" t="s">
        <v>204</v>
      </c>
      <c r="J1404" t="s">
        <v>165</v>
      </c>
      <c r="K1404">
        <v>1.0647290239420772E-2</v>
      </c>
      <c r="L1404" t="s">
        <v>164</v>
      </c>
    </row>
    <row r="1405" spans="9:12" x14ac:dyDescent="0.45">
      <c r="I1405" t="s">
        <v>204</v>
      </c>
      <c r="J1405" t="s">
        <v>166</v>
      </c>
      <c r="K1405">
        <v>1.1080325560594281E-2</v>
      </c>
      <c r="L1405" t="s">
        <v>164</v>
      </c>
    </row>
    <row r="1406" spans="9:12" x14ac:dyDescent="0.45">
      <c r="I1406" t="s">
        <v>204</v>
      </c>
      <c r="J1406" t="s">
        <v>262</v>
      </c>
      <c r="K1406">
        <v>6.0943540875111613E-2</v>
      </c>
      <c r="L1406" t="s">
        <v>164</v>
      </c>
    </row>
    <row r="1407" spans="9:12" x14ac:dyDescent="0.45">
      <c r="I1407" t="s">
        <v>204</v>
      </c>
      <c r="J1407" t="s">
        <v>263</v>
      </c>
      <c r="K1407">
        <v>5.90920289119633E-3</v>
      </c>
      <c r="L1407" t="s">
        <v>164</v>
      </c>
    </row>
    <row r="1408" spans="9:12" x14ac:dyDescent="0.45">
      <c r="I1408" t="s">
        <v>204</v>
      </c>
      <c r="J1408" t="s">
        <v>264</v>
      </c>
      <c r="K1408">
        <v>0</v>
      </c>
      <c r="L1408" t="s">
        <v>164</v>
      </c>
    </row>
    <row r="1409" spans="9:12" x14ac:dyDescent="0.45">
      <c r="I1409" t="s">
        <v>204</v>
      </c>
      <c r="J1409" t="s">
        <v>167</v>
      </c>
      <c r="K1409">
        <v>8.4265903442620523E-3</v>
      </c>
      <c r="L1409" t="s">
        <v>164</v>
      </c>
    </row>
    <row r="1410" spans="9:12" x14ac:dyDescent="0.45">
      <c r="I1410" t="s">
        <v>204</v>
      </c>
      <c r="J1410" t="s">
        <v>168</v>
      </c>
      <c r="K1410">
        <v>7.1171523741853813E-3</v>
      </c>
      <c r="L1410" t="s">
        <v>164</v>
      </c>
    </row>
    <row r="1411" spans="9:12" x14ac:dyDescent="0.45">
      <c r="I1411" t="s">
        <v>204</v>
      </c>
      <c r="J1411" t="s">
        <v>169</v>
      </c>
      <c r="K1411">
        <v>7.9639665472197984E-3</v>
      </c>
      <c r="L1411" t="s">
        <v>164</v>
      </c>
    </row>
    <row r="1412" spans="9:12" x14ac:dyDescent="0.45">
      <c r="I1412" t="s">
        <v>204</v>
      </c>
      <c r="J1412" t="s">
        <v>265</v>
      </c>
      <c r="K1412">
        <v>4.6076683134094777E-2</v>
      </c>
      <c r="L1412" t="s">
        <v>164</v>
      </c>
    </row>
    <row r="1413" spans="9:12" x14ac:dyDescent="0.45">
      <c r="I1413" t="s">
        <v>204</v>
      </c>
      <c r="J1413" t="s">
        <v>266</v>
      </c>
      <c r="K1413">
        <v>3.4290705895455207E-3</v>
      </c>
      <c r="L1413" t="s">
        <v>164</v>
      </c>
    </row>
    <row r="1414" spans="9:12" x14ac:dyDescent="0.45">
      <c r="I1414" t="s">
        <v>204</v>
      </c>
      <c r="J1414" t="s">
        <v>267</v>
      </c>
      <c r="K1414">
        <v>0</v>
      </c>
      <c r="L1414" t="s">
        <v>164</v>
      </c>
    </row>
    <row r="1415" spans="9:12" x14ac:dyDescent="0.45">
      <c r="I1415" t="s">
        <v>204</v>
      </c>
      <c r="J1415" t="s">
        <v>170</v>
      </c>
      <c r="K1415">
        <v>1.5481309035320294E-2</v>
      </c>
      <c r="L1415" t="s">
        <v>164</v>
      </c>
    </row>
    <row r="1416" spans="9:12" x14ac:dyDescent="0.45">
      <c r="I1416" t="s">
        <v>204</v>
      </c>
      <c r="J1416" t="s">
        <v>171</v>
      </c>
      <c r="K1416">
        <v>9.7919148841825992E-3</v>
      </c>
      <c r="L1416" t="s">
        <v>164</v>
      </c>
    </row>
    <row r="1417" spans="9:12" x14ac:dyDescent="0.45">
      <c r="I1417" t="s">
        <v>204</v>
      </c>
      <c r="J1417" t="s">
        <v>172</v>
      </c>
      <c r="K1417">
        <v>1.0916412143816653E-2</v>
      </c>
      <c r="L1417" t="s">
        <v>164</v>
      </c>
    </row>
    <row r="1418" spans="9:12" x14ac:dyDescent="0.45">
      <c r="I1418" t="s">
        <v>204</v>
      </c>
      <c r="J1418" t="s">
        <v>268</v>
      </c>
      <c r="K1418">
        <v>5.7385710943139268E-2</v>
      </c>
      <c r="L1418" t="s">
        <v>164</v>
      </c>
    </row>
    <row r="1419" spans="9:12" x14ac:dyDescent="0.45">
      <c r="I1419" t="s">
        <v>204</v>
      </c>
      <c r="J1419" t="s">
        <v>269</v>
      </c>
      <c r="K1419">
        <v>4.195962457518544E-3</v>
      </c>
      <c r="L1419" t="s">
        <v>164</v>
      </c>
    </row>
    <row r="1420" spans="9:12" x14ac:dyDescent="0.45">
      <c r="I1420" t="s">
        <v>204</v>
      </c>
      <c r="J1420" t="s">
        <v>270</v>
      </c>
      <c r="K1420">
        <v>0</v>
      </c>
      <c r="L1420" t="s">
        <v>164</v>
      </c>
    </row>
    <row r="1421" spans="9:12" x14ac:dyDescent="0.45">
      <c r="I1421" t="s">
        <v>204</v>
      </c>
      <c r="J1421" t="s">
        <v>173</v>
      </c>
      <c r="K1421">
        <v>2.077862946337446E-2</v>
      </c>
      <c r="L1421" t="s">
        <v>164</v>
      </c>
    </row>
    <row r="1422" spans="9:12" x14ac:dyDescent="0.45">
      <c r="I1422" t="s">
        <v>204</v>
      </c>
      <c r="J1422" t="s">
        <v>174</v>
      </c>
      <c r="K1422">
        <v>1.3083006496268723E-2</v>
      </c>
      <c r="L1422" t="s">
        <v>164</v>
      </c>
    </row>
    <row r="1423" spans="9:12" x14ac:dyDescent="0.45">
      <c r="I1423" t="s">
        <v>204</v>
      </c>
      <c r="J1423" t="s">
        <v>175</v>
      </c>
      <c r="K1423">
        <v>1.5333821003501502E-2</v>
      </c>
      <c r="L1423" t="s">
        <v>164</v>
      </c>
    </row>
    <row r="1424" spans="9:12" x14ac:dyDescent="0.45">
      <c r="I1424" t="s">
        <v>204</v>
      </c>
      <c r="J1424" t="s">
        <v>271</v>
      </c>
      <c r="K1424">
        <v>8.4681967001759825E-2</v>
      </c>
      <c r="L1424" t="s">
        <v>164</v>
      </c>
    </row>
    <row r="1425" spans="9:12" x14ac:dyDescent="0.45">
      <c r="I1425" t="s">
        <v>204</v>
      </c>
      <c r="J1425" t="s">
        <v>272</v>
      </c>
      <c r="K1425">
        <v>4.29646137169122E-3</v>
      </c>
      <c r="L1425" t="s">
        <v>164</v>
      </c>
    </row>
    <row r="1426" spans="9:12" x14ac:dyDescent="0.45">
      <c r="I1426" t="s">
        <v>204</v>
      </c>
      <c r="J1426" t="s">
        <v>273</v>
      </c>
      <c r="K1426">
        <v>0</v>
      </c>
      <c r="L1426" t="s">
        <v>164</v>
      </c>
    </row>
    <row r="1427" spans="9:12" x14ac:dyDescent="0.45">
      <c r="I1427" t="s">
        <v>204</v>
      </c>
      <c r="J1427" t="s">
        <v>274</v>
      </c>
      <c r="K1427">
        <v>1.9154842584823365E-2</v>
      </c>
      <c r="L1427" t="s">
        <v>164</v>
      </c>
    </row>
    <row r="1428" spans="9:12" x14ac:dyDescent="0.45">
      <c r="I1428" t="s">
        <v>204</v>
      </c>
      <c r="J1428" t="s">
        <v>275</v>
      </c>
      <c r="K1428">
        <v>1.2622273999613064E-2</v>
      </c>
      <c r="L1428" t="s">
        <v>164</v>
      </c>
    </row>
    <row r="1429" spans="9:12" x14ac:dyDescent="0.45">
      <c r="I1429" t="s">
        <v>204</v>
      </c>
      <c r="J1429" t="s">
        <v>276</v>
      </c>
      <c r="K1429">
        <v>1.5005028046986512E-2</v>
      </c>
      <c r="L1429" t="s">
        <v>164</v>
      </c>
    </row>
    <row r="1430" spans="9:12" x14ac:dyDescent="0.45">
      <c r="I1430" t="s">
        <v>204</v>
      </c>
      <c r="J1430" t="s">
        <v>277</v>
      </c>
      <c r="K1430">
        <v>8.7960304083009797E-2</v>
      </c>
      <c r="L1430" t="s">
        <v>164</v>
      </c>
    </row>
    <row r="1431" spans="9:12" x14ac:dyDescent="0.45">
      <c r="I1431" t="s">
        <v>204</v>
      </c>
      <c r="J1431" t="s">
        <v>278</v>
      </c>
      <c r="K1431">
        <v>6.315881556342059E-3</v>
      </c>
      <c r="L1431" t="s">
        <v>164</v>
      </c>
    </row>
    <row r="1432" spans="9:12" x14ac:dyDescent="0.45">
      <c r="I1432" t="s">
        <v>204</v>
      </c>
      <c r="J1432" t="s">
        <v>279</v>
      </c>
      <c r="K1432">
        <v>7.7372478864443518E-4</v>
      </c>
      <c r="L1432" t="s">
        <v>164</v>
      </c>
    </row>
    <row r="1433" spans="9:12" x14ac:dyDescent="0.45">
      <c r="I1433" t="s">
        <v>204</v>
      </c>
      <c r="J1433" t="s">
        <v>280</v>
      </c>
      <c r="K1433">
        <v>2.7646539457077041E-2</v>
      </c>
      <c r="L1433" t="s">
        <v>164</v>
      </c>
    </row>
    <row r="1434" spans="9:12" x14ac:dyDescent="0.45">
      <c r="I1434" t="s">
        <v>204</v>
      </c>
      <c r="J1434" t="s">
        <v>281</v>
      </c>
      <c r="K1434">
        <v>1.7159031412247831E-2</v>
      </c>
      <c r="L1434" t="s">
        <v>164</v>
      </c>
    </row>
    <row r="1435" spans="9:12" x14ac:dyDescent="0.45">
      <c r="I1435" t="s">
        <v>204</v>
      </c>
      <c r="J1435" t="s">
        <v>282</v>
      </c>
      <c r="K1435">
        <v>1.9043431914387506E-2</v>
      </c>
      <c r="L1435" t="s">
        <v>164</v>
      </c>
    </row>
    <row r="1436" spans="9:12" x14ac:dyDescent="0.45">
      <c r="I1436" t="s">
        <v>204</v>
      </c>
      <c r="J1436" t="s">
        <v>283</v>
      </c>
      <c r="K1436">
        <v>9.9427167183336093E-2</v>
      </c>
      <c r="L1436" t="s">
        <v>164</v>
      </c>
    </row>
    <row r="1437" spans="9:12" x14ac:dyDescent="0.45">
      <c r="I1437" t="s">
        <v>204</v>
      </c>
      <c r="J1437" t="s">
        <v>284</v>
      </c>
      <c r="K1437">
        <v>6.3060588493751698E-3</v>
      </c>
      <c r="L1437" t="s">
        <v>164</v>
      </c>
    </row>
    <row r="1438" spans="9:12" x14ac:dyDescent="0.45">
      <c r="I1438" t="s">
        <v>204</v>
      </c>
      <c r="J1438" t="s">
        <v>285</v>
      </c>
      <c r="K1438">
        <v>3.0070389638792522E-5</v>
      </c>
      <c r="L1438" t="s">
        <v>164</v>
      </c>
    </row>
    <row r="1439" spans="9:12" x14ac:dyDescent="0.45">
      <c r="I1439" t="s">
        <v>204</v>
      </c>
      <c r="J1439" t="s">
        <v>286</v>
      </c>
      <c r="K1439">
        <v>3.3659125362940093E-2</v>
      </c>
      <c r="L1439" t="s">
        <v>164</v>
      </c>
    </row>
    <row r="1440" spans="9:12" x14ac:dyDescent="0.45">
      <c r="I1440" t="s">
        <v>204</v>
      </c>
      <c r="J1440" t="s">
        <v>287</v>
      </c>
      <c r="K1440">
        <v>1.9593652336264873E-2</v>
      </c>
      <c r="L1440" t="s">
        <v>164</v>
      </c>
    </row>
    <row r="1441" spans="9:12" x14ac:dyDescent="0.45">
      <c r="I1441" t="s">
        <v>204</v>
      </c>
      <c r="J1441" t="s">
        <v>288</v>
      </c>
      <c r="K1441">
        <v>2.0904387233586598E-2</v>
      </c>
      <c r="L1441" t="s">
        <v>164</v>
      </c>
    </row>
    <row r="1442" spans="9:12" x14ac:dyDescent="0.45">
      <c r="I1442" t="s">
        <v>204</v>
      </c>
      <c r="J1442" t="s">
        <v>289</v>
      </c>
      <c r="K1442">
        <v>0.10560517110438516</v>
      </c>
      <c r="L1442" t="s">
        <v>164</v>
      </c>
    </row>
    <row r="1443" spans="9:12" x14ac:dyDescent="0.45">
      <c r="I1443" t="s">
        <v>204</v>
      </c>
      <c r="J1443" t="s">
        <v>290</v>
      </c>
      <c r="K1443">
        <v>6.3696389189739503E-3</v>
      </c>
      <c r="L1443" t="s">
        <v>164</v>
      </c>
    </row>
    <row r="1444" spans="9:12" x14ac:dyDescent="0.45">
      <c r="I1444" t="s">
        <v>204</v>
      </c>
      <c r="J1444" t="s">
        <v>291</v>
      </c>
      <c r="K1444">
        <v>0</v>
      </c>
      <c r="L1444" t="s">
        <v>164</v>
      </c>
    </row>
    <row r="1445" spans="9:12" x14ac:dyDescent="0.45">
      <c r="I1445" t="s">
        <v>204</v>
      </c>
      <c r="J1445" t="s">
        <v>292</v>
      </c>
      <c r="K1445">
        <v>1.3753557337636502E-2</v>
      </c>
      <c r="L1445" t="s">
        <v>164</v>
      </c>
    </row>
    <row r="1446" spans="9:12" x14ac:dyDescent="0.45">
      <c r="I1446" t="s">
        <v>204</v>
      </c>
      <c r="J1446" t="s">
        <v>293</v>
      </c>
      <c r="K1446">
        <v>8.7662380477852124E-3</v>
      </c>
      <c r="L1446" t="s">
        <v>164</v>
      </c>
    </row>
    <row r="1447" spans="9:12" x14ac:dyDescent="0.45">
      <c r="I1447" t="s">
        <v>204</v>
      </c>
      <c r="J1447" t="s">
        <v>294</v>
      </c>
      <c r="K1447">
        <v>9.1893958634843981E-3</v>
      </c>
      <c r="L1447" t="s">
        <v>164</v>
      </c>
    </row>
    <row r="1448" spans="9:12" x14ac:dyDescent="0.45">
      <c r="I1448" t="s">
        <v>204</v>
      </c>
      <c r="J1448" t="s">
        <v>295</v>
      </c>
      <c r="K1448">
        <v>5.2987672249786379E-2</v>
      </c>
      <c r="L1448" t="s">
        <v>164</v>
      </c>
    </row>
    <row r="1449" spans="9:12" x14ac:dyDescent="0.45">
      <c r="I1449" t="s">
        <v>204</v>
      </c>
      <c r="J1449" t="s">
        <v>296</v>
      </c>
      <c r="K1449">
        <v>4.2702609955048805E-3</v>
      </c>
      <c r="L1449" t="s">
        <v>164</v>
      </c>
    </row>
    <row r="1450" spans="9:12" x14ac:dyDescent="0.45">
      <c r="I1450" t="s">
        <v>204</v>
      </c>
      <c r="J1450" t="s">
        <v>297</v>
      </c>
      <c r="K1450">
        <v>0</v>
      </c>
      <c r="L1450" t="s">
        <v>164</v>
      </c>
    </row>
    <row r="1451" spans="9:12" x14ac:dyDescent="0.45">
      <c r="I1451" t="s">
        <v>205</v>
      </c>
      <c r="J1451" t="s">
        <v>163</v>
      </c>
      <c r="K1451">
        <v>1.6189577412627793E-2</v>
      </c>
      <c r="L1451" t="s">
        <v>164</v>
      </c>
    </row>
    <row r="1452" spans="9:12" x14ac:dyDescent="0.45">
      <c r="I1452" t="s">
        <v>205</v>
      </c>
      <c r="J1452" t="s">
        <v>165</v>
      </c>
      <c r="K1452">
        <v>1.1554102243257262E-2</v>
      </c>
      <c r="L1452" t="s">
        <v>164</v>
      </c>
    </row>
    <row r="1453" spans="9:12" x14ac:dyDescent="0.45">
      <c r="I1453" t="s">
        <v>205</v>
      </c>
      <c r="J1453" t="s">
        <v>166</v>
      </c>
      <c r="K1453">
        <v>1.2241544011302468E-2</v>
      </c>
      <c r="L1453" t="s">
        <v>164</v>
      </c>
    </row>
    <row r="1454" spans="9:12" x14ac:dyDescent="0.45">
      <c r="I1454" t="s">
        <v>205</v>
      </c>
      <c r="J1454" t="s">
        <v>262</v>
      </c>
      <c r="K1454">
        <v>6.6106463982329638E-2</v>
      </c>
      <c r="L1454" t="s">
        <v>164</v>
      </c>
    </row>
    <row r="1455" spans="9:12" x14ac:dyDescent="0.45">
      <c r="I1455" t="s">
        <v>205</v>
      </c>
      <c r="J1455" t="s">
        <v>263</v>
      </c>
      <c r="K1455">
        <v>6.0287258579730923E-3</v>
      </c>
      <c r="L1455" t="s">
        <v>164</v>
      </c>
    </row>
    <row r="1456" spans="9:12" x14ac:dyDescent="0.45">
      <c r="I1456" t="s">
        <v>205</v>
      </c>
      <c r="J1456" t="s">
        <v>264</v>
      </c>
      <c r="K1456">
        <v>2.7119049659449386E-4</v>
      </c>
      <c r="L1456" t="s">
        <v>164</v>
      </c>
    </row>
    <row r="1457" spans="9:12" x14ac:dyDescent="0.45">
      <c r="I1457" t="s">
        <v>205</v>
      </c>
      <c r="J1457" t="s">
        <v>167</v>
      </c>
      <c r="K1457">
        <v>9.5228133996919564E-3</v>
      </c>
      <c r="L1457" t="s">
        <v>164</v>
      </c>
    </row>
    <row r="1458" spans="9:12" x14ac:dyDescent="0.45">
      <c r="I1458" t="s">
        <v>205</v>
      </c>
      <c r="J1458" t="s">
        <v>168</v>
      </c>
      <c r="K1458">
        <v>8.0736596909352677E-3</v>
      </c>
      <c r="L1458" t="s">
        <v>164</v>
      </c>
    </row>
    <row r="1459" spans="9:12" x14ac:dyDescent="0.45">
      <c r="I1459" t="s">
        <v>205</v>
      </c>
      <c r="J1459" t="s">
        <v>169</v>
      </c>
      <c r="K1459">
        <v>9.0700527267402204E-3</v>
      </c>
      <c r="L1459" t="s">
        <v>164</v>
      </c>
    </row>
    <row r="1460" spans="9:12" x14ac:dyDescent="0.45">
      <c r="I1460" t="s">
        <v>205</v>
      </c>
      <c r="J1460" t="s">
        <v>265</v>
      </c>
      <c r="K1460">
        <v>5.1199472139013193E-2</v>
      </c>
      <c r="L1460" t="s">
        <v>164</v>
      </c>
    </row>
    <row r="1461" spans="9:12" x14ac:dyDescent="0.45">
      <c r="I1461" t="s">
        <v>205</v>
      </c>
      <c r="J1461" t="s">
        <v>266</v>
      </c>
      <c r="K1461">
        <v>3.5988700797960718E-3</v>
      </c>
      <c r="L1461" t="s">
        <v>164</v>
      </c>
    </row>
    <row r="1462" spans="9:12" x14ac:dyDescent="0.45">
      <c r="I1462" t="s">
        <v>205</v>
      </c>
      <c r="J1462" t="s">
        <v>267</v>
      </c>
      <c r="K1462">
        <v>1.5560991038241689E-3</v>
      </c>
      <c r="L1462" t="s">
        <v>164</v>
      </c>
    </row>
    <row r="1463" spans="9:12" x14ac:dyDescent="0.45">
      <c r="I1463" t="s">
        <v>205</v>
      </c>
      <c r="J1463" t="s">
        <v>170</v>
      </c>
      <c r="K1463">
        <v>1.1548416540422957E-2</v>
      </c>
      <c r="L1463" t="s">
        <v>164</v>
      </c>
    </row>
    <row r="1464" spans="9:12" x14ac:dyDescent="0.45">
      <c r="I1464" t="s">
        <v>205</v>
      </c>
      <c r="J1464" t="s">
        <v>171</v>
      </c>
      <c r="K1464">
        <v>9.0299023159262932E-3</v>
      </c>
      <c r="L1464" t="s">
        <v>164</v>
      </c>
    </row>
    <row r="1465" spans="9:12" x14ac:dyDescent="0.45">
      <c r="I1465" t="s">
        <v>205</v>
      </c>
      <c r="J1465" t="s">
        <v>172</v>
      </c>
      <c r="K1465">
        <v>1.0160739587218642E-2</v>
      </c>
      <c r="L1465" t="s">
        <v>164</v>
      </c>
    </row>
    <row r="1466" spans="9:12" x14ac:dyDescent="0.45">
      <c r="I1466" t="s">
        <v>205</v>
      </c>
      <c r="J1466" t="s">
        <v>268</v>
      </c>
      <c r="K1466">
        <v>5.7124630719013976E-2</v>
      </c>
      <c r="L1466" t="s">
        <v>164</v>
      </c>
    </row>
    <row r="1467" spans="9:12" x14ac:dyDescent="0.45">
      <c r="I1467" t="s">
        <v>205</v>
      </c>
      <c r="J1467" t="s">
        <v>269</v>
      </c>
      <c r="K1467">
        <v>4.0295126914756899E-3</v>
      </c>
      <c r="L1467" t="s">
        <v>164</v>
      </c>
    </row>
    <row r="1468" spans="9:12" x14ac:dyDescent="0.45">
      <c r="I1468" t="s">
        <v>205</v>
      </c>
      <c r="J1468" t="s">
        <v>270</v>
      </c>
      <c r="K1468">
        <v>1.1496382131542266E-3</v>
      </c>
      <c r="L1468" t="s">
        <v>164</v>
      </c>
    </row>
    <row r="1469" spans="9:12" x14ac:dyDescent="0.45">
      <c r="I1469" t="s">
        <v>205</v>
      </c>
      <c r="J1469" t="s">
        <v>173</v>
      </c>
      <c r="K1469">
        <v>1.8986262662381823E-2</v>
      </c>
      <c r="L1469" t="s">
        <v>164</v>
      </c>
    </row>
    <row r="1470" spans="9:12" x14ac:dyDescent="0.45">
      <c r="I1470" t="s">
        <v>205</v>
      </c>
      <c r="J1470" t="s">
        <v>174</v>
      </c>
      <c r="K1470">
        <v>1.2469689833338958E-2</v>
      </c>
      <c r="L1470" t="s">
        <v>164</v>
      </c>
    </row>
    <row r="1471" spans="9:12" x14ac:dyDescent="0.45">
      <c r="I1471" t="s">
        <v>205</v>
      </c>
      <c r="J1471" t="s">
        <v>175</v>
      </c>
      <c r="K1471">
        <v>1.4784330060984287E-2</v>
      </c>
      <c r="L1471" t="s">
        <v>164</v>
      </c>
    </row>
    <row r="1472" spans="9:12" x14ac:dyDescent="0.45">
      <c r="I1472" t="s">
        <v>205</v>
      </c>
      <c r="J1472" t="s">
        <v>271</v>
      </c>
      <c r="K1472">
        <v>8.3561377303853379E-2</v>
      </c>
      <c r="L1472" t="s">
        <v>164</v>
      </c>
    </row>
    <row r="1473" spans="9:12" x14ac:dyDescent="0.45">
      <c r="I1473" t="s">
        <v>205</v>
      </c>
      <c r="J1473" t="s">
        <v>272</v>
      </c>
      <c r="K1473">
        <v>5.0327234842252261E-3</v>
      </c>
      <c r="L1473" t="s">
        <v>164</v>
      </c>
    </row>
    <row r="1474" spans="9:12" x14ac:dyDescent="0.45">
      <c r="I1474" t="s">
        <v>205</v>
      </c>
      <c r="J1474" t="s">
        <v>273</v>
      </c>
      <c r="K1474">
        <v>0</v>
      </c>
      <c r="L1474" t="s">
        <v>164</v>
      </c>
    </row>
    <row r="1475" spans="9:12" x14ac:dyDescent="0.45">
      <c r="I1475" t="s">
        <v>205</v>
      </c>
      <c r="J1475" t="s">
        <v>274</v>
      </c>
      <c r="K1475">
        <v>1.601034160606301E-2</v>
      </c>
      <c r="L1475" t="s">
        <v>164</v>
      </c>
    </row>
    <row r="1476" spans="9:12" x14ac:dyDescent="0.45">
      <c r="I1476" t="s">
        <v>205</v>
      </c>
      <c r="J1476" t="s">
        <v>275</v>
      </c>
      <c r="K1476">
        <v>1.166569957874602E-2</v>
      </c>
      <c r="L1476" t="s">
        <v>164</v>
      </c>
    </row>
    <row r="1477" spans="9:12" x14ac:dyDescent="0.45">
      <c r="I1477" t="s">
        <v>205</v>
      </c>
      <c r="J1477" t="s">
        <v>276</v>
      </c>
      <c r="K1477">
        <v>1.4252285382823441E-2</v>
      </c>
      <c r="L1477" t="s">
        <v>164</v>
      </c>
    </row>
    <row r="1478" spans="9:12" x14ac:dyDescent="0.45">
      <c r="I1478" t="s">
        <v>205</v>
      </c>
      <c r="J1478" t="s">
        <v>277</v>
      </c>
      <c r="K1478">
        <v>8.639564697121152E-2</v>
      </c>
      <c r="L1478" t="s">
        <v>164</v>
      </c>
    </row>
    <row r="1479" spans="9:12" x14ac:dyDescent="0.45">
      <c r="I1479" t="s">
        <v>205</v>
      </c>
      <c r="J1479" t="s">
        <v>278</v>
      </c>
      <c r="K1479">
        <v>6.0499424463672886E-3</v>
      </c>
      <c r="L1479" t="s">
        <v>164</v>
      </c>
    </row>
    <row r="1480" spans="9:12" x14ac:dyDescent="0.45">
      <c r="I1480" t="s">
        <v>205</v>
      </c>
      <c r="J1480" t="s">
        <v>279</v>
      </c>
      <c r="K1480">
        <v>3.4305222324265685E-3</v>
      </c>
      <c r="L1480" t="s">
        <v>164</v>
      </c>
    </row>
    <row r="1481" spans="9:12" x14ac:dyDescent="0.45">
      <c r="I1481" t="s">
        <v>205</v>
      </c>
      <c r="J1481" t="s">
        <v>280</v>
      </c>
      <c r="K1481">
        <v>2.1705161355987629E-2</v>
      </c>
      <c r="L1481" t="s">
        <v>164</v>
      </c>
    </row>
    <row r="1482" spans="9:12" x14ac:dyDescent="0.45">
      <c r="I1482" t="s">
        <v>205</v>
      </c>
      <c r="J1482" t="s">
        <v>281</v>
      </c>
      <c r="K1482">
        <v>1.4903115169720756E-2</v>
      </c>
      <c r="L1482" t="s">
        <v>164</v>
      </c>
    </row>
    <row r="1483" spans="9:12" x14ac:dyDescent="0.45">
      <c r="I1483" t="s">
        <v>205</v>
      </c>
      <c r="J1483" t="s">
        <v>282</v>
      </c>
      <c r="K1483">
        <v>1.7396182969724675E-2</v>
      </c>
      <c r="L1483" t="s">
        <v>164</v>
      </c>
    </row>
    <row r="1484" spans="9:12" x14ac:dyDescent="0.45">
      <c r="I1484" t="s">
        <v>205</v>
      </c>
      <c r="J1484" t="s">
        <v>283</v>
      </c>
      <c r="K1484">
        <v>9.7547762723920711E-2</v>
      </c>
      <c r="L1484" t="s">
        <v>164</v>
      </c>
    </row>
    <row r="1485" spans="9:12" x14ac:dyDescent="0.45">
      <c r="I1485" t="s">
        <v>205</v>
      </c>
      <c r="J1485" t="s">
        <v>284</v>
      </c>
      <c r="K1485">
        <v>6.2249977702894888E-3</v>
      </c>
      <c r="L1485" t="s">
        <v>164</v>
      </c>
    </row>
    <row r="1486" spans="9:12" x14ac:dyDescent="0.45">
      <c r="I1486" t="s">
        <v>205</v>
      </c>
      <c r="J1486" t="s">
        <v>285</v>
      </c>
      <c r="K1486">
        <v>7.1134010768690462E-4</v>
      </c>
      <c r="L1486" t="s">
        <v>164</v>
      </c>
    </row>
    <row r="1487" spans="9:12" x14ac:dyDescent="0.45">
      <c r="I1487" t="s">
        <v>205</v>
      </c>
      <c r="J1487" t="s">
        <v>286</v>
      </c>
      <c r="K1487">
        <v>3.1332755357654216E-2</v>
      </c>
      <c r="L1487" t="s">
        <v>164</v>
      </c>
    </row>
    <row r="1488" spans="9:12" x14ac:dyDescent="0.45">
      <c r="I1488" t="s">
        <v>205</v>
      </c>
      <c r="J1488" t="s">
        <v>287</v>
      </c>
      <c r="K1488">
        <v>1.9443599323164813E-2</v>
      </c>
      <c r="L1488" t="s">
        <v>164</v>
      </c>
    </row>
    <row r="1489" spans="9:12" x14ac:dyDescent="0.45">
      <c r="I1489" t="s">
        <v>205</v>
      </c>
      <c r="J1489" t="s">
        <v>288</v>
      </c>
      <c r="K1489">
        <v>2.0977201102156784E-2</v>
      </c>
      <c r="L1489" t="s">
        <v>164</v>
      </c>
    </row>
    <row r="1490" spans="9:12" x14ac:dyDescent="0.45">
      <c r="I1490" t="s">
        <v>205</v>
      </c>
      <c r="J1490" t="s">
        <v>289</v>
      </c>
      <c r="K1490">
        <v>0.10508901809989563</v>
      </c>
      <c r="L1490" t="s">
        <v>164</v>
      </c>
    </row>
    <row r="1491" spans="9:12" x14ac:dyDescent="0.45">
      <c r="I1491" t="s">
        <v>205</v>
      </c>
      <c r="J1491" t="s">
        <v>290</v>
      </c>
      <c r="K1491">
        <v>6.0372868062313501E-3</v>
      </c>
      <c r="L1491" t="s">
        <v>164</v>
      </c>
    </row>
    <row r="1492" spans="9:12" x14ac:dyDescent="0.45">
      <c r="I1492" t="s">
        <v>205</v>
      </c>
      <c r="J1492" t="s">
        <v>291</v>
      </c>
      <c r="K1492">
        <v>0</v>
      </c>
      <c r="L1492" t="s">
        <v>164</v>
      </c>
    </row>
    <row r="1493" spans="9:12" x14ac:dyDescent="0.45">
      <c r="I1493" t="s">
        <v>205</v>
      </c>
      <c r="J1493" t="s">
        <v>292</v>
      </c>
      <c r="K1493">
        <v>1.5206601819365994E-2</v>
      </c>
      <c r="L1493" t="s">
        <v>164</v>
      </c>
    </row>
    <row r="1494" spans="9:12" x14ac:dyDescent="0.45">
      <c r="I1494" t="s">
        <v>205</v>
      </c>
      <c r="J1494" t="s">
        <v>293</v>
      </c>
      <c r="K1494">
        <v>1.0365147644983561E-2</v>
      </c>
      <c r="L1494" t="s">
        <v>164</v>
      </c>
    </row>
    <row r="1495" spans="9:12" x14ac:dyDescent="0.45">
      <c r="I1495" t="s">
        <v>205</v>
      </c>
      <c r="J1495" t="s">
        <v>294</v>
      </c>
      <c r="K1495">
        <v>1.1126723901163068E-2</v>
      </c>
      <c r="L1495" t="s">
        <v>164</v>
      </c>
    </row>
    <row r="1496" spans="9:12" x14ac:dyDescent="0.45">
      <c r="I1496" t="s">
        <v>205</v>
      </c>
      <c r="J1496" t="s">
        <v>295</v>
      </c>
      <c r="K1496">
        <v>5.6614957543735293E-2</v>
      </c>
      <c r="L1496" t="s">
        <v>164</v>
      </c>
    </row>
    <row r="1497" spans="9:12" x14ac:dyDescent="0.45">
      <c r="I1497" t="s">
        <v>205</v>
      </c>
      <c r="J1497" t="s">
        <v>296</v>
      </c>
      <c r="K1497">
        <v>4.2239155306009564E-3</v>
      </c>
      <c r="L1497" t="s">
        <v>164</v>
      </c>
    </row>
    <row r="1498" spans="9:12" x14ac:dyDescent="0.45">
      <c r="I1498" t="s">
        <v>205</v>
      </c>
      <c r="J1498" t="s">
        <v>297</v>
      </c>
      <c r="K1498">
        <v>0</v>
      </c>
      <c r="L1498" t="s">
        <v>164</v>
      </c>
    </row>
    <row r="1499" spans="9:12" x14ac:dyDescent="0.45">
      <c r="I1499" t="s">
        <v>206</v>
      </c>
      <c r="J1499" t="s">
        <v>163</v>
      </c>
      <c r="K1499">
        <v>1.6595048177626887E-2</v>
      </c>
      <c r="L1499" t="s">
        <v>164</v>
      </c>
    </row>
    <row r="1500" spans="9:12" x14ac:dyDescent="0.45">
      <c r="I1500" t="s">
        <v>206</v>
      </c>
      <c r="J1500" t="s">
        <v>165</v>
      </c>
      <c r="K1500">
        <v>1.1337161232577931E-2</v>
      </c>
      <c r="L1500" t="s">
        <v>164</v>
      </c>
    </row>
    <row r="1501" spans="9:12" x14ac:dyDescent="0.45">
      <c r="I1501" t="s">
        <v>206</v>
      </c>
      <c r="J1501" t="s">
        <v>166</v>
      </c>
      <c r="K1501">
        <v>1.1459866411170914E-2</v>
      </c>
      <c r="L1501" t="s">
        <v>164</v>
      </c>
    </row>
    <row r="1502" spans="9:12" x14ac:dyDescent="0.45">
      <c r="I1502" t="s">
        <v>206</v>
      </c>
      <c r="J1502" t="s">
        <v>262</v>
      </c>
      <c r="K1502">
        <v>6.3892667241478907E-2</v>
      </c>
      <c r="L1502" t="s">
        <v>164</v>
      </c>
    </row>
    <row r="1503" spans="9:12" x14ac:dyDescent="0.45">
      <c r="I1503" t="s">
        <v>206</v>
      </c>
      <c r="J1503" t="s">
        <v>263</v>
      </c>
      <c r="K1503">
        <v>6.8270754461576049E-3</v>
      </c>
      <c r="L1503" t="s">
        <v>164</v>
      </c>
    </row>
    <row r="1504" spans="9:12" x14ac:dyDescent="0.45">
      <c r="I1504" t="s">
        <v>206</v>
      </c>
      <c r="J1504" t="s">
        <v>264</v>
      </c>
      <c r="K1504">
        <v>0</v>
      </c>
      <c r="L1504" t="s">
        <v>164</v>
      </c>
    </row>
    <row r="1505" spans="9:12" x14ac:dyDescent="0.45">
      <c r="I1505" t="s">
        <v>206</v>
      </c>
      <c r="J1505" t="s">
        <v>167</v>
      </c>
      <c r="K1505">
        <v>1.1992089341492252E-2</v>
      </c>
      <c r="L1505" t="s">
        <v>164</v>
      </c>
    </row>
    <row r="1506" spans="9:12" x14ac:dyDescent="0.45">
      <c r="I1506" t="s">
        <v>206</v>
      </c>
      <c r="J1506" t="s">
        <v>168</v>
      </c>
      <c r="K1506">
        <v>8.8509662362102164E-3</v>
      </c>
      <c r="L1506" t="s">
        <v>164</v>
      </c>
    </row>
    <row r="1507" spans="9:12" x14ac:dyDescent="0.45">
      <c r="I1507" t="s">
        <v>206</v>
      </c>
      <c r="J1507" t="s">
        <v>169</v>
      </c>
      <c r="K1507">
        <v>9.2174512386929974E-3</v>
      </c>
      <c r="L1507" t="s">
        <v>164</v>
      </c>
    </row>
    <row r="1508" spans="9:12" x14ac:dyDescent="0.45">
      <c r="I1508" t="s">
        <v>206</v>
      </c>
      <c r="J1508" t="s">
        <v>265</v>
      </c>
      <c r="K1508">
        <v>5.1155961035938502E-2</v>
      </c>
      <c r="L1508" t="s">
        <v>164</v>
      </c>
    </row>
    <row r="1509" spans="9:12" x14ac:dyDescent="0.45">
      <c r="I1509" t="s">
        <v>206</v>
      </c>
      <c r="J1509" t="s">
        <v>266</v>
      </c>
      <c r="K1509">
        <v>4.7828522214353698E-3</v>
      </c>
      <c r="L1509" t="s">
        <v>164</v>
      </c>
    </row>
    <row r="1510" spans="9:12" x14ac:dyDescent="0.45">
      <c r="I1510" t="s">
        <v>206</v>
      </c>
      <c r="J1510" t="s">
        <v>267</v>
      </c>
      <c r="K1510">
        <v>1.8569594784018778E-3</v>
      </c>
      <c r="L1510" t="s">
        <v>164</v>
      </c>
    </row>
    <row r="1511" spans="9:12" x14ac:dyDescent="0.45">
      <c r="I1511" t="s">
        <v>206</v>
      </c>
      <c r="J1511" t="s">
        <v>170</v>
      </c>
      <c r="K1511">
        <v>1.4401676321949981E-2</v>
      </c>
      <c r="L1511" t="s">
        <v>164</v>
      </c>
    </row>
    <row r="1512" spans="9:12" x14ac:dyDescent="0.45">
      <c r="I1512" t="s">
        <v>206</v>
      </c>
      <c r="J1512" t="s">
        <v>171</v>
      </c>
      <c r="K1512">
        <v>1.0434468924914802E-2</v>
      </c>
      <c r="L1512" t="s">
        <v>164</v>
      </c>
    </row>
    <row r="1513" spans="9:12" x14ac:dyDescent="0.45">
      <c r="I1513" t="s">
        <v>206</v>
      </c>
      <c r="J1513" t="s">
        <v>172</v>
      </c>
      <c r="K1513">
        <v>1.1470983772923146E-2</v>
      </c>
      <c r="L1513" t="s">
        <v>164</v>
      </c>
    </row>
    <row r="1514" spans="9:12" x14ac:dyDescent="0.45">
      <c r="I1514" t="s">
        <v>206</v>
      </c>
      <c r="J1514" t="s">
        <v>268</v>
      </c>
      <c r="K1514">
        <v>5.9717822769146806E-2</v>
      </c>
      <c r="L1514" t="s">
        <v>164</v>
      </c>
    </row>
    <row r="1515" spans="9:12" x14ac:dyDescent="0.45">
      <c r="I1515" t="s">
        <v>206</v>
      </c>
      <c r="J1515" t="s">
        <v>269</v>
      </c>
      <c r="K1515">
        <v>4.90973059221085E-3</v>
      </c>
      <c r="L1515" t="s">
        <v>164</v>
      </c>
    </row>
    <row r="1516" spans="9:12" x14ac:dyDescent="0.45">
      <c r="I1516" t="s">
        <v>206</v>
      </c>
      <c r="J1516" t="s">
        <v>270</v>
      </c>
      <c r="K1516">
        <v>1.771052765889006E-3</v>
      </c>
      <c r="L1516" t="s">
        <v>164</v>
      </c>
    </row>
    <row r="1517" spans="9:12" x14ac:dyDescent="0.45">
      <c r="I1517" t="s">
        <v>206</v>
      </c>
      <c r="J1517" t="s">
        <v>173</v>
      </c>
      <c r="K1517">
        <v>2.4096430898582415E-2</v>
      </c>
      <c r="L1517" t="s">
        <v>164</v>
      </c>
    </row>
    <row r="1518" spans="9:12" x14ac:dyDescent="0.45">
      <c r="I1518" t="s">
        <v>206</v>
      </c>
      <c r="J1518" t="s">
        <v>174</v>
      </c>
      <c r="K1518">
        <v>1.4319344316699642E-2</v>
      </c>
      <c r="L1518" t="s">
        <v>164</v>
      </c>
    </row>
    <row r="1519" spans="9:12" x14ac:dyDescent="0.45">
      <c r="I1519" t="s">
        <v>206</v>
      </c>
      <c r="J1519" t="s">
        <v>175</v>
      </c>
      <c r="K1519">
        <v>1.6425975731812002E-2</v>
      </c>
      <c r="L1519" t="s">
        <v>164</v>
      </c>
    </row>
    <row r="1520" spans="9:12" x14ac:dyDescent="0.45">
      <c r="I1520" t="s">
        <v>206</v>
      </c>
      <c r="J1520" t="s">
        <v>271</v>
      </c>
      <c r="K1520">
        <v>8.3002062709494187E-2</v>
      </c>
      <c r="L1520" t="s">
        <v>164</v>
      </c>
    </row>
    <row r="1521" spans="9:12" x14ac:dyDescent="0.45">
      <c r="I1521" t="s">
        <v>206</v>
      </c>
      <c r="J1521" t="s">
        <v>272</v>
      </c>
      <c r="K1521">
        <v>4.6765540917836062E-3</v>
      </c>
      <c r="L1521" t="s">
        <v>164</v>
      </c>
    </row>
    <row r="1522" spans="9:12" x14ac:dyDescent="0.45">
      <c r="I1522" t="s">
        <v>206</v>
      </c>
      <c r="J1522" t="s">
        <v>273</v>
      </c>
      <c r="K1522">
        <v>9.1152757796756319E-5</v>
      </c>
      <c r="L1522" t="s">
        <v>164</v>
      </c>
    </row>
    <row r="1523" spans="9:12" x14ac:dyDescent="0.45">
      <c r="I1523" t="s">
        <v>206</v>
      </c>
      <c r="J1523" t="s">
        <v>274</v>
      </c>
      <c r="K1523">
        <v>1.7716746606878678E-2</v>
      </c>
      <c r="L1523" t="s">
        <v>164</v>
      </c>
    </row>
    <row r="1524" spans="9:12" x14ac:dyDescent="0.45">
      <c r="I1524" t="s">
        <v>206</v>
      </c>
      <c r="J1524" t="s">
        <v>275</v>
      </c>
      <c r="K1524">
        <v>1.1540999595724293E-2</v>
      </c>
      <c r="L1524" t="s">
        <v>164</v>
      </c>
    </row>
    <row r="1525" spans="9:12" x14ac:dyDescent="0.45">
      <c r="I1525" t="s">
        <v>206</v>
      </c>
      <c r="J1525" t="s">
        <v>276</v>
      </c>
      <c r="K1525">
        <v>1.4037427468245118E-2</v>
      </c>
      <c r="L1525" t="s">
        <v>164</v>
      </c>
    </row>
    <row r="1526" spans="9:12" x14ac:dyDescent="0.45">
      <c r="I1526" t="s">
        <v>206</v>
      </c>
      <c r="J1526" t="s">
        <v>277</v>
      </c>
      <c r="K1526">
        <v>7.843589375227264E-2</v>
      </c>
      <c r="L1526" t="s">
        <v>164</v>
      </c>
    </row>
    <row r="1527" spans="9:12" x14ac:dyDescent="0.45">
      <c r="I1527" t="s">
        <v>206</v>
      </c>
      <c r="J1527" t="s">
        <v>278</v>
      </c>
      <c r="K1527">
        <v>5.6345014202890537E-3</v>
      </c>
      <c r="L1527" t="s">
        <v>164</v>
      </c>
    </row>
    <row r="1528" spans="9:12" x14ac:dyDescent="0.45">
      <c r="I1528" t="s">
        <v>206</v>
      </c>
      <c r="J1528" t="s">
        <v>279</v>
      </c>
      <c r="K1528">
        <v>3.6368979298846255E-3</v>
      </c>
      <c r="L1528" t="s">
        <v>164</v>
      </c>
    </row>
    <row r="1529" spans="9:12" x14ac:dyDescent="0.45">
      <c r="I1529" t="s">
        <v>206</v>
      </c>
      <c r="J1529" t="s">
        <v>280</v>
      </c>
      <c r="K1529">
        <v>2.7403411424299529E-2</v>
      </c>
      <c r="L1529" t="s">
        <v>164</v>
      </c>
    </row>
    <row r="1530" spans="9:12" x14ac:dyDescent="0.45">
      <c r="I1530" t="s">
        <v>206</v>
      </c>
      <c r="J1530" t="s">
        <v>281</v>
      </c>
      <c r="K1530">
        <v>1.6623525627063117E-2</v>
      </c>
      <c r="L1530" t="s">
        <v>164</v>
      </c>
    </row>
    <row r="1531" spans="9:12" x14ac:dyDescent="0.45">
      <c r="I1531" t="s">
        <v>206</v>
      </c>
      <c r="J1531" t="s">
        <v>282</v>
      </c>
      <c r="K1531">
        <v>1.8171390232480454E-2</v>
      </c>
      <c r="L1531" t="s">
        <v>164</v>
      </c>
    </row>
    <row r="1532" spans="9:12" x14ac:dyDescent="0.45">
      <c r="I1532" t="s">
        <v>206</v>
      </c>
      <c r="J1532" t="s">
        <v>283</v>
      </c>
      <c r="K1532">
        <v>8.7568560540980958E-2</v>
      </c>
      <c r="L1532" t="s">
        <v>164</v>
      </c>
    </row>
    <row r="1533" spans="9:12" x14ac:dyDescent="0.45">
      <c r="I1533" t="s">
        <v>206</v>
      </c>
      <c r="J1533" t="s">
        <v>284</v>
      </c>
      <c r="K1533">
        <v>5.4498885003162519E-3</v>
      </c>
      <c r="L1533" t="s">
        <v>164</v>
      </c>
    </row>
    <row r="1534" spans="9:12" x14ac:dyDescent="0.45">
      <c r="I1534" t="s">
        <v>206</v>
      </c>
      <c r="J1534" t="s">
        <v>285</v>
      </c>
      <c r="K1534">
        <v>1.1171539224519185E-3</v>
      </c>
      <c r="L1534" t="s">
        <v>164</v>
      </c>
    </row>
    <row r="1535" spans="9:12" x14ac:dyDescent="0.45">
      <c r="I1535" t="s">
        <v>206</v>
      </c>
      <c r="J1535" t="s">
        <v>286</v>
      </c>
      <c r="K1535">
        <v>3.4684188485509249E-2</v>
      </c>
      <c r="L1535" t="s">
        <v>164</v>
      </c>
    </row>
    <row r="1536" spans="9:12" x14ac:dyDescent="0.45">
      <c r="I1536" t="s">
        <v>206</v>
      </c>
      <c r="J1536" t="s">
        <v>287</v>
      </c>
      <c r="K1536">
        <v>1.9784139719217136E-2</v>
      </c>
      <c r="L1536" t="s">
        <v>164</v>
      </c>
    </row>
    <row r="1537" spans="9:12" x14ac:dyDescent="0.45">
      <c r="I1537" t="s">
        <v>206</v>
      </c>
      <c r="J1537" t="s">
        <v>288</v>
      </c>
      <c r="K1537">
        <v>2.0825622995467287E-2</v>
      </c>
      <c r="L1537" t="s">
        <v>164</v>
      </c>
    </row>
    <row r="1538" spans="9:12" x14ac:dyDescent="0.45">
      <c r="I1538" t="s">
        <v>206</v>
      </c>
      <c r="J1538" t="s">
        <v>289</v>
      </c>
      <c r="K1538">
        <v>9.6658945606673083E-2</v>
      </c>
      <c r="L1538" t="s">
        <v>164</v>
      </c>
    </row>
    <row r="1539" spans="9:12" x14ac:dyDescent="0.45">
      <c r="I1539" t="s">
        <v>206</v>
      </c>
      <c r="J1539" t="s">
        <v>290</v>
      </c>
      <c r="K1539">
        <v>5.1281589709142872E-3</v>
      </c>
      <c r="L1539" t="s">
        <v>164</v>
      </c>
    </row>
    <row r="1540" spans="9:12" x14ac:dyDescent="0.45">
      <c r="I1540" t="s">
        <v>206</v>
      </c>
      <c r="J1540" t="s">
        <v>291</v>
      </c>
      <c r="K1540">
        <v>0</v>
      </c>
      <c r="L1540" t="s">
        <v>164</v>
      </c>
    </row>
    <row r="1541" spans="9:12" x14ac:dyDescent="0.45">
      <c r="I1541" t="s">
        <v>206</v>
      </c>
      <c r="J1541" t="s">
        <v>292</v>
      </c>
      <c r="K1541">
        <v>1.3943140489010136E-2</v>
      </c>
      <c r="L1541" t="s">
        <v>164</v>
      </c>
    </row>
    <row r="1542" spans="9:12" x14ac:dyDescent="0.45">
      <c r="I1542" t="s">
        <v>206</v>
      </c>
      <c r="J1542" t="s">
        <v>293</v>
      </c>
      <c r="K1542">
        <v>9.8336833461773257E-3</v>
      </c>
      <c r="L1542" t="s">
        <v>164</v>
      </c>
    </row>
    <row r="1543" spans="9:12" x14ac:dyDescent="0.45">
      <c r="I1543" t="s">
        <v>206</v>
      </c>
      <c r="J1543" t="s">
        <v>294</v>
      </c>
      <c r="K1543">
        <v>9.9803588341072693E-3</v>
      </c>
      <c r="L1543" t="s">
        <v>164</v>
      </c>
    </row>
    <row r="1544" spans="9:12" x14ac:dyDescent="0.45">
      <c r="I1544" t="s">
        <v>206</v>
      </c>
      <c r="J1544" t="s">
        <v>295</v>
      </c>
      <c r="K1544">
        <v>5.4007913835452517E-2</v>
      </c>
      <c r="L1544" t="s">
        <v>164</v>
      </c>
    </row>
    <row r="1545" spans="9:12" x14ac:dyDescent="0.45">
      <c r="I1545" t="s">
        <v>206</v>
      </c>
      <c r="J1545" t="s">
        <v>296</v>
      </c>
      <c r="K1545">
        <v>4.5320969821988494E-3</v>
      </c>
      <c r="L1545" t="s">
        <v>164</v>
      </c>
    </row>
    <row r="1546" spans="9:12" x14ac:dyDescent="0.45">
      <c r="I1546" t="s">
        <v>206</v>
      </c>
      <c r="J1546" t="s">
        <v>297</v>
      </c>
      <c r="K1546">
        <v>0</v>
      </c>
      <c r="L1546" t="s">
        <v>164</v>
      </c>
    </row>
    <row r="1547" spans="9:12" x14ac:dyDescent="0.45">
      <c r="I1547" t="s">
        <v>207</v>
      </c>
      <c r="J1547" t="s">
        <v>163</v>
      </c>
      <c r="K1547">
        <v>1.6605261636832451E-2</v>
      </c>
      <c r="L1547" t="s">
        <v>164</v>
      </c>
    </row>
    <row r="1548" spans="9:12" x14ac:dyDescent="0.45">
      <c r="I1548" t="s">
        <v>207</v>
      </c>
      <c r="J1548" t="s">
        <v>165</v>
      </c>
      <c r="K1548">
        <v>1.1732587213842315E-2</v>
      </c>
      <c r="L1548" t="s">
        <v>164</v>
      </c>
    </row>
    <row r="1549" spans="9:12" x14ac:dyDescent="0.45">
      <c r="I1549" t="s">
        <v>207</v>
      </c>
      <c r="J1549" t="s">
        <v>166</v>
      </c>
      <c r="K1549">
        <v>1.2342134997694244E-2</v>
      </c>
      <c r="L1549" t="s">
        <v>164</v>
      </c>
    </row>
    <row r="1550" spans="9:12" x14ac:dyDescent="0.45">
      <c r="I1550" t="s">
        <v>207</v>
      </c>
      <c r="J1550" t="s">
        <v>262</v>
      </c>
      <c r="K1550">
        <v>6.7227131079943186E-2</v>
      </c>
      <c r="L1550" t="s">
        <v>164</v>
      </c>
    </row>
    <row r="1551" spans="9:12" x14ac:dyDescent="0.45">
      <c r="I1551" t="s">
        <v>207</v>
      </c>
      <c r="J1551" t="s">
        <v>263</v>
      </c>
      <c r="K1551">
        <v>6.389332694963998E-3</v>
      </c>
      <c r="L1551" t="s">
        <v>164</v>
      </c>
    </row>
    <row r="1552" spans="9:12" x14ac:dyDescent="0.45">
      <c r="I1552" t="s">
        <v>207</v>
      </c>
      <c r="J1552" t="s">
        <v>264</v>
      </c>
      <c r="K1552">
        <v>1.482882074429704E-3</v>
      </c>
      <c r="L1552" t="s">
        <v>164</v>
      </c>
    </row>
    <row r="1553" spans="9:12" x14ac:dyDescent="0.45">
      <c r="I1553" t="s">
        <v>207</v>
      </c>
      <c r="J1553" t="s">
        <v>167</v>
      </c>
      <c r="K1553">
        <v>1.1387686737894377E-2</v>
      </c>
      <c r="L1553" t="s">
        <v>164</v>
      </c>
    </row>
    <row r="1554" spans="9:12" x14ac:dyDescent="0.45">
      <c r="I1554" t="s">
        <v>207</v>
      </c>
      <c r="J1554" t="s">
        <v>168</v>
      </c>
      <c r="K1554">
        <v>8.7794377229339221E-3</v>
      </c>
      <c r="L1554" t="s">
        <v>164</v>
      </c>
    </row>
    <row r="1555" spans="9:12" x14ac:dyDescent="0.45">
      <c r="I1555" t="s">
        <v>207</v>
      </c>
      <c r="J1555" t="s">
        <v>169</v>
      </c>
      <c r="K1555">
        <v>9.7739649624889666E-3</v>
      </c>
      <c r="L1555" t="s">
        <v>164</v>
      </c>
    </row>
    <row r="1556" spans="9:12" x14ac:dyDescent="0.45">
      <c r="I1556" t="s">
        <v>207</v>
      </c>
      <c r="J1556" t="s">
        <v>265</v>
      </c>
      <c r="K1556">
        <v>5.2127767168308074E-2</v>
      </c>
      <c r="L1556" t="s">
        <v>164</v>
      </c>
    </row>
    <row r="1557" spans="9:12" x14ac:dyDescent="0.45">
      <c r="I1557" t="s">
        <v>207</v>
      </c>
      <c r="J1557" t="s">
        <v>266</v>
      </c>
      <c r="K1557">
        <v>4.3732183156289057E-3</v>
      </c>
      <c r="L1557" t="s">
        <v>164</v>
      </c>
    </row>
    <row r="1558" spans="9:12" x14ac:dyDescent="0.45">
      <c r="I1558" t="s">
        <v>207</v>
      </c>
      <c r="J1558" t="s">
        <v>267</v>
      </c>
      <c r="K1558">
        <v>2.9104803991933941E-3</v>
      </c>
      <c r="L1558" t="s">
        <v>164</v>
      </c>
    </row>
    <row r="1559" spans="9:12" x14ac:dyDescent="0.45">
      <c r="I1559" t="s">
        <v>207</v>
      </c>
      <c r="J1559" t="s">
        <v>170</v>
      </c>
      <c r="K1559">
        <v>1.1470246056971141E-2</v>
      </c>
      <c r="L1559" t="s">
        <v>164</v>
      </c>
    </row>
    <row r="1560" spans="9:12" x14ac:dyDescent="0.45">
      <c r="I1560" t="s">
        <v>207</v>
      </c>
      <c r="J1560" t="s">
        <v>171</v>
      </c>
      <c r="K1560">
        <v>8.8194707281264387E-3</v>
      </c>
      <c r="L1560" t="s">
        <v>164</v>
      </c>
    </row>
    <row r="1561" spans="9:12" x14ac:dyDescent="0.45">
      <c r="I1561" t="s">
        <v>207</v>
      </c>
      <c r="J1561" t="s">
        <v>172</v>
      </c>
      <c r="K1561">
        <v>9.9879004499127382E-3</v>
      </c>
      <c r="L1561" t="s">
        <v>164</v>
      </c>
    </row>
    <row r="1562" spans="9:12" x14ac:dyDescent="0.45">
      <c r="I1562" t="s">
        <v>207</v>
      </c>
      <c r="J1562" t="s">
        <v>268</v>
      </c>
      <c r="K1562">
        <v>5.7130346175472864E-2</v>
      </c>
      <c r="L1562" t="s">
        <v>164</v>
      </c>
    </row>
    <row r="1563" spans="9:12" x14ac:dyDescent="0.45">
      <c r="I1563" t="s">
        <v>207</v>
      </c>
      <c r="J1563" t="s">
        <v>269</v>
      </c>
      <c r="K1563">
        <v>4.1871099235125742E-3</v>
      </c>
      <c r="L1563" t="s">
        <v>164</v>
      </c>
    </row>
    <row r="1564" spans="9:12" x14ac:dyDescent="0.45">
      <c r="I1564" t="s">
        <v>207</v>
      </c>
      <c r="J1564" t="s">
        <v>270</v>
      </c>
      <c r="K1564">
        <v>2.8423945569998311E-3</v>
      </c>
      <c r="L1564" t="s">
        <v>164</v>
      </c>
    </row>
    <row r="1565" spans="9:12" x14ac:dyDescent="0.45">
      <c r="I1565" t="s">
        <v>207</v>
      </c>
      <c r="J1565" t="s">
        <v>173</v>
      </c>
      <c r="K1565">
        <v>1.9343636947534146E-2</v>
      </c>
      <c r="L1565" t="s">
        <v>164</v>
      </c>
    </row>
    <row r="1566" spans="9:12" x14ac:dyDescent="0.45">
      <c r="I1566" t="s">
        <v>207</v>
      </c>
      <c r="J1566" t="s">
        <v>174</v>
      </c>
      <c r="K1566">
        <v>1.2836661113702312E-2</v>
      </c>
      <c r="L1566" t="s">
        <v>164</v>
      </c>
    </row>
    <row r="1567" spans="9:12" x14ac:dyDescent="0.45">
      <c r="I1567" t="s">
        <v>207</v>
      </c>
      <c r="J1567" t="s">
        <v>175</v>
      </c>
      <c r="K1567">
        <v>1.493424904195411E-2</v>
      </c>
      <c r="L1567" t="s">
        <v>164</v>
      </c>
    </row>
    <row r="1568" spans="9:12" x14ac:dyDescent="0.45">
      <c r="I1568" t="s">
        <v>207</v>
      </c>
      <c r="J1568" t="s">
        <v>271</v>
      </c>
      <c r="K1568">
        <v>8.5181953813262198E-2</v>
      </c>
      <c r="L1568" t="s">
        <v>164</v>
      </c>
    </row>
    <row r="1569" spans="9:12" x14ac:dyDescent="0.45">
      <c r="I1569" t="s">
        <v>207</v>
      </c>
      <c r="J1569" t="s">
        <v>272</v>
      </c>
      <c r="K1569">
        <v>5.2546678492896501E-3</v>
      </c>
      <c r="L1569" t="s">
        <v>164</v>
      </c>
    </row>
    <row r="1570" spans="9:12" x14ac:dyDescent="0.45">
      <c r="I1570" t="s">
        <v>207</v>
      </c>
      <c r="J1570" t="s">
        <v>273</v>
      </c>
      <c r="K1570">
        <v>2.2044151776727553E-3</v>
      </c>
      <c r="L1570" t="s">
        <v>164</v>
      </c>
    </row>
    <row r="1571" spans="9:12" x14ac:dyDescent="0.45">
      <c r="I1571" t="s">
        <v>207</v>
      </c>
      <c r="J1571" t="s">
        <v>274</v>
      </c>
      <c r="K1571">
        <v>1.6034061037623934E-2</v>
      </c>
      <c r="L1571" t="s">
        <v>164</v>
      </c>
    </row>
    <row r="1572" spans="9:12" x14ac:dyDescent="0.45">
      <c r="I1572" t="s">
        <v>207</v>
      </c>
      <c r="J1572" t="s">
        <v>275</v>
      </c>
      <c r="K1572">
        <v>1.0993482402953477E-2</v>
      </c>
      <c r="L1572" t="s">
        <v>164</v>
      </c>
    </row>
    <row r="1573" spans="9:12" x14ac:dyDescent="0.45">
      <c r="I1573" t="s">
        <v>207</v>
      </c>
      <c r="J1573" t="s">
        <v>276</v>
      </c>
      <c r="K1573">
        <v>1.3558353674988456E-2</v>
      </c>
      <c r="L1573" t="s">
        <v>164</v>
      </c>
    </row>
    <row r="1574" spans="9:12" x14ac:dyDescent="0.45">
      <c r="I1574" t="s">
        <v>207</v>
      </c>
      <c r="J1574" t="s">
        <v>277</v>
      </c>
      <c r="K1574">
        <v>8.0034637814967793E-2</v>
      </c>
      <c r="L1574" t="s">
        <v>164</v>
      </c>
    </row>
    <row r="1575" spans="9:12" x14ac:dyDescent="0.45">
      <c r="I1575" t="s">
        <v>207</v>
      </c>
      <c r="J1575" t="s">
        <v>278</v>
      </c>
      <c r="K1575">
        <v>5.0404168121642237E-3</v>
      </c>
      <c r="L1575" t="s">
        <v>164</v>
      </c>
    </row>
    <row r="1576" spans="9:12" x14ac:dyDescent="0.45">
      <c r="I1576" t="s">
        <v>207</v>
      </c>
      <c r="J1576" t="s">
        <v>279</v>
      </c>
      <c r="K1576">
        <v>3.0705690438702859E-3</v>
      </c>
      <c r="L1576" t="s">
        <v>164</v>
      </c>
    </row>
    <row r="1577" spans="9:12" x14ac:dyDescent="0.45">
      <c r="I1577" t="s">
        <v>207</v>
      </c>
      <c r="J1577" t="s">
        <v>280</v>
      </c>
      <c r="K1577">
        <v>2.3040663789964038E-2</v>
      </c>
      <c r="L1577" t="s">
        <v>164</v>
      </c>
    </row>
    <row r="1578" spans="9:12" x14ac:dyDescent="0.45">
      <c r="I1578" t="s">
        <v>207</v>
      </c>
      <c r="J1578" t="s">
        <v>281</v>
      </c>
      <c r="K1578">
        <v>1.4671725978578474E-2</v>
      </c>
      <c r="L1578" t="s">
        <v>164</v>
      </c>
    </row>
    <row r="1579" spans="9:12" x14ac:dyDescent="0.45">
      <c r="I1579" t="s">
        <v>207</v>
      </c>
      <c r="J1579" t="s">
        <v>282</v>
      </c>
      <c r="K1579">
        <v>1.6679494908182272E-2</v>
      </c>
      <c r="L1579" t="s">
        <v>164</v>
      </c>
    </row>
    <row r="1580" spans="9:12" x14ac:dyDescent="0.45">
      <c r="I1580" t="s">
        <v>207</v>
      </c>
      <c r="J1580" t="s">
        <v>283</v>
      </c>
      <c r="K1580">
        <v>9.0647318994793932E-2</v>
      </c>
      <c r="L1580" t="s">
        <v>164</v>
      </c>
    </row>
    <row r="1581" spans="9:12" x14ac:dyDescent="0.45">
      <c r="I1581" t="s">
        <v>207</v>
      </c>
      <c r="J1581" t="s">
        <v>284</v>
      </c>
      <c r="K1581">
        <v>5.4557774813336086E-3</v>
      </c>
      <c r="L1581" t="s">
        <v>164</v>
      </c>
    </row>
    <row r="1582" spans="9:12" x14ac:dyDescent="0.45">
      <c r="I1582" t="s">
        <v>207</v>
      </c>
      <c r="J1582" t="s">
        <v>285</v>
      </c>
      <c r="K1582">
        <v>1.6130601513816756E-3</v>
      </c>
      <c r="L1582" t="s">
        <v>164</v>
      </c>
    </row>
    <row r="1583" spans="9:12" x14ac:dyDescent="0.45">
      <c r="I1583" t="s">
        <v>207</v>
      </c>
      <c r="J1583" t="s">
        <v>286</v>
      </c>
      <c r="K1583">
        <v>3.3373276341258751E-2</v>
      </c>
      <c r="L1583" t="s">
        <v>164</v>
      </c>
    </row>
    <row r="1584" spans="9:12" x14ac:dyDescent="0.45">
      <c r="I1584" t="s">
        <v>207</v>
      </c>
      <c r="J1584" t="s">
        <v>287</v>
      </c>
      <c r="K1584">
        <v>1.9245986359057287E-2</v>
      </c>
      <c r="L1584" t="s">
        <v>164</v>
      </c>
    </row>
    <row r="1585" spans="9:12" x14ac:dyDescent="0.45">
      <c r="I1585" t="s">
        <v>207</v>
      </c>
      <c r="J1585" t="s">
        <v>288</v>
      </c>
      <c r="K1585">
        <v>2.0892480651720023E-2</v>
      </c>
      <c r="L1585" t="s">
        <v>164</v>
      </c>
    </row>
    <row r="1586" spans="9:12" x14ac:dyDescent="0.45">
      <c r="I1586" t="s">
        <v>207</v>
      </c>
      <c r="J1586" t="s">
        <v>289</v>
      </c>
      <c r="K1586">
        <v>0.10321538785788524</v>
      </c>
      <c r="L1586" t="s">
        <v>164</v>
      </c>
    </row>
    <row r="1587" spans="9:12" x14ac:dyDescent="0.45">
      <c r="I1587" t="s">
        <v>207</v>
      </c>
      <c r="J1587" t="s">
        <v>290</v>
      </c>
      <c r="K1587">
        <v>5.2495127734091072E-3</v>
      </c>
      <c r="L1587" t="s">
        <v>164</v>
      </c>
    </row>
    <row r="1588" spans="9:12" x14ac:dyDescent="0.45">
      <c r="I1588" t="s">
        <v>207</v>
      </c>
      <c r="J1588" t="s">
        <v>291</v>
      </c>
      <c r="K1588">
        <v>0</v>
      </c>
      <c r="L1588" t="s">
        <v>164</v>
      </c>
    </row>
    <row r="1589" spans="9:12" x14ac:dyDescent="0.45">
      <c r="I1589" t="s">
        <v>207</v>
      </c>
      <c r="J1589" t="s">
        <v>292</v>
      </c>
      <c r="K1589">
        <v>1.5119352424000034E-2</v>
      </c>
      <c r="L1589" t="s">
        <v>164</v>
      </c>
    </row>
    <row r="1590" spans="9:12" x14ac:dyDescent="0.45">
      <c r="I1590" t="s">
        <v>207</v>
      </c>
      <c r="J1590" t="s">
        <v>293</v>
      </c>
      <c r="K1590">
        <v>1.0477409755976688E-2</v>
      </c>
      <c r="L1590" t="s">
        <v>164</v>
      </c>
    </row>
    <row r="1591" spans="9:12" x14ac:dyDescent="0.45">
      <c r="I1591" t="s">
        <v>207</v>
      </c>
      <c r="J1591" t="s">
        <v>294</v>
      </c>
      <c r="K1591">
        <v>1.1048805253682263E-2</v>
      </c>
      <c r="L1591" t="s">
        <v>164</v>
      </c>
    </row>
    <row r="1592" spans="9:12" x14ac:dyDescent="0.45">
      <c r="I1592" t="s">
        <v>207</v>
      </c>
      <c r="J1592" t="s">
        <v>295</v>
      </c>
      <c r="K1592">
        <v>5.693845577618302E-2</v>
      </c>
      <c r="L1592" t="s">
        <v>164</v>
      </c>
    </row>
    <row r="1593" spans="9:12" x14ac:dyDescent="0.45">
      <c r="I1593" t="s">
        <v>207</v>
      </c>
      <c r="J1593" t="s">
        <v>296</v>
      </c>
      <c r="K1593">
        <v>4.2748338774636473E-3</v>
      </c>
      <c r="L1593" t="s">
        <v>164</v>
      </c>
    </row>
    <row r="1594" spans="9:12" x14ac:dyDescent="0.45">
      <c r="I1594" t="s">
        <v>207</v>
      </c>
      <c r="J1594" t="s">
        <v>297</v>
      </c>
      <c r="K1594">
        <v>0</v>
      </c>
      <c r="L1594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FBD8-C820-421C-8EC3-4ABB036A8199}">
  <dimension ref="A9:AN43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161</v>
      </c>
      <c r="L10" t="s">
        <v>30</v>
      </c>
      <c r="N10" t="s">
        <v>13</v>
      </c>
      <c r="O10" t="s">
        <v>121</v>
      </c>
      <c r="P10" t="s">
        <v>161</v>
      </c>
      <c r="Q10" t="s">
        <v>30</v>
      </c>
      <c r="S10" t="s">
        <v>13</v>
      </c>
      <c r="T10" t="s">
        <v>121</v>
      </c>
      <c r="U10" t="s">
        <v>161</v>
      </c>
      <c r="V10" t="s">
        <v>30</v>
      </c>
      <c r="X10" t="s">
        <v>244</v>
      </c>
      <c r="Y10" t="s">
        <v>161</v>
      </c>
      <c r="Z10" t="s">
        <v>121</v>
      </c>
      <c r="AA10" t="s">
        <v>13</v>
      </c>
      <c r="AC10" t="s">
        <v>13</v>
      </c>
      <c r="AD10" t="s">
        <v>121</v>
      </c>
      <c r="AE10" t="s">
        <v>161</v>
      </c>
      <c r="AG10" t="s">
        <v>13</v>
      </c>
      <c r="AH10" t="s">
        <v>121</v>
      </c>
      <c r="AI10" t="s">
        <v>250</v>
      </c>
      <c r="AK10" t="s">
        <v>47</v>
      </c>
      <c r="AL10" t="s">
        <v>121</v>
      </c>
      <c r="AM10" t="s">
        <v>251</v>
      </c>
      <c r="AN10" t="s">
        <v>252</v>
      </c>
    </row>
    <row r="11" spans="1:40" x14ac:dyDescent="0.45">
      <c r="A11" t="str">
        <f>IFERROR(IF(Veda!D5=A10,"ok","x"),"")</f>
        <v>ok</v>
      </c>
      <c r="C11" t="s">
        <v>300</v>
      </c>
      <c r="D11" t="s">
        <v>153</v>
      </c>
      <c r="E11" t="s">
        <v>301</v>
      </c>
      <c r="F11" t="s">
        <v>300</v>
      </c>
      <c r="G11" t="s">
        <v>153</v>
      </c>
      <c r="I11" t="s">
        <v>162</v>
      </c>
      <c r="J11" t="s">
        <v>302</v>
      </c>
      <c r="K11">
        <v>0.99999999999999956</v>
      </c>
      <c r="L11" t="s">
        <v>164</v>
      </c>
      <c r="N11" t="s">
        <v>208</v>
      </c>
      <c r="O11" t="s">
        <v>302</v>
      </c>
      <c r="P11">
        <v>0.99999999999999878</v>
      </c>
      <c r="Q11" t="s">
        <v>164</v>
      </c>
      <c r="S11" t="s">
        <v>228</v>
      </c>
      <c r="T11" t="s">
        <v>302</v>
      </c>
      <c r="U11">
        <v>0.99999999999999767</v>
      </c>
      <c r="V11" t="s">
        <v>164</v>
      </c>
      <c r="X11">
        <v>1</v>
      </c>
      <c r="Y11">
        <v>1.0000000000000002</v>
      </c>
      <c r="Z11" t="s">
        <v>302</v>
      </c>
      <c r="AA11" t="s">
        <v>25</v>
      </c>
      <c r="AC11" t="s">
        <v>22</v>
      </c>
      <c r="AD11" t="s">
        <v>302</v>
      </c>
      <c r="AE11">
        <v>1</v>
      </c>
      <c r="AG11" t="s">
        <v>96</v>
      </c>
      <c r="AH11" t="s">
        <v>302</v>
      </c>
      <c r="AI11">
        <v>0.29170912673175353</v>
      </c>
      <c r="AK11">
        <v>2025</v>
      </c>
      <c r="AL11" t="s">
        <v>300</v>
      </c>
      <c r="AM11">
        <v>0.32864999999999994</v>
      </c>
      <c r="AN11" t="s">
        <v>253</v>
      </c>
    </row>
    <row r="12" spans="1:40" x14ac:dyDescent="0.45">
      <c r="I12" t="s">
        <v>176</v>
      </c>
      <c r="J12" t="s">
        <v>302</v>
      </c>
      <c r="K12">
        <v>0.99999999999999667</v>
      </c>
      <c r="L12" t="s">
        <v>164</v>
      </c>
      <c r="N12" t="s">
        <v>209</v>
      </c>
      <c r="O12" t="s">
        <v>302</v>
      </c>
      <c r="P12">
        <v>0.99999999999999889</v>
      </c>
      <c r="Q12" t="s">
        <v>164</v>
      </c>
      <c r="S12" t="s">
        <v>229</v>
      </c>
      <c r="T12" t="s">
        <v>302</v>
      </c>
      <c r="U12">
        <v>0.999999999999998</v>
      </c>
      <c r="V12" t="s">
        <v>164</v>
      </c>
      <c r="AC12" t="s">
        <v>19</v>
      </c>
      <c r="AD12" t="s">
        <v>302</v>
      </c>
      <c r="AE12">
        <v>1</v>
      </c>
      <c r="AK12">
        <v>2026</v>
      </c>
      <c r="AL12" t="s">
        <v>300</v>
      </c>
      <c r="AM12">
        <v>0.34152500000000002</v>
      </c>
      <c r="AN12" t="s">
        <v>253</v>
      </c>
    </row>
    <row r="13" spans="1:40" x14ac:dyDescent="0.45">
      <c r="I13" t="s">
        <v>177</v>
      </c>
      <c r="J13" t="s">
        <v>302</v>
      </c>
      <c r="K13">
        <v>1.0000000000000009</v>
      </c>
      <c r="L13" t="s">
        <v>164</v>
      </c>
      <c r="N13" t="s">
        <v>210</v>
      </c>
      <c r="O13" t="s">
        <v>302</v>
      </c>
      <c r="P13">
        <v>1.0000000000000031</v>
      </c>
      <c r="Q13" t="s">
        <v>164</v>
      </c>
      <c r="S13" t="s">
        <v>230</v>
      </c>
      <c r="T13" t="s">
        <v>302</v>
      </c>
      <c r="U13">
        <v>1.0000000000000007</v>
      </c>
      <c r="V13" t="s">
        <v>164</v>
      </c>
      <c r="AK13">
        <v>2027</v>
      </c>
      <c r="AL13" t="s">
        <v>300</v>
      </c>
      <c r="AM13">
        <v>0.32475000000000004</v>
      </c>
      <c r="AN13" t="s">
        <v>253</v>
      </c>
    </row>
    <row r="14" spans="1:40" x14ac:dyDescent="0.45">
      <c r="I14" t="s">
        <v>178</v>
      </c>
      <c r="J14" t="s">
        <v>302</v>
      </c>
      <c r="K14">
        <v>0.999999999999999</v>
      </c>
      <c r="L14" t="s">
        <v>164</v>
      </c>
      <c r="N14" t="s">
        <v>211</v>
      </c>
      <c r="O14" t="s">
        <v>302</v>
      </c>
      <c r="P14">
        <v>1.0000000000000044</v>
      </c>
      <c r="Q14" t="s">
        <v>164</v>
      </c>
      <c r="S14" t="s">
        <v>231</v>
      </c>
      <c r="T14" t="s">
        <v>302</v>
      </c>
      <c r="U14">
        <v>0.99999999999999867</v>
      </c>
      <c r="V14" t="s">
        <v>164</v>
      </c>
      <c r="AK14">
        <v>2028</v>
      </c>
      <c r="AL14" t="s">
        <v>300</v>
      </c>
      <c r="AM14">
        <v>0.38590000000000008</v>
      </c>
      <c r="AN14" t="s">
        <v>253</v>
      </c>
    </row>
    <row r="15" spans="1:40" x14ac:dyDescent="0.45">
      <c r="I15" t="s">
        <v>179</v>
      </c>
      <c r="J15" t="s">
        <v>302</v>
      </c>
      <c r="K15">
        <v>1.0000000000000004</v>
      </c>
      <c r="L15" t="s">
        <v>164</v>
      </c>
      <c r="N15" t="s">
        <v>212</v>
      </c>
      <c r="O15" t="s">
        <v>302</v>
      </c>
      <c r="P15">
        <v>1.0000000000000049</v>
      </c>
      <c r="Q15" t="s">
        <v>164</v>
      </c>
      <c r="S15" t="s">
        <v>232</v>
      </c>
      <c r="T15" t="s">
        <v>302</v>
      </c>
      <c r="U15">
        <v>1.0000000000000007</v>
      </c>
      <c r="V15" t="s">
        <v>164</v>
      </c>
      <c r="AK15">
        <v>2029</v>
      </c>
      <c r="AL15" t="s">
        <v>300</v>
      </c>
      <c r="AM15">
        <v>0.38945000000000002</v>
      </c>
      <c r="AN15" t="s">
        <v>253</v>
      </c>
    </row>
    <row r="16" spans="1:40" x14ac:dyDescent="0.45">
      <c r="I16" t="s">
        <v>180</v>
      </c>
      <c r="J16" t="s">
        <v>302</v>
      </c>
      <c r="K16">
        <v>1.0000000000000042</v>
      </c>
      <c r="L16" t="s">
        <v>164</v>
      </c>
      <c r="N16" t="s">
        <v>213</v>
      </c>
      <c r="O16" t="s">
        <v>302</v>
      </c>
      <c r="P16">
        <v>0.99999999999999722</v>
      </c>
      <c r="Q16" t="s">
        <v>164</v>
      </c>
      <c r="S16" t="s">
        <v>233</v>
      </c>
      <c r="T16" t="s">
        <v>302</v>
      </c>
      <c r="U16">
        <v>1.0000000000000009</v>
      </c>
      <c r="V16" t="s">
        <v>164</v>
      </c>
      <c r="AK16">
        <v>2030</v>
      </c>
      <c r="AL16" t="s">
        <v>300</v>
      </c>
      <c r="AM16">
        <v>0.38430833333333342</v>
      </c>
      <c r="AN16" t="s">
        <v>253</v>
      </c>
    </row>
    <row r="17" spans="9:40" x14ac:dyDescent="0.45">
      <c r="I17" t="s">
        <v>181</v>
      </c>
      <c r="J17" t="s">
        <v>302</v>
      </c>
      <c r="K17">
        <v>0.99999999999999856</v>
      </c>
      <c r="L17" t="s">
        <v>164</v>
      </c>
      <c r="N17" t="s">
        <v>214</v>
      </c>
      <c r="O17" t="s">
        <v>302</v>
      </c>
      <c r="P17">
        <v>1</v>
      </c>
      <c r="Q17" t="s">
        <v>164</v>
      </c>
      <c r="S17" t="s">
        <v>234</v>
      </c>
      <c r="T17" t="s">
        <v>302</v>
      </c>
      <c r="U17">
        <v>0.999999999999995</v>
      </c>
      <c r="V17" t="s">
        <v>164</v>
      </c>
      <c r="AK17">
        <v>2031</v>
      </c>
      <c r="AL17" t="s">
        <v>300</v>
      </c>
      <c r="AM17">
        <v>0.38607499999999995</v>
      </c>
      <c r="AN17" t="s">
        <v>253</v>
      </c>
    </row>
    <row r="18" spans="9:40" x14ac:dyDescent="0.45">
      <c r="I18" t="s">
        <v>182</v>
      </c>
      <c r="J18" t="s">
        <v>302</v>
      </c>
      <c r="K18">
        <v>0.99999999999999722</v>
      </c>
      <c r="L18" t="s">
        <v>164</v>
      </c>
      <c r="N18" t="s">
        <v>215</v>
      </c>
      <c r="O18" t="s">
        <v>302</v>
      </c>
      <c r="P18">
        <v>1.0000000000000009</v>
      </c>
      <c r="Q18" t="s">
        <v>164</v>
      </c>
      <c r="S18" t="s">
        <v>235</v>
      </c>
      <c r="T18" t="s">
        <v>302</v>
      </c>
      <c r="U18">
        <v>0.99999999999999678</v>
      </c>
      <c r="V18" t="s">
        <v>164</v>
      </c>
      <c r="AK18">
        <v>2032</v>
      </c>
      <c r="AL18" t="s">
        <v>300</v>
      </c>
      <c r="AM18">
        <v>0.38187500000000002</v>
      </c>
      <c r="AN18" t="s">
        <v>253</v>
      </c>
    </row>
    <row r="19" spans="9:40" x14ac:dyDescent="0.45">
      <c r="I19" t="s">
        <v>183</v>
      </c>
      <c r="J19" t="s">
        <v>302</v>
      </c>
      <c r="K19">
        <v>1.0000000000000002</v>
      </c>
      <c r="L19" t="s">
        <v>164</v>
      </c>
      <c r="N19" t="s">
        <v>216</v>
      </c>
      <c r="O19" t="s">
        <v>302</v>
      </c>
      <c r="P19">
        <v>0.99999999999999978</v>
      </c>
      <c r="Q19" t="s">
        <v>164</v>
      </c>
      <c r="S19" t="s">
        <v>236</v>
      </c>
      <c r="T19" t="s">
        <v>302</v>
      </c>
      <c r="U19">
        <v>0.99999999999999767</v>
      </c>
      <c r="V19" t="s">
        <v>164</v>
      </c>
      <c r="AK19">
        <v>2033</v>
      </c>
      <c r="AL19" t="s">
        <v>300</v>
      </c>
      <c r="AM19">
        <v>0.38992500000000002</v>
      </c>
      <c r="AN19" t="s">
        <v>253</v>
      </c>
    </row>
    <row r="20" spans="9:40" x14ac:dyDescent="0.45">
      <c r="I20" t="s">
        <v>184</v>
      </c>
      <c r="J20" t="s">
        <v>302</v>
      </c>
      <c r="K20">
        <v>0.99999999999999956</v>
      </c>
      <c r="L20" t="s">
        <v>164</v>
      </c>
      <c r="N20" t="s">
        <v>217</v>
      </c>
      <c r="O20" t="s">
        <v>302</v>
      </c>
      <c r="P20">
        <v>1.0000000000000042</v>
      </c>
      <c r="Q20" t="s">
        <v>164</v>
      </c>
      <c r="S20" t="s">
        <v>237</v>
      </c>
      <c r="T20" t="s">
        <v>302</v>
      </c>
      <c r="U20">
        <v>0.99999999999999734</v>
      </c>
      <c r="V20" t="s">
        <v>164</v>
      </c>
      <c r="AK20">
        <v>2034</v>
      </c>
      <c r="AL20" t="s">
        <v>300</v>
      </c>
      <c r="AM20">
        <v>0.39234166666666664</v>
      </c>
      <c r="AN20" t="s">
        <v>253</v>
      </c>
    </row>
    <row r="21" spans="9:40" x14ac:dyDescent="0.45">
      <c r="I21" t="s">
        <v>185</v>
      </c>
      <c r="J21" t="s">
        <v>302</v>
      </c>
      <c r="K21">
        <v>1.0000000000000024</v>
      </c>
      <c r="L21" t="s">
        <v>164</v>
      </c>
      <c r="N21" t="s">
        <v>218</v>
      </c>
      <c r="O21" t="s">
        <v>302</v>
      </c>
      <c r="P21">
        <v>0.99999999999999889</v>
      </c>
      <c r="Q21" t="s">
        <v>164</v>
      </c>
      <c r="S21" t="s">
        <v>238</v>
      </c>
      <c r="T21" t="s">
        <v>302</v>
      </c>
      <c r="U21">
        <v>1.0000000000000018</v>
      </c>
      <c r="V21" t="s">
        <v>164</v>
      </c>
      <c r="AK21">
        <v>2035</v>
      </c>
      <c r="AL21" t="s">
        <v>300</v>
      </c>
      <c r="AM21">
        <v>0.38169999999999998</v>
      </c>
      <c r="AN21" t="s">
        <v>253</v>
      </c>
    </row>
    <row r="22" spans="9:40" x14ac:dyDescent="0.45">
      <c r="I22" t="s">
        <v>186</v>
      </c>
      <c r="J22" t="s">
        <v>302</v>
      </c>
      <c r="K22">
        <v>1.000000000000002</v>
      </c>
      <c r="L22" t="s">
        <v>164</v>
      </c>
      <c r="N22" t="s">
        <v>219</v>
      </c>
      <c r="O22" t="s">
        <v>302</v>
      </c>
      <c r="P22">
        <v>1.0000000000000002</v>
      </c>
      <c r="Q22" t="s">
        <v>164</v>
      </c>
      <c r="S22" t="s">
        <v>239</v>
      </c>
      <c r="T22" t="s">
        <v>302</v>
      </c>
      <c r="U22">
        <v>0.999999999999999</v>
      </c>
      <c r="V22" t="s">
        <v>164</v>
      </c>
      <c r="AK22">
        <v>2036</v>
      </c>
      <c r="AL22" t="s">
        <v>300</v>
      </c>
      <c r="AM22">
        <v>0.38542499999999996</v>
      </c>
      <c r="AN22" t="s">
        <v>253</v>
      </c>
    </row>
    <row r="23" spans="9:40" x14ac:dyDescent="0.45">
      <c r="I23" t="s">
        <v>187</v>
      </c>
      <c r="J23" t="s">
        <v>302</v>
      </c>
      <c r="K23">
        <v>1.0000000000000007</v>
      </c>
      <c r="L23" t="s">
        <v>164</v>
      </c>
      <c r="N23" t="s">
        <v>220</v>
      </c>
      <c r="O23" t="s">
        <v>302</v>
      </c>
      <c r="P23">
        <v>0.99999999999999978</v>
      </c>
      <c r="Q23" t="s">
        <v>164</v>
      </c>
      <c r="S23" t="s">
        <v>240</v>
      </c>
      <c r="T23" t="s">
        <v>302</v>
      </c>
      <c r="U23">
        <v>0.99999999999999867</v>
      </c>
      <c r="V23" t="s">
        <v>164</v>
      </c>
      <c r="AK23">
        <v>2037</v>
      </c>
      <c r="AL23" t="s">
        <v>300</v>
      </c>
      <c r="AM23">
        <v>0.37545833333333328</v>
      </c>
      <c r="AN23" t="s">
        <v>253</v>
      </c>
    </row>
    <row r="24" spans="9:40" x14ac:dyDescent="0.45">
      <c r="I24" t="s">
        <v>188</v>
      </c>
      <c r="J24" t="s">
        <v>302</v>
      </c>
      <c r="K24">
        <v>0.99999999999999856</v>
      </c>
      <c r="L24" t="s">
        <v>164</v>
      </c>
      <c r="N24" t="s">
        <v>221</v>
      </c>
      <c r="O24" t="s">
        <v>302</v>
      </c>
      <c r="P24">
        <v>1.0000000000000004</v>
      </c>
      <c r="Q24" t="s">
        <v>164</v>
      </c>
      <c r="S24" t="s">
        <v>241</v>
      </c>
      <c r="T24" t="s">
        <v>302</v>
      </c>
      <c r="U24">
        <v>0.99999999999999656</v>
      </c>
      <c r="V24" t="s">
        <v>164</v>
      </c>
      <c r="AK24">
        <v>2038</v>
      </c>
      <c r="AL24" t="s">
        <v>300</v>
      </c>
      <c r="AM24">
        <v>0.38364999999999999</v>
      </c>
      <c r="AN24" t="s">
        <v>253</v>
      </c>
    </row>
    <row r="25" spans="9:40" x14ac:dyDescent="0.45">
      <c r="I25" t="s">
        <v>189</v>
      </c>
      <c r="J25" t="s">
        <v>302</v>
      </c>
      <c r="K25">
        <v>1.0000000000000007</v>
      </c>
      <c r="L25" t="s">
        <v>164</v>
      </c>
      <c r="N25" t="s">
        <v>222</v>
      </c>
      <c r="O25" t="s">
        <v>302</v>
      </c>
      <c r="P25">
        <v>1.0000000000000013</v>
      </c>
      <c r="Q25" t="s">
        <v>164</v>
      </c>
      <c r="S25" t="s">
        <v>242</v>
      </c>
      <c r="T25" t="s">
        <v>302</v>
      </c>
      <c r="U25">
        <v>1.0000000000000024</v>
      </c>
      <c r="V25" t="s">
        <v>164</v>
      </c>
      <c r="AK25">
        <v>2039</v>
      </c>
      <c r="AL25" t="s">
        <v>300</v>
      </c>
      <c r="AM25">
        <v>0.38849166666666668</v>
      </c>
      <c r="AN25" t="s">
        <v>253</v>
      </c>
    </row>
    <row r="26" spans="9:40" x14ac:dyDescent="0.45">
      <c r="I26" t="s">
        <v>190</v>
      </c>
      <c r="J26" t="s">
        <v>302</v>
      </c>
      <c r="K26">
        <v>1.0000000000000033</v>
      </c>
      <c r="L26" t="s">
        <v>164</v>
      </c>
      <c r="N26" t="s">
        <v>223</v>
      </c>
      <c r="O26" t="s">
        <v>302</v>
      </c>
      <c r="P26">
        <v>0.99999999999999545</v>
      </c>
      <c r="Q26" t="s">
        <v>164</v>
      </c>
      <c r="S26" t="s">
        <v>243</v>
      </c>
      <c r="T26" t="s">
        <v>302</v>
      </c>
      <c r="U26">
        <v>0.99999999999999534</v>
      </c>
      <c r="V26" t="s">
        <v>164</v>
      </c>
      <c r="AK26">
        <v>2040</v>
      </c>
      <c r="AL26" t="s">
        <v>300</v>
      </c>
      <c r="AM26">
        <v>0.38201666666666667</v>
      </c>
      <c r="AN26" t="s">
        <v>253</v>
      </c>
    </row>
    <row r="27" spans="9:40" x14ac:dyDescent="0.45">
      <c r="I27" t="s">
        <v>191</v>
      </c>
      <c r="J27" t="s">
        <v>302</v>
      </c>
      <c r="K27">
        <v>0.99999999999999956</v>
      </c>
      <c r="L27" t="s">
        <v>164</v>
      </c>
      <c r="N27" t="s">
        <v>224</v>
      </c>
      <c r="O27" t="s">
        <v>302</v>
      </c>
      <c r="P27">
        <v>1.0000000000000024</v>
      </c>
      <c r="Q27" t="s">
        <v>164</v>
      </c>
      <c r="AK27">
        <v>2041</v>
      </c>
      <c r="AL27" t="s">
        <v>300</v>
      </c>
      <c r="AM27">
        <v>0.3912166666666666</v>
      </c>
      <c r="AN27" t="s">
        <v>253</v>
      </c>
    </row>
    <row r="28" spans="9:40" x14ac:dyDescent="0.45">
      <c r="I28" t="s">
        <v>192</v>
      </c>
      <c r="J28" t="s">
        <v>302</v>
      </c>
      <c r="K28">
        <v>0.99999999999999856</v>
      </c>
      <c r="L28" t="s">
        <v>164</v>
      </c>
      <c r="N28" t="s">
        <v>225</v>
      </c>
      <c r="O28" t="s">
        <v>302</v>
      </c>
      <c r="P28">
        <v>1.000000000000002</v>
      </c>
      <c r="Q28" t="s">
        <v>164</v>
      </c>
      <c r="AK28">
        <v>2042</v>
      </c>
      <c r="AL28" t="s">
        <v>300</v>
      </c>
      <c r="AM28">
        <v>0.38394166666666668</v>
      </c>
      <c r="AN28" t="s">
        <v>253</v>
      </c>
    </row>
    <row r="29" spans="9:40" x14ac:dyDescent="0.45">
      <c r="I29" t="s">
        <v>193</v>
      </c>
      <c r="J29" t="s">
        <v>302</v>
      </c>
      <c r="K29">
        <v>1.0000000000000009</v>
      </c>
      <c r="L29" t="s">
        <v>164</v>
      </c>
      <c r="N29" t="s">
        <v>226</v>
      </c>
      <c r="O29" t="s">
        <v>302</v>
      </c>
      <c r="P29">
        <v>1.0000000000000027</v>
      </c>
      <c r="Q29" t="s">
        <v>164</v>
      </c>
      <c r="AK29">
        <v>2043</v>
      </c>
      <c r="AL29" t="s">
        <v>300</v>
      </c>
      <c r="AM29">
        <v>0.37299166666666667</v>
      </c>
      <c r="AN29" t="s">
        <v>253</v>
      </c>
    </row>
    <row r="30" spans="9:40" x14ac:dyDescent="0.45">
      <c r="I30" t="s">
        <v>194</v>
      </c>
      <c r="J30" t="s">
        <v>302</v>
      </c>
      <c r="K30">
        <v>0.99999999999999667</v>
      </c>
      <c r="L30" t="s">
        <v>164</v>
      </c>
      <c r="N30" t="s">
        <v>227</v>
      </c>
      <c r="O30" t="s">
        <v>302</v>
      </c>
      <c r="P30">
        <v>0.999999999999997</v>
      </c>
      <c r="Q30" t="s">
        <v>164</v>
      </c>
      <c r="AK30">
        <v>2044</v>
      </c>
      <c r="AL30" t="s">
        <v>300</v>
      </c>
      <c r="AM30">
        <v>0.38745000000000002</v>
      </c>
      <c r="AN30" t="s">
        <v>253</v>
      </c>
    </row>
    <row r="31" spans="9:40" x14ac:dyDescent="0.45">
      <c r="I31" t="s">
        <v>195</v>
      </c>
      <c r="J31" t="s">
        <v>302</v>
      </c>
      <c r="K31">
        <v>0.99999999999999978</v>
      </c>
      <c r="L31" t="s">
        <v>164</v>
      </c>
      <c r="AK31">
        <v>2045</v>
      </c>
      <c r="AL31" t="s">
        <v>300</v>
      </c>
      <c r="AM31">
        <v>0.39145833333333341</v>
      </c>
      <c r="AN31" t="s">
        <v>253</v>
      </c>
    </row>
    <row r="32" spans="9:40" x14ac:dyDescent="0.45">
      <c r="I32" t="s">
        <v>196</v>
      </c>
      <c r="J32" t="s">
        <v>302</v>
      </c>
      <c r="K32">
        <v>0.99999999999999989</v>
      </c>
      <c r="L32" t="s">
        <v>164</v>
      </c>
      <c r="AK32">
        <v>2046</v>
      </c>
      <c r="AL32" t="s">
        <v>300</v>
      </c>
      <c r="AM32">
        <v>0.37755833333333338</v>
      </c>
      <c r="AN32" t="s">
        <v>253</v>
      </c>
    </row>
    <row r="33" spans="9:40" x14ac:dyDescent="0.45">
      <c r="I33" t="s">
        <v>197</v>
      </c>
      <c r="J33" t="s">
        <v>302</v>
      </c>
      <c r="K33">
        <v>0.99999999999999878</v>
      </c>
      <c r="L33" t="s">
        <v>164</v>
      </c>
      <c r="AK33">
        <v>2047</v>
      </c>
      <c r="AL33" t="s">
        <v>300</v>
      </c>
      <c r="AM33">
        <v>0.37250833333333327</v>
      </c>
      <c r="AN33" t="s">
        <v>253</v>
      </c>
    </row>
    <row r="34" spans="9:40" x14ac:dyDescent="0.45">
      <c r="I34" t="s">
        <v>198</v>
      </c>
      <c r="J34" t="s">
        <v>302</v>
      </c>
      <c r="K34">
        <v>0.99999999999999867</v>
      </c>
      <c r="L34" t="s">
        <v>164</v>
      </c>
      <c r="AK34">
        <v>2048</v>
      </c>
      <c r="AL34" t="s">
        <v>300</v>
      </c>
      <c r="AM34">
        <v>0.3918166666666667</v>
      </c>
      <c r="AN34" t="s">
        <v>253</v>
      </c>
    </row>
    <row r="35" spans="9:40" x14ac:dyDescent="0.45">
      <c r="I35" t="s">
        <v>199</v>
      </c>
      <c r="J35" t="s">
        <v>302</v>
      </c>
      <c r="K35">
        <v>1.0000000000000018</v>
      </c>
      <c r="L35" t="s">
        <v>164</v>
      </c>
      <c r="AK35">
        <v>2049</v>
      </c>
      <c r="AL35" t="s">
        <v>300</v>
      </c>
      <c r="AM35">
        <v>0.37497500000000006</v>
      </c>
      <c r="AN35" t="s">
        <v>253</v>
      </c>
    </row>
    <row r="36" spans="9:40" x14ac:dyDescent="0.45">
      <c r="I36" t="s">
        <v>200</v>
      </c>
      <c r="J36" t="s">
        <v>302</v>
      </c>
      <c r="K36">
        <v>0.99999999999999933</v>
      </c>
      <c r="L36" t="s">
        <v>164</v>
      </c>
      <c r="AK36">
        <v>2050</v>
      </c>
      <c r="AL36" t="s">
        <v>300</v>
      </c>
      <c r="AM36">
        <v>0.39415833333333339</v>
      </c>
      <c r="AN36" t="s">
        <v>253</v>
      </c>
    </row>
    <row r="37" spans="9:40" x14ac:dyDescent="0.45">
      <c r="I37" t="s">
        <v>201</v>
      </c>
      <c r="J37" t="s">
        <v>302</v>
      </c>
      <c r="K37">
        <v>1.0000000000000011</v>
      </c>
      <c r="L37" t="s">
        <v>164</v>
      </c>
    </row>
    <row r="38" spans="9:40" x14ac:dyDescent="0.45">
      <c r="I38" t="s">
        <v>202</v>
      </c>
      <c r="J38" t="s">
        <v>302</v>
      </c>
      <c r="K38">
        <v>1.0000000000000022</v>
      </c>
      <c r="L38" t="s">
        <v>164</v>
      </c>
    </row>
    <row r="39" spans="9:40" x14ac:dyDescent="0.45">
      <c r="I39" t="s">
        <v>203</v>
      </c>
      <c r="J39" t="s">
        <v>302</v>
      </c>
      <c r="K39">
        <v>0.99999999999999989</v>
      </c>
      <c r="L39" t="s">
        <v>164</v>
      </c>
    </row>
    <row r="40" spans="9:40" x14ac:dyDescent="0.45">
      <c r="I40" t="s">
        <v>204</v>
      </c>
      <c r="J40" t="s">
        <v>302</v>
      </c>
      <c r="K40">
        <v>1.0000000000000024</v>
      </c>
      <c r="L40" t="s">
        <v>164</v>
      </c>
    </row>
    <row r="41" spans="9:40" x14ac:dyDescent="0.45">
      <c r="I41" t="s">
        <v>205</v>
      </c>
      <c r="J41" t="s">
        <v>302</v>
      </c>
      <c r="K41">
        <v>1.0000000000000007</v>
      </c>
      <c r="L41" t="s">
        <v>164</v>
      </c>
    </row>
    <row r="42" spans="9:40" x14ac:dyDescent="0.45">
      <c r="I42" t="s">
        <v>206</v>
      </c>
      <c r="J42" t="s">
        <v>302</v>
      </c>
      <c r="K42">
        <v>1.0000000000000004</v>
      </c>
      <c r="L42" t="s">
        <v>164</v>
      </c>
    </row>
    <row r="43" spans="9:40" x14ac:dyDescent="0.45">
      <c r="I43" t="s">
        <v>207</v>
      </c>
      <c r="J43" t="s">
        <v>302</v>
      </c>
      <c r="K43">
        <v>1.0000000000000024</v>
      </c>
      <c r="L43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B8FA-4008-43D9-BE08-0505BA350AE2}">
  <dimension ref="A9:AN406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161</v>
      </c>
      <c r="L10" t="s">
        <v>30</v>
      </c>
      <c r="N10" t="s">
        <v>13</v>
      </c>
      <c r="O10" t="s">
        <v>121</v>
      </c>
      <c r="P10" t="s">
        <v>161</v>
      </c>
      <c r="Q10" t="s">
        <v>30</v>
      </c>
      <c r="S10" t="s">
        <v>13</v>
      </c>
      <c r="T10" t="s">
        <v>121</v>
      </c>
      <c r="U10" t="s">
        <v>161</v>
      </c>
      <c r="V10" t="s">
        <v>30</v>
      </c>
      <c r="X10" t="s">
        <v>244</v>
      </c>
      <c r="Y10" t="s">
        <v>161</v>
      </c>
      <c r="Z10" t="s">
        <v>121</v>
      </c>
      <c r="AA10" t="s">
        <v>13</v>
      </c>
      <c r="AC10" t="s">
        <v>13</v>
      </c>
      <c r="AD10" t="s">
        <v>121</v>
      </c>
      <c r="AE10" t="s">
        <v>161</v>
      </c>
      <c r="AG10" t="s">
        <v>13</v>
      </c>
      <c r="AH10" t="s">
        <v>121</v>
      </c>
      <c r="AI10" t="s">
        <v>250</v>
      </c>
      <c r="AK10" t="s">
        <v>47</v>
      </c>
      <c r="AL10" t="s">
        <v>121</v>
      </c>
      <c r="AM10" t="s">
        <v>251</v>
      </c>
      <c r="AN10" t="s">
        <v>252</v>
      </c>
    </row>
    <row r="11" spans="1:40" x14ac:dyDescent="0.45">
      <c r="A11" t="str">
        <f>IFERROR(IF(Veda!D5=A10,"ok","x"),"")</f>
        <v>x</v>
      </c>
      <c r="C11" t="s">
        <v>303</v>
      </c>
      <c r="D11" t="s">
        <v>153</v>
      </c>
      <c r="E11" t="s">
        <v>246</v>
      </c>
      <c r="F11" t="s">
        <v>304</v>
      </c>
      <c r="G11" t="s">
        <v>153</v>
      </c>
      <c r="I11" t="s">
        <v>162</v>
      </c>
      <c r="J11" t="s">
        <v>309</v>
      </c>
      <c r="K11">
        <v>0.25065578284899814</v>
      </c>
      <c r="L11" t="s">
        <v>164</v>
      </c>
      <c r="N11" t="s">
        <v>208</v>
      </c>
      <c r="O11" t="s">
        <v>309</v>
      </c>
      <c r="P11">
        <v>5.9235379535350408E-2</v>
      </c>
      <c r="Q11" t="s">
        <v>164</v>
      </c>
      <c r="S11" t="s">
        <v>228</v>
      </c>
      <c r="T11" t="s">
        <v>309</v>
      </c>
      <c r="U11">
        <v>7.067154264037441E-2</v>
      </c>
      <c r="V11" t="s">
        <v>164</v>
      </c>
      <c r="X11">
        <v>0.11426940639269406</v>
      </c>
      <c r="Y11">
        <v>0.16087081189037786</v>
      </c>
      <c r="Z11" t="s">
        <v>309</v>
      </c>
      <c r="AA11" t="s">
        <v>25</v>
      </c>
      <c r="AC11" t="s">
        <v>22</v>
      </c>
      <c r="AD11" t="s">
        <v>309</v>
      </c>
      <c r="AE11">
        <v>0.10818903524635562</v>
      </c>
      <c r="AG11" t="s">
        <v>96</v>
      </c>
      <c r="AH11" t="s">
        <v>309</v>
      </c>
      <c r="AI11">
        <v>0.33996168726433917</v>
      </c>
      <c r="AK11">
        <v>2025</v>
      </c>
      <c r="AL11" t="s">
        <v>303</v>
      </c>
      <c r="AM11">
        <v>0.35560000000000008</v>
      </c>
      <c r="AN11" t="s">
        <v>253</v>
      </c>
    </row>
    <row r="12" spans="1:40" x14ac:dyDescent="0.45">
      <c r="C12" t="s">
        <v>305</v>
      </c>
      <c r="E12" t="s">
        <v>248</v>
      </c>
      <c r="G12" t="s">
        <v>153</v>
      </c>
      <c r="I12" t="s">
        <v>162</v>
      </c>
      <c r="J12" t="s">
        <v>310</v>
      </c>
      <c r="K12">
        <v>0</v>
      </c>
      <c r="L12" t="s">
        <v>164</v>
      </c>
      <c r="N12" t="s">
        <v>208</v>
      </c>
      <c r="O12" t="s">
        <v>310</v>
      </c>
      <c r="P12">
        <v>6.218554122238143E-2</v>
      </c>
      <c r="Q12" t="s">
        <v>164</v>
      </c>
      <c r="S12" t="s">
        <v>228</v>
      </c>
      <c r="T12" t="s">
        <v>310</v>
      </c>
      <c r="U12">
        <v>8.5693731503834428E-2</v>
      </c>
      <c r="V12" t="s">
        <v>164</v>
      </c>
      <c r="X12">
        <v>0.11426940639269406</v>
      </c>
      <c r="Y12">
        <v>5.2547713165767528E-2</v>
      </c>
      <c r="Z12" t="s">
        <v>310</v>
      </c>
      <c r="AA12" t="s">
        <v>25</v>
      </c>
      <c r="AC12" t="s">
        <v>22</v>
      </c>
      <c r="AD12" t="s">
        <v>310</v>
      </c>
      <c r="AE12">
        <v>0.12872565643446179</v>
      </c>
      <c r="AG12" t="s">
        <v>96</v>
      </c>
      <c r="AH12" t="s">
        <v>310</v>
      </c>
      <c r="AI12">
        <v>0.19341159734758495</v>
      </c>
      <c r="AK12">
        <v>2025</v>
      </c>
      <c r="AL12" t="s">
        <v>305</v>
      </c>
      <c r="AM12">
        <v>0.31056666666666666</v>
      </c>
      <c r="AN12" t="s">
        <v>253</v>
      </c>
    </row>
    <row r="13" spans="1:40" x14ac:dyDescent="0.45">
      <c r="C13" t="s">
        <v>306</v>
      </c>
      <c r="E13" t="s">
        <v>307</v>
      </c>
      <c r="G13" t="s">
        <v>153</v>
      </c>
      <c r="I13" t="s">
        <v>162</v>
      </c>
      <c r="J13" t="s">
        <v>311</v>
      </c>
      <c r="K13">
        <v>2.4175293745048624E-2</v>
      </c>
      <c r="L13" t="s">
        <v>164</v>
      </c>
      <c r="N13" t="s">
        <v>208</v>
      </c>
      <c r="O13" t="s">
        <v>311</v>
      </c>
      <c r="P13">
        <v>6.3738988977083142E-3</v>
      </c>
      <c r="Q13" t="s">
        <v>164</v>
      </c>
      <c r="S13" t="s">
        <v>228</v>
      </c>
      <c r="T13" t="s">
        <v>311</v>
      </c>
      <c r="U13">
        <v>1.5373207872630915E-2</v>
      </c>
      <c r="V13" t="s">
        <v>164</v>
      </c>
      <c r="X13">
        <v>2.0776255707762557E-2</v>
      </c>
      <c r="Y13">
        <v>3.5896543437005365E-2</v>
      </c>
      <c r="Z13" t="s">
        <v>311</v>
      </c>
      <c r="AA13" t="s">
        <v>25</v>
      </c>
      <c r="AC13" t="s">
        <v>22</v>
      </c>
      <c r="AD13" t="s">
        <v>311</v>
      </c>
      <c r="AE13">
        <v>2.4803366757040722E-2</v>
      </c>
      <c r="AG13" t="s">
        <v>96</v>
      </c>
      <c r="AH13" t="s">
        <v>311</v>
      </c>
      <c r="AI13">
        <v>0.1470240574825179</v>
      </c>
      <c r="AK13">
        <v>2025</v>
      </c>
      <c r="AL13" t="s">
        <v>306</v>
      </c>
      <c r="AM13">
        <v>0.28226666666666667</v>
      </c>
      <c r="AN13" t="s">
        <v>253</v>
      </c>
    </row>
    <row r="14" spans="1:40" x14ac:dyDescent="0.45">
      <c r="C14" t="s">
        <v>308</v>
      </c>
      <c r="I14" t="s">
        <v>162</v>
      </c>
      <c r="J14" t="s">
        <v>312</v>
      </c>
      <c r="K14">
        <v>0.22622701733731004</v>
      </c>
      <c r="L14" t="s">
        <v>164</v>
      </c>
      <c r="N14" t="s">
        <v>208</v>
      </c>
      <c r="O14" t="s">
        <v>312</v>
      </c>
      <c r="P14">
        <v>2.6314435086934512E-2</v>
      </c>
      <c r="Q14" t="s">
        <v>164</v>
      </c>
      <c r="S14" t="s">
        <v>228</v>
      </c>
      <c r="T14" t="s">
        <v>312</v>
      </c>
      <c r="U14">
        <v>0.11783225872039609</v>
      </c>
      <c r="V14" t="s">
        <v>164</v>
      </c>
      <c r="X14">
        <v>0.11552511415525114</v>
      </c>
      <c r="Y14">
        <v>0.16263862301005233</v>
      </c>
      <c r="Z14" t="s">
        <v>312</v>
      </c>
      <c r="AA14" t="s">
        <v>25</v>
      </c>
      <c r="AC14" t="s">
        <v>22</v>
      </c>
      <c r="AD14" t="s">
        <v>312</v>
      </c>
      <c r="AE14">
        <v>0.10422991280054875</v>
      </c>
      <c r="AG14" t="s">
        <v>96</v>
      </c>
      <c r="AH14" t="s">
        <v>312</v>
      </c>
      <c r="AI14">
        <v>0.34383925309985996</v>
      </c>
      <c r="AK14">
        <v>2025</v>
      </c>
      <c r="AL14" t="s">
        <v>308</v>
      </c>
      <c r="AM14">
        <v>0.3661666666666667</v>
      </c>
      <c r="AN14" t="s">
        <v>253</v>
      </c>
    </row>
    <row r="15" spans="1:40" x14ac:dyDescent="0.45">
      <c r="I15" t="s">
        <v>162</v>
      </c>
      <c r="J15" t="s">
        <v>313</v>
      </c>
      <c r="K15">
        <v>0</v>
      </c>
      <c r="L15" t="s">
        <v>164</v>
      </c>
      <c r="N15" t="s">
        <v>208</v>
      </c>
      <c r="O15" t="s">
        <v>313</v>
      </c>
      <c r="P15">
        <v>5.0417545933264238E-2</v>
      </c>
      <c r="Q15" t="s">
        <v>164</v>
      </c>
      <c r="S15" t="s">
        <v>228</v>
      </c>
      <c r="T15" t="s">
        <v>313</v>
      </c>
      <c r="U15">
        <v>0.12725858780850138</v>
      </c>
      <c r="V15" t="s">
        <v>164</v>
      </c>
      <c r="X15">
        <v>0.11552511415525114</v>
      </c>
      <c r="Y15">
        <v>5.3125160563193538E-2</v>
      </c>
      <c r="Z15" t="s">
        <v>313</v>
      </c>
      <c r="AA15" t="s">
        <v>25</v>
      </c>
      <c r="AC15" t="s">
        <v>22</v>
      </c>
      <c r="AD15" t="s">
        <v>313</v>
      </c>
      <c r="AE15">
        <v>0.1236457230517132</v>
      </c>
      <c r="AG15" t="s">
        <v>96</v>
      </c>
      <c r="AH15" t="s">
        <v>313</v>
      </c>
      <c r="AI15">
        <v>0.22357002889326671</v>
      </c>
      <c r="AK15">
        <v>2026</v>
      </c>
      <c r="AL15" t="s">
        <v>303</v>
      </c>
      <c r="AM15">
        <v>0.37063333333333331</v>
      </c>
      <c r="AN15" t="s">
        <v>253</v>
      </c>
    </row>
    <row r="16" spans="1:40" x14ac:dyDescent="0.45">
      <c r="I16" t="s">
        <v>162</v>
      </c>
      <c r="J16" t="s">
        <v>314</v>
      </c>
      <c r="K16">
        <v>2.4972778656069228E-2</v>
      </c>
      <c r="L16" t="s">
        <v>164</v>
      </c>
      <c r="N16" t="s">
        <v>208</v>
      </c>
      <c r="O16" t="s">
        <v>314</v>
      </c>
      <c r="P16">
        <v>4.6274801934539115E-3</v>
      </c>
      <c r="Q16" t="s">
        <v>164</v>
      </c>
      <c r="S16" t="s">
        <v>228</v>
      </c>
      <c r="T16" t="s">
        <v>314</v>
      </c>
      <c r="U16">
        <v>2.3620937446177163E-2</v>
      </c>
      <c r="V16" t="s">
        <v>164</v>
      </c>
      <c r="X16">
        <v>2.1004566210045664E-2</v>
      </c>
      <c r="Y16">
        <v>3.6291010947302131E-2</v>
      </c>
      <c r="Z16" t="s">
        <v>314</v>
      </c>
      <c r="AA16" t="s">
        <v>25</v>
      </c>
      <c r="AC16" t="s">
        <v>22</v>
      </c>
      <c r="AD16" t="s">
        <v>314</v>
      </c>
      <c r="AE16">
        <v>2.3154273445895397E-2</v>
      </c>
      <c r="AG16" t="s">
        <v>96</v>
      </c>
      <c r="AH16" t="s">
        <v>314</v>
      </c>
      <c r="AI16">
        <v>0.19788509255084707</v>
      </c>
      <c r="AK16">
        <v>2026</v>
      </c>
      <c r="AL16" t="s">
        <v>305</v>
      </c>
      <c r="AM16">
        <v>0.3274333333333333</v>
      </c>
      <c r="AN16" t="s">
        <v>253</v>
      </c>
    </row>
    <row r="17" spans="9:40" x14ac:dyDescent="0.45">
      <c r="I17" t="s">
        <v>162</v>
      </c>
      <c r="J17" t="s">
        <v>315</v>
      </c>
      <c r="K17">
        <v>0.196747719752701</v>
      </c>
      <c r="L17" t="s">
        <v>164</v>
      </c>
      <c r="N17" t="s">
        <v>208</v>
      </c>
      <c r="O17" t="s">
        <v>315</v>
      </c>
      <c r="P17">
        <v>3.9098303965578049E-2</v>
      </c>
      <c r="Q17" t="s">
        <v>164</v>
      </c>
      <c r="S17" t="s">
        <v>228</v>
      </c>
      <c r="T17" t="s">
        <v>315</v>
      </c>
      <c r="U17">
        <v>0.1266607709745626</v>
      </c>
      <c r="V17" t="s">
        <v>164</v>
      </c>
      <c r="X17">
        <v>0.11552511415525114</v>
      </c>
      <c r="Y17">
        <v>0.16263862301005233</v>
      </c>
      <c r="Z17" t="s">
        <v>315</v>
      </c>
      <c r="AA17" t="s">
        <v>25</v>
      </c>
      <c r="AC17" t="s">
        <v>22</v>
      </c>
      <c r="AD17" t="s">
        <v>315</v>
      </c>
      <c r="AE17">
        <v>0.11109651034496995</v>
      </c>
      <c r="AG17" t="s">
        <v>96</v>
      </c>
      <c r="AH17" t="s">
        <v>315</v>
      </c>
      <c r="AI17">
        <v>0.28828018411164869</v>
      </c>
      <c r="AK17">
        <v>2026</v>
      </c>
      <c r="AL17" t="s">
        <v>306</v>
      </c>
      <c r="AM17">
        <v>0.27383333333333332</v>
      </c>
      <c r="AN17" t="s">
        <v>253</v>
      </c>
    </row>
    <row r="18" spans="9:40" x14ac:dyDescent="0.45">
      <c r="I18" t="s">
        <v>162</v>
      </c>
      <c r="J18" t="s">
        <v>316</v>
      </c>
      <c r="K18">
        <v>0</v>
      </c>
      <c r="L18" t="s">
        <v>164</v>
      </c>
      <c r="N18" t="s">
        <v>208</v>
      </c>
      <c r="O18" t="s">
        <v>316</v>
      </c>
      <c r="P18">
        <v>3.5224067170770847E-2</v>
      </c>
      <c r="Q18" t="s">
        <v>164</v>
      </c>
      <c r="S18" t="s">
        <v>228</v>
      </c>
      <c r="T18" t="s">
        <v>316</v>
      </c>
      <c r="U18">
        <v>0.1386397512153813</v>
      </c>
      <c r="V18" t="s">
        <v>164</v>
      </c>
      <c r="X18">
        <v>0.11552511415525114</v>
      </c>
      <c r="Y18">
        <v>5.3125160563193538E-2</v>
      </c>
      <c r="Z18" t="s">
        <v>316</v>
      </c>
      <c r="AA18" t="s">
        <v>25</v>
      </c>
      <c r="AC18" t="s">
        <v>22</v>
      </c>
      <c r="AD18" t="s">
        <v>316</v>
      </c>
      <c r="AE18">
        <v>0.13293679598077052</v>
      </c>
      <c r="AG18" t="s">
        <v>96</v>
      </c>
      <c r="AH18" t="s">
        <v>316</v>
      </c>
      <c r="AI18">
        <v>0.17392058676282507</v>
      </c>
      <c r="AK18">
        <v>2026</v>
      </c>
      <c r="AL18" t="s">
        <v>308</v>
      </c>
      <c r="AM18">
        <v>0.39419999999999994</v>
      </c>
      <c r="AN18" t="s">
        <v>253</v>
      </c>
    </row>
    <row r="19" spans="9:40" x14ac:dyDescent="0.45">
      <c r="I19" t="s">
        <v>162</v>
      </c>
      <c r="J19" t="s">
        <v>317</v>
      </c>
      <c r="K19">
        <v>2.1970669143598302E-2</v>
      </c>
      <c r="L19" t="s">
        <v>164</v>
      </c>
      <c r="N19" t="s">
        <v>208</v>
      </c>
      <c r="O19" t="s">
        <v>317</v>
      </c>
      <c r="P19">
        <v>3.9583165244239183E-3</v>
      </c>
      <c r="Q19" t="s">
        <v>164</v>
      </c>
      <c r="S19" t="s">
        <v>228</v>
      </c>
      <c r="T19" t="s">
        <v>317</v>
      </c>
      <c r="U19">
        <v>2.5723252108581646E-2</v>
      </c>
      <c r="V19" t="s">
        <v>164</v>
      </c>
      <c r="X19">
        <v>2.1004566210045664E-2</v>
      </c>
      <c r="Y19">
        <v>3.6291010947302131E-2</v>
      </c>
      <c r="Z19" t="s">
        <v>317</v>
      </c>
      <c r="AA19" t="s">
        <v>25</v>
      </c>
      <c r="AC19" t="s">
        <v>22</v>
      </c>
      <c r="AD19" t="s">
        <v>317</v>
      </c>
      <c r="AE19">
        <v>2.5836772997157819E-2</v>
      </c>
      <c r="AG19" t="s">
        <v>96</v>
      </c>
      <c r="AH19" t="s">
        <v>317</v>
      </c>
      <c r="AI19">
        <v>0.12165398483214918</v>
      </c>
      <c r="AK19">
        <v>2027</v>
      </c>
      <c r="AL19" t="s">
        <v>303</v>
      </c>
      <c r="AM19">
        <v>0.34436666666666671</v>
      </c>
      <c r="AN19" t="s">
        <v>253</v>
      </c>
    </row>
    <row r="20" spans="9:40" x14ac:dyDescent="0.45">
      <c r="I20" t="s">
        <v>162</v>
      </c>
      <c r="J20" t="s">
        <v>318</v>
      </c>
      <c r="K20">
        <v>0.22316914893751869</v>
      </c>
      <c r="L20" t="s">
        <v>164</v>
      </c>
      <c r="N20" t="s">
        <v>208</v>
      </c>
      <c r="O20" t="s">
        <v>318</v>
      </c>
      <c r="P20">
        <v>0.37407928402827639</v>
      </c>
      <c r="Q20" t="s">
        <v>164</v>
      </c>
      <c r="S20" t="s">
        <v>228</v>
      </c>
      <c r="T20" t="s">
        <v>318</v>
      </c>
      <c r="U20">
        <v>0.11753166008402156</v>
      </c>
      <c r="V20" t="s">
        <v>164</v>
      </c>
      <c r="X20">
        <v>0.11301369863013698</v>
      </c>
      <c r="Y20">
        <v>0.15910300077070333</v>
      </c>
      <c r="Z20" t="s">
        <v>318</v>
      </c>
      <c r="AA20" t="s">
        <v>25</v>
      </c>
      <c r="AC20" t="s">
        <v>22</v>
      </c>
      <c r="AD20" t="s">
        <v>318</v>
      </c>
      <c r="AE20">
        <v>9.1436729748488516E-2</v>
      </c>
      <c r="AG20" t="s">
        <v>96</v>
      </c>
      <c r="AH20" t="s">
        <v>318</v>
      </c>
      <c r="AI20">
        <v>0.21348179077970952</v>
      </c>
      <c r="AK20">
        <v>2027</v>
      </c>
      <c r="AL20" t="s">
        <v>305</v>
      </c>
      <c r="AM20">
        <v>0.29833333333333328</v>
      </c>
      <c r="AN20" t="s">
        <v>253</v>
      </c>
    </row>
    <row r="21" spans="9:40" x14ac:dyDescent="0.45">
      <c r="I21" t="s">
        <v>162</v>
      </c>
      <c r="J21" t="s">
        <v>319</v>
      </c>
      <c r="K21">
        <v>0</v>
      </c>
      <c r="L21" t="s">
        <v>164</v>
      </c>
      <c r="N21" t="s">
        <v>208</v>
      </c>
      <c r="O21" t="s">
        <v>319</v>
      </c>
      <c r="P21">
        <v>0.30565354759545343</v>
      </c>
      <c r="Q21" t="s">
        <v>164</v>
      </c>
      <c r="S21" t="s">
        <v>228</v>
      </c>
      <c r="T21" t="s">
        <v>319</v>
      </c>
      <c r="U21">
        <v>0.12762284853119454</v>
      </c>
      <c r="V21" t="s">
        <v>164</v>
      </c>
      <c r="X21">
        <v>0.11301369863013698</v>
      </c>
      <c r="Y21">
        <v>5.197026576834151E-2</v>
      </c>
      <c r="Z21" t="s">
        <v>319</v>
      </c>
      <c r="AA21" t="s">
        <v>25</v>
      </c>
      <c r="AC21" t="s">
        <v>22</v>
      </c>
      <c r="AD21" t="s">
        <v>319</v>
      </c>
      <c r="AE21">
        <v>0.10735179063823497</v>
      </c>
      <c r="AG21" t="s">
        <v>96</v>
      </c>
      <c r="AH21" t="s">
        <v>319</v>
      </c>
      <c r="AI21">
        <v>0.1258421483618033</v>
      </c>
      <c r="AK21">
        <v>2027</v>
      </c>
      <c r="AL21" t="s">
        <v>306</v>
      </c>
      <c r="AM21">
        <v>0.27223333333333333</v>
      </c>
      <c r="AN21" t="s">
        <v>253</v>
      </c>
    </row>
    <row r="22" spans="9:40" x14ac:dyDescent="0.45">
      <c r="I22" t="s">
        <v>162</v>
      </c>
      <c r="J22" t="s">
        <v>320</v>
      </c>
      <c r="K22">
        <v>3.2081589578755551E-2</v>
      </c>
      <c r="L22" t="s">
        <v>164</v>
      </c>
      <c r="N22" t="s">
        <v>208</v>
      </c>
      <c r="O22" t="s">
        <v>320</v>
      </c>
      <c r="P22">
        <v>3.2832199846403377E-2</v>
      </c>
      <c r="Q22" t="s">
        <v>164</v>
      </c>
      <c r="S22" t="s">
        <v>228</v>
      </c>
      <c r="T22" t="s">
        <v>320</v>
      </c>
      <c r="U22">
        <v>2.3371451094341633E-2</v>
      </c>
      <c r="V22" t="s">
        <v>164</v>
      </c>
      <c r="X22">
        <v>2.0547945205479451E-2</v>
      </c>
      <c r="Y22">
        <v>3.5502075926708607E-2</v>
      </c>
      <c r="Z22" t="s">
        <v>320</v>
      </c>
      <c r="AA22" t="s">
        <v>25</v>
      </c>
      <c r="AC22" t="s">
        <v>22</v>
      </c>
      <c r="AD22" t="s">
        <v>320</v>
      </c>
      <c r="AE22">
        <v>1.8593432554362771E-2</v>
      </c>
      <c r="AG22" t="s">
        <v>96</v>
      </c>
      <c r="AH22" t="s">
        <v>320</v>
      </c>
      <c r="AI22">
        <v>4.7759434609428109E-2</v>
      </c>
      <c r="AK22">
        <v>2027</v>
      </c>
      <c r="AL22" t="s">
        <v>308</v>
      </c>
      <c r="AM22">
        <v>0.38406666666666672</v>
      </c>
      <c r="AN22" t="s">
        <v>253</v>
      </c>
    </row>
    <row r="23" spans="9:40" x14ac:dyDescent="0.45">
      <c r="I23" t="s">
        <v>176</v>
      </c>
      <c r="J23" t="s">
        <v>309</v>
      </c>
      <c r="K23">
        <v>0.26289722900704443</v>
      </c>
      <c r="L23" t="s">
        <v>164</v>
      </c>
      <c r="N23" t="s">
        <v>209</v>
      </c>
      <c r="O23" t="s">
        <v>309</v>
      </c>
      <c r="P23">
        <v>5.3496701555022848E-2</v>
      </c>
      <c r="Q23" t="s">
        <v>164</v>
      </c>
      <c r="S23" t="s">
        <v>229</v>
      </c>
      <c r="T23" t="s">
        <v>309</v>
      </c>
      <c r="U23">
        <v>6.1976351671389589E-2</v>
      </c>
      <c r="V23" t="s">
        <v>164</v>
      </c>
      <c r="AC23" t="s">
        <v>19</v>
      </c>
      <c r="AD23" t="s">
        <v>309</v>
      </c>
      <c r="AE23">
        <v>0.11353326356321419</v>
      </c>
      <c r="AK23">
        <v>2028</v>
      </c>
      <c r="AL23" t="s">
        <v>303</v>
      </c>
      <c r="AM23">
        <v>0.41023333333333328</v>
      </c>
      <c r="AN23" t="s">
        <v>253</v>
      </c>
    </row>
    <row r="24" spans="9:40" x14ac:dyDescent="0.45">
      <c r="I24" t="s">
        <v>176</v>
      </c>
      <c r="J24" t="s">
        <v>310</v>
      </c>
      <c r="K24">
        <v>0</v>
      </c>
      <c r="L24" t="s">
        <v>164</v>
      </c>
      <c r="N24" t="s">
        <v>209</v>
      </c>
      <c r="O24" t="s">
        <v>310</v>
      </c>
      <c r="P24">
        <v>6.0180749363618523E-2</v>
      </c>
      <c r="Q24" t="s">
        <v>164</v>
      </c>
      <c r="S24" t="s">
        <v>229</v>
      </c>
      <c r="T24" t="s">
        <v>310</v>
      </c>
      <c r="U24">
        <v>5.9862233646507383E-2</v>
      </c>
      <c r="V24" t="s">
        <v>164</v>
      </c>
      <c r="AC24" t="s">
        <v>19</v>
      </c>
      <c r="AD24" t="s">
        <v>310</v>
      </c>
      <c r="AE24">
        <v>0.11488121055891737</v>
      </c>
      <c r="AK24">
        <v>2028</v>
      </c>
      <c r="AL24" t="s">
        <v>305</v>
      </c>
      <c r="AM24">
        <v>0.36610000000000004</v>
      </c>
      <c r="AN24" t="s">
        <v>253</v>
      </c>
    </row>
    <row r="25" spans="9:40" x14ac:dyDescent="0.45">
      <c r="I25" t="s">
        <v>176</v>
      </c>
      <c r="J25" t="s">
        <v>311</v>
      </c>
      <c r="K25">
        <v>2.4893535647160056E-2</v>
      </c>
      <c r="L25" t="s">
        <v>164</v>
      </c>
      <c r="N25" t="s">
        <v>209</v>
      </c>
      <c r="O25" t="s">
        <v>311</v>
      </c>
      <c r="P25">
        <v>6.3989594629931977E-3</v>
      </c>
      <c r="Q25" t="s">
        <v>164</v>
      </c>
      <c r="S25" t="s">
        <v>229</v>
      </c>
      <c r="T25" t="s">
        <v>311</v>
      </c>
      <c r="U25">
        <v>1.6390221848455601E-2</v>
      </c>
      <c r="V25" t="s">
        <v>164</v>
      </c>
      <c r="AC25" t="s">
        <v>19</v>
      </c>
      <c r="AD25" t="s">
        <v>311</v>
      </c>
      <c r="AE25">
        <v>2.0979298392972114E-2</v>
      </c>
      <c r="AK25">
        <v>2028</v>
      </c>
      <c r="AL25" t="s">
        <v>306</v>
      </c>
      <c r="AM25">
        <v>0.32729999999999998</v>
      </c>
      <c r="AN25" t="s">
        <v>253</v>
      </c>
    </row>
    <row r="26" spans="9:40" x14ac:dyDescent="0.45">
      <c r="I26" t="s">
        <v>176</v>
      </c>
      <c r="J26" t="s">
        <v>312</v>
      </c>
      <c r="K26">
        <v>0.2174526322677949</v>
      </c>
      <c r="L26" t="s">
        <v>164</v>
      </c>
      <c r="N26" t="s">
        <v>209</v>
      </c>
      <c r="O26" t="s">
        <v>312</v>
      </c>
      <c r="P26">
        <v>5.6488703473603602E-2</v>
      </c>
      <c r="Q26" t="s">
        <v>164</v>
      </c>
      <c r="S26" t="s">
        <v>229</v>
      </c>
      <c r="T26" t="s">
        <v>312</v>
      </c>
      <c r="U26">
        <v>0.13303318696187041</v>
      </c>
      <c r="V26" t="s">
        <v>164</v>
      </c>
      <c r="AC26" t="s">
        <v>19</v>
      </c>
      <c r="AD26" t="s">
        <v>312</v>
      </c>
      <c r="AE26">
        <v>0.11481159054249143</v>
      </c>
      <c r="AK26">
        <v>2028</v>
      </c>
      <c r="AL26" t="s">
        <v>308</v>
      </c>
      <c r="AM26">
        <v>0.43996666666666667</v>
      </c>
      <c r="AN26" t="s">
        <v>253</v>
      </c>
    </row>
    <row r="27" spans="9:40" x14ac:dyDescent="0.45">
      <c r="I27" t="s">
        <v>176</v>
      </c>
      <c r="J27" t="s">
        <v>313</v>
      </c>
      <c r="K27">
        <v>0</v>
      </c>
      <c r="L27" t="s">
        <v>164</v>
      </c>
      <c r="N27" t="s">
        <v>209</v>
      </c>
      <c r="O27" t="s">
        <v>313</v>
      </c>
      <c r="P27">
        <v>6.8365283860980217E-2</v>
      </c>
      <c r="Q27" t="s">
        <v>164</v>
      </c>
      <c r="S27" t="s">
        <v>229</v>
      </c>
      <c r="T27" t="s">
        <v>313</v>
      </c>
      <c r="U27">
        <v>0.11847119959120464</v>
      </c>
      <c r="V27" t="s">
        <v>164</v>
      </c>
      <c r="AC27" t="s">
        <v>19</v>
      </c>
      <c r="AD27" t="s">
        <v>313</v>
      </c>
      <c r="AE27">
        <v>0.11608597170078817</v>
      </c>
      <c r="AK27">
        <v>2029</v>
      </c>
      <c r="AL27" t="s">
        <v>303</v>
      </c>
      <c r="AM27">
        <v>0.42280000000000001</v>
      </c>
      <c r="AN27" t="s">
        <v>253</v>
      </c>
    </row>
    <row r="28" spans="9:40" x14ac:dyDescent="0.45">
      <c r="I28" t="s">
        <v>176</v>
      </c>
      <c r="J28" t="s">
        <v>314</v>
      </c>
      <c r="K28">
        <v>2.4979103101825013E-2</v>
      </c>
      <c r="L28" t="s">
        <v>164</v>
      </c>
      <c r="N28" t="s">
        <v>209</v>
      </c>
      <c r="O28" t="s">
        <v>314</v>
      </c>
      <c r="P28">
        <v>5.9996654407406319E-3</v>
      </c>
      <c r="Q28" t="s">
        <v>164</v>
      </c>
      <c r="S28" t="s">
        <v>229</v>
      </c>
      <c r="T28" t="s">
        <v>314</v>
      </c>
      <c r="U28">
        <v>3.1306366976815617E-2</v>
      </c>
      <c r="V28" t="s">
        <v>164</v>
      </c>
      <c r="AC28" t="s">
        <v>19</v>
      </c>
      <c r="AD28" t="s">
        <v>314</v>
      </c>
      <c r="AE28">
        <v>2.1150728797913618E-2</v>
      </c>
      <c r="AK28">
        <v>2029</v>
      </c>
      <c r="AL28" t="s">
        <v>305</v>
      </c>
      <c r="AM28">
        <v>0.36689999999999995</v>
      </c>
      <c r="AN28" t="s">
        <v>253</v>
      </c>
    </row>
    <row r="29" spans="9:40" x14ac:dyDescent="0.45">
      <c r="I29" t="s">
        <v>176</v>
      </c>
      <c r="J29" t="s">
        <v>315</v>
      </c>
      <c r="K29">
        <v>0.20930027105391819</v>
      </c>
      <c r="L29" t="s">
        <v>164</v>
      </c>
      <c r="N29" t="s">
        <v>209</v>
      </c>
      <c r="O29" t="s">
        <v>315</v>
      </c>
      <c r="P29">
        <v>3.8291674523489867E-2</v>
      </c>
      <c r="Q29" t="s">
        <v>164</v>
      </c>
      <c r="S29" t="s">
        <v>229</v>
      </c>
      <c r="T29" t="s">
        <v>315</v>
      </c>
      <c r="U29">
        <v>0.13494143144061624</v>
      </c>
      <c r="V29" t="s">
        <v>164</v>
      </c>
      <c r="AC29" t="s">
        <v>19</v>
      </c>
      <c r="AD29" t="s">
        <v>315</v>
      </c>
      <c r="AE29">
        <v>0.11475030858352744</v>
      </c>
      <c r="AK29">
        <v>2029</v>
      </c>
      <c r="AL29" t="s">
        <v>306</v>
      </c>
      <c r="AM29">
        <v>0.34410000000000002</v>
      </c>
      <c r="AN29" t="s">
        <v>253</v>
      </c>
    </row>
    <row r="30" spans="9:40" x14ac:dyDescent="0.45">
      <c r="I30" t="s">
        <v>176</v>
      </c>
      <c r="J30" t="s">
        <v>316</v>
      </c>
      <c r="K30">
        <v>0</v>
      </c>
      <c r="L30" t="s">
        <v>164</v>
      </c>
      <c r="N30" t="s">
        <v>209</v>
      </c>
      <c r="O30" t="s">
        <v>316</v>
      </c>
      <c r="P30">
        <v>3.6311428375145331E-2</v>
      </c>
      <c r="Q30" t="s">
        <v>164</v>
      </c>
      <c r="S30" t="s">
        <v>229</v>
      </c>
      <c r="T30" t="s">
        <v>316</v>
      </c>
      <c r="U30">
        <v>0.12261008618987596</v>
      </c>
      <c r="V30" t="s">
        <v>164</v>
      </c>
      <c r="AC30" t="s">
        <v>19</v>
      </c>
      <c r="AD30" t="s">
        <v>316</v>
      </c>
      <c r="AE30">
        <v>0.11618382323710282</v>
      </c>
      <c r="AK30">
        <v>2029</v>
      </c>
      <c r="AL30" t="s">
        <v>308</v>
      </c>
      <c r="AM30">
        <v>0.42399999999999999</v>
      </c>
      <c r="AN30" t="s">
        <v>253</v>
      </c>
    </row>
    <row r="31" spans="9:40" x14ac:dyDescent="0.45">
      <c r="I31" t="s">
        <v>176</v>
      </c>
      <c r="J31" t="s">
        <v>317</v>
      </c>
      <c r="K31">
        <v>2.1425205489050018E-2</v>
      </c>
      <c r="L31" t="s">
        <v>164</v>
      </c>
      <c r="N31" t="s">
        <v>209</v>
      </c>
      <c r="O31" t="s">
        <v>317</v>
      </c>
      <c r="P31">
        <v>3.4928196637433696E-3</v>
      </c>
      <c r="Q31" t="s">
        <v>164</v>
      </c>
      <c r="S31" t="s">
        <v>229</v>
      </c>
      <c r="T31" t="s">
        <v>317</v>
      </c>
      <c r="U31">
        <v>3.5044559046135265E-2</v>
      </c>
      <c r="V31" t="s">
        <v>164</v>
      </c>
      <c r="AC31" t="s">
        <v>19</v>
      </c>
      <c r="AD31" t="s">
        <v>317</v>
      </c>
      <c r="AE31">
        <v>2.1233710809481065E-2</v>
      </c>
      <c r="AK31">
        <v>2030</v>
      </c>
      <c r="AL31" t="s">
        <v>303</v>
      </c>
      <c r="AM31">
        <v>0.41926666666666668</v>
      </c>
      <c r="AN31" t="s">
        <v>253</v>
      </c>
    </row>
    <row r="32" spans="9:40" x14ac:dyDescent="0.45">
      <c r="I32" t="s">
        <v>176</v>
      </c>
      <c r="J32" t="s">
        <v>318</v>
      </c>
      <c r="K32">
        <v>0.21086424281812211</v>
      </c>
      <c r="L32" t="s">
        <v>164</v>
      </c>
      <c r="N32" t="s">
        <v>209</v>
      </c>
      <c r="O32" t="s">
        <v>318</v>
      </c>
      <c r="P32">
        <v>0.34463854861196203</v>
      </c>
      <c r="Q32" t="s">
        <v>164</v>
      </c>
      <c r="S32" t="s">
        <v>229</v>
      </c>
      <c r="T32" t="s">
        <v>318</v>
      </c>
      <c r="U32">
        <v>0.14003808168452109</v>
      </c>
      <c r="V32" t="s">
        <v>164</v>
      </c>
      <c r="AC32" t="s">
        <v>19</v>
      </c>
      <c r="AD32" t="s">
        <v>318</v>
      </c>
      <c r="AE32">
        <v>0.11239079454472059</v>
      </c>
      <c r="AK32">
        <v>2030</v>
      </c>
      <c r="AL32" t="s">
        <v>305</v>
      </c>
      <c r="AM32">
        <v>0.34406666666666669</v>
      </c>
      <c r="AN32" t="s">
        <v>253</v>
      </c>
    </row>
    <row r="33" spans="9:40" x14ac:dyDescent="0.45">
      <c r="I33" t="s">
        <v>176</v>
      </c>
      <c r="J33" t="s">
        <v>319</v>
      </c>
      <c r="K33">
        <v>0</v>
      </c>
      <c r="L33" t="s">
        <v>164</v>
      </c>
      <c r="N33" t="s">
        <v>209</v>
      </c>
      <c r="O33" t="s">
        <v>319</v>
      </c>
      <c r="P33">
        <v>0.29320451353691129</v>
      </c>
      <c r="Q33" t="s">
        <v>164</v>
      </c>
      <c r="S33" t="s">
        <v>229</v>
      </c>
      <c r="T33" t="s">
        <v>319</v>
      </c>
      <c r="U33">
        <v>0.11552388642933425</v>
      </c>
      <c r="V33" t="s">
        <v>164</v>
      </c>
      <c r="AC33" t="s">
        <v>19</v>
      </c>
      <c r="AD33" t="s">
        <v>319</v>
      </c>
      <c r="AE33">
        <v>0.11343539960980263</v>
      </c>
      <c r="AK33">
        <v>2030</v>
      </c>
      <c r="AL33" t="s">
        <v>306</v>
      </c>
      <c r="AM33">
        <v>0.3347</v>
      </c>
      <c r="AN33" t="s">
        <v>253</v>
      </c>
    </row>
    <row r="34" spans="9:40" x14ac:dyDescent="0.45">
      <c r="I34" t="s">
        <v>176</v>
      </c>
      <c r="J34" t="s">
        <v>320</v>
      </c>
      <c r="K34">
        <v>2.8187780615081953E-2</v>
      </c>
      <c r="L34" t="s">
        <v>164</v>
      </c>
      <c r="N34" t="s">
        <v>209</v>
      </c>
      <c r="O34" t="s">
        <v>320</v>
      </c>
      <c r="P34">
        <v>3.3130952131787961E-2</v>
      </c>
      <c r="Q34" t="s">
        <v>164</v>
      </c>
      <c r="S34" t="s">
        <v>229</v>
      </c>
      <c r="T34" t="s">
        <v>320</v>
      </c>
      <c r="U34">
        <v>3.0802394513271918E-2</v>
      </c>
      <c r="V34" t="s">
        <v>164</v>
      </c>
      <c r="AC34" t="s">
        <v>19</v>
      </c>
      <c r="AD34" t="s">
        <v>320</v>
      </c>
      <c r="AE34">
        <v>2.0563899659068581E-2</v>
      </c>
      <c r="AK34">
        <v>2030</v>
      </c>
      <c r="AL34" t="s">
        <v>308</v>
      </c>
      <c r="AM34">
        <v>0.43919999999999998</v>
      </c>
      <c r="AN34" t="s">
        <v>253</v>
      </c>
    </row>
    <row r="35" spans="9:40" x14ac:dyDescent="0.45">
      <c r="I35" t="s">
        <v>177</v>
      </c>
      <c r="J35" t="s">
        <v>309</v>
      </c>
      <c r="K35">
        <v>0.25813035181267985</v>
      </c>
      <c r="L35" t="s">
        <v>164</v>
      </c>
      <c r="N35" t="s">
        <v>210</v>
      </c>
      <c r="O35" t="s">
        <v>309</v>
      </c>
      <c r="P35">
        <v>2.3635107129739173E-2</v>
      </c>
      <c r="Q35" t="s">
        <v>164</v>
      </c>
      <c r="S35" t="s">
        <v>230</v>
      </c>
      <c r="T35" t="s">
        <v>309</v>
      </c>
      <c r="U35">
        <v>4.6421080094401102E-2</v>
      </c>
      <c r="V35" t="s">
        <v>164</v>
      </c>
      <c r="AK35">
        <v>2031</v>
      </c>
      <c r="AL35" t="s">
        <v>303</v>
      </c>
      <c r="AM35">
        <v>0.41430000000000006</v>
      </c>
      <c r="AN35" t="s">
        <v>253</v>
      </c>
    </row>
    <row r="36" spans="9:40" x14ac:dyDescent="0.45">
      <c r="I36" t="s">
        <v>177</v>
      </c>
      <c r="J36" t="s">
        <v>310</v>
      </c>
      <c r="K36">
        <v>0</v>
      </c>
      <c r="L36" t="s">
        <v>164</v>
      </c>
      <c r="N36" t="s">
        <v>210</v>
      </c>
      <c r="O36" t="s">
        <v>310</v>
      </c>
      <c r="P36">
        <v>6.3902438043917653E-2</v>
      </c>
      <c r="Q36" t="s">
        <v>164</v>
      </c>
      <c r="S36" t="s">
        <v>230</v>
      </c>
      <c r="T36" t="s">
        <v>310</v>
      </c>
      <c r="U36">
        <v>6.2975323978388481E-2</v>
      </c>
      <c r="V36" t="s">
        <v>164</v>
      </c>
      <c r="AK36">
        <v>2031</v>
      </c>
      <c r="AL36" t="s">
        <v>305</v>
      </c>
      <c r="AM36">
        <v>0.35076666666666667</v>
      </c>
      <c r="AN36" t="s">
        <v>253</v>
      </c>
    </row>
    <row r="37" spans="9:40" x14ac:dyDescent="0.45">
      <c r="I37" t="s">
        <v>177</v>
      </c>
      <c r="J37" t="s">
        <v>311</v>
      </c>
      <c r="K37">
        <v>2.5198648824552333E-2</v>
      </c>
      <c r="L37" t="s">
        <v>164</v>
      </c>
      <c r="N37" t="s">
        <v>210</v>
      </c>
      <c r="O37" t="s">
        <v>311</v>
      </c>
      <c r="P37">
        <v>1.0233609723651955E-2</v>
      </c>
      <c r="Q37" t="s">
        <v>164</v>
      </c>
      <c r="S37" t="s">
        <v>230</v>
      </c>
      <c r="T37" t="s">
        <v>311</v>
      </c>
      <c r="U37">
        <v>9.7564633940577343E-3</v>
      </c>
      <c r="V37" t="s">
        <v>164</v>
      </c>
      <c r="AK37">
        <v>2031</v>
      </c>
      <c r="AL37" t="s">
        <v>306</v>
      </c>
      <c r="AM37">
        <v>0.32603333333333334</v>
      </c>
      <c r="AN37" t="s">
        <v>253</v>
      </c>
    </row>
    <row r="38" spans="9:40" x14ac:dyDescent="0.45">
      <c r="I38" t="s">
        <v>177</v>
      </c>
      <c r="J38" t="s">
        <v>312</v>
      </c>
      <c r="K38">
        <v>0.21895403358652199</v>
      </c>
      <c r="L38" t="s">
        <v>164</v>
      </c>
      <c r="N38" t="s">
        <v>210</v>
      </c>
      <c r="O38" t="s">
        <v>312</v>
      </c>
      <c r="P38">
        <v>9.3308528120200351E-2</v>
      </c>
      <c r="Q38" t="s">
        <v>164</v>
      </c>
      <c r="S38" t="s">
        <v>230</v>
      </c>
      <c r="T38" t="s">
        <v>312</v>
      </c>
      <c r="U38">
        <v>0.12141230891572355</v>
      </c>
      <c r="V38" t="s">
        <v>164</v>
      </c>
      <c r="AK38">
        <v>2031</v>
      </c>
      <c r="AL38" t="s">
        <v>308</v>
      </c>
      <c r="AM38">
        <v>0.45319999999999999</v>
      </c>
      <c r="AN38" t="s">
        <v>253</v>
      </c>
    </row>
    <row r="39" spans="9:40" x14ac:dyDescent="0.45">
      <c r="I39" t="s">
        <v>177</v>
      </c>
      <c r="J39" t="s">
        <v>313</v>
      </c>
      <c r="K39">
        <v>0</v>
      </c>
      <c r="L39" t="s">
        <v>164</v>
      </c>
      <c r="N39" t="s">
        <v>210</v>
      </c>
      <c r="O39" t="s">
        <v>313</v>
      </c>
      <c r="P39">
        <v>0.16501479063152119</v>
      </c>
      <c r="Q39" t="s">
        <v>164</v>
      </c>
      <c r="S39" t="s">
        <v>230</v>
      </c>
      <c r="T39" t="s">
        <v>313</v>
      </c>
      <c r="U39">
        <v>0.13496877859273382</v>
      </c>
      <c r="V39" t="s">
        <v>164</v>
      </c>
      <c r="AK39">
        <v>2032</v>
      </c>
      <c r="AL39" t="s">
        <v>303</v>
      </c>
      <c r="AM39">
        <v>0.4230666666666667</v>
      </c>
      <c r="AN39" t="s">
        <v>253</v>
      </c>
    </row>
    <row r="40" spans="9:40" x14ac:dyDescent="0.45">
      <c r="I40" t="s">
        <v>177</v>
      </c>
      <c r="J40" t="s">
        <v>314</v>
      </c>
      <c r="K40">
        <v>2.3268677407330542E-2</v>
      </c>
      <c r="L40" t="s">
        <v>164</v>
      </c>
      <c r="N40" t="s">
        <v>210</v>
      </c>
      <c r="O40" t="s">
        <v>314</v>
      </c>
      <c r="P40">
        <v>2.9493313366707845E-2</v>
      </c>
      <c r="Q40" t="s">
        <v>164</v>
      </c>
      <c r="S40" t="s">
        <v>230</v>
      </c>
      <c r="T40" t="s">
        <v>314</v>
      </c>
      <c r="U40">
        <v>2.4740755716937853E-2</v>
      </c>
      <c r="V40" t="s">
        <v>164</v>
      </c>
      <c r="AK40">
        <v>2032</v>
      </c>
      <c r="AL40" t="s">
        <v>305</v>
      </c>
      <c r="AM40">
        <v>0.34626666666666672</v>
      </c>
      <c r="AN40" t="s">
        <v>253</v>
      </c>
    </row>
    <row r="41" spans="9:40" x14ac:dyDescent="0.45">
      <c r="I41" t="s">
        <v>177</v>
      </c>
      <c r="J41" t="s">
        <v>315</v>
      </c>
      <c r="K41">
        <v>0.19752832615698918</v>
      </c>
      <c r="L41" t="s">
        <v>164</v>
      </c>
      <c r="N41" t="s">
        <v>210</v>
      </c>
      <c r="O41" t="s">
        <v>315</v>
      </c>
      <c r="P41">
        <v>6.9040057908673375E-2</v>
      </c>
      <c r="Q41" t="s">
        <v>164</v>
      </c>
      <c r="S41" t="s">
        <v>230</v>
      </c>
      <c r="T41" t="s">
        <v>315</v>
      </c>
      <c r="U41">
        <v>0.12373415838746925</v>
      </c>
      <c r="V41" t="s">
        <v>164</v>
      </c>
      <c r="AK41">
        <v>2032</v>
      </c>
      <c r="AL41" t="s">
        <v>306</v>
      </c>
      <c r="AM41">
        <v>0.33366666666666661</v>
      </c>
      <c r="AN41" t="s">
        <v>253</v>
      </c>
    </row>
    <row r="42" spans="9:40" x14ac:dyDescent="0.45">
      <c r="I42" t="s">
        <v>177</v>
      </c>
      <c r="J42" t="s">
        <v>316</v>
      </c>
      <c r="K42">
        <v>0</v>
      </c>
      <c r="L42" t="s">
        <v>164</v>
      </c>
      <c r="N42" t="s">
        <v>210</v>
      </c>
      <c r="O42" t="s">
        <v>316</v>
      </c>
      <c r="P42">
        <v>0.13631385304823235</v>
      </c>
      <c r="Q42" t="s">
        <v>164</v>
      </c>
      <c r="S42" t="s">
        <v>230</v>
      </c>
      <c r="T42" t="s">
        <v>316</v>
      </c>
      <c r="U42">
        <v>0.14396523996942032</v>
      </c>
      <c r="V42" t="s">
        <v>164</v>
      </c>
      <c r="AK42">
        <v>2032</v>
      </c>
      <c r="AL42" t="s">
        <v>308</v>
      </c>
      <c r="AM42">
        <v>0.42450000000000004</v>
      </c>
      <c r="AN42" t="s">
        <v>253</v>
      </c>
    </row>
    <row r="43" spans="9:40" x14ac:dyDescent="0.45">
      <c r="I43" t="s">
        <v>177</v>
      </c>
      <c r="J43" t="s">
        <v>317</v>
      </c>
      <c r="K43">
        <v>2.2256299686149159E-2</v>
      </c>
      <c r="L43" t="s">
        <v>164</v>
      </c>
      <c r="N43" t="s">
        <v>210</v>
      </c>
      <c r="O43" t="s">
        <v>317</v>
      </c>
      <c r="P43">
        <v>2.3976977051702493E-2</v>
      </c>
      <c r="Q43" t="s">
        <v>164</v>
      </c>
      <c r="S43" t="s">
        <v>230</v>
      </c>
      <c r="T43" t="s">
        <v>317</v>
      </c>
      <c r="U43">
        <v>2.4535419344113241E-2</v>
      </c>
      <c r="V43" t="s">
        <v>164</v>
      </c>
      <c r="AK43">
        <v>2033</v>
      </c>
      <c r="AL43" t="s">
        <v>303</v>
      </c>
      <c r="AM43">
        <v>0.43576666666666664</v>
      </c>
      <c r="AN43" t="s">
        <v>253</v>
      </c>
    </row>
    <row r="44" spans="9:40" x14ac:dyDescent="0.45">
      <c r="I44" t="s">
        <v>177</v>
      </c>
      <c r="J44" t="s">
        <v>318</v>
      </c>
      <c r="K44">
        <v>0.22853614227035318</v>
      </c>
      <c r="L44" t="s">
        <v>164</v>
      </c>
      <c r="N44" t="s">
        <v>210</v>
      </c>
      <c r="O44" t="s">
        <v>318</v>
      </c>
      <c r="P44">
        <v>0.14109821222733021</v>
      </c>
      <c r="Q44" t="s">
        <v>164</v>
      </c>
      <c r="S44" t="s">
        <v>230</v>
      </c>
      <c r="T44" t="s">
        <v>318</v>
      </c>
      <c r="U44">
        <v>0.13580667039720837</v>
      </c>
      <c r="V44" t="s">
        <v>164</v>
      </c>
      <c r="AK44">
        <v>2033</v>
      </c>
      <c r="AL44" t="s">
        <v>305</v>
      </c>
      <c r="AM44">
        <v>0.3362</v>
      </c>
      <c r="AN44" t="s">
        <v>253</v>
      </c>
    </row>
    <row r="45" spans="9:40" x14ac:dyDescent="0.45">
      <c r="I45" t="s">
        <v>177</v>
      </c>
      <c r="J45" t="s">
        <v>319</v>
      </c>
      <c r="K45">
        <v>0</v>
      </c>
      <c r="L45" t="s">
        <v>164</v>
      </c>
      <c r="N45" t="s">
        <v>210</v>
      </c>
      <c r="O45" t="s">
        <v>319</v>
      </c>
      <c r="P45">
        <v>0.20256290614728129</v>
      </c>
      <c r="Q45" t="s">
        <v>164</v>
      </c>
      <c r="S45" t="s">
        <v>230</v>
      </c>
      <c r="T45" t="s">
        <v>319</v>
      </c>
      <c r="U45">
        <v>0.14530985395245705</v>
      </c>
      <c r="V45" t="s">
        <v>164</v>
      </c>
      <c r="AK45">
        <v>2033</v>
      </c>
      <c r="AL45" t="s">
        <v>306</v>
      </c>
      <c r="AM45">
        <v>0.32673333333333332</v>
      </c>
      <c r="AN45" t="s">
        <v>253</v>
      </c>
    </row>
    <row r="46" spans="9:40" x14ac:dyDescent="0.45">
      <c r="I46" t="s">
        <v>177</v>
      </c>
      <c r="J46" t="s">
        <v>320</v>
      </c>
      <c r="K46">
        <v>2.6127520255424631E-2</v>
      </c>
      <c r="L46" t="s">
        <v>164</v>
      </c>
      <c r="N46" t="s">
        <v>210</v>
      </c>
      <c r="O46" t="s">
        <v>320</v>
      </c>
      <c r="P46">
        <v>4.1420206601045201E-2</v>
      </c>
      <c r="Q46" t="s">
        <v>164</v>
      </c>
      <c r="S46" t="s">
        <v>230</v>
      </c>
      <c r="T46" t="s">
        <v>320</v>
      </c>
      <c r="U46">
        <v>2.6373947257089848E-2</v>
      </c>
      <c r="V46" t="s">
        <v>164</v>
      </c>
      <c r="AK46">
        <v>2033</v>
      </c>
      <c r="AL46" t="s">
        <v>308</v>
      </c>
      <c r="AM46">
        <v>0.46100000000000002</v>
      </c>
      <c r="AN46" t="s">
        <v>253</v>
      </c>
    </row>
    <row r="47" spans="9:40" x14ac:dyDescent="0.45">
      <c r="I47" t="s">
        <v>178</v>
      </c>
      <c r="J47" t="s">
        <v>309</v>
      </c>
      <c r="K47">
        <v>0.249867341646864</v>
      </c>
      <c r="L47" t="s">
        <v>164</v>
      </c>
      <c r="N47" t="s">
        <v>211</v>
      </c>
      <c r="O47" t="s">
        <v>309</v>
      </c>
      <c r="P47">
        <v>1.9347124981359577E-2</v>
      </c>
      <c r="Q47" t="s">
        <v>164</v>
      </c>
      <c r="S47" t="s">
        <v>231</v>
      </c>
      <c r="T47" t="s">
        <v>309</v>
      </c>
      <c r="U47">
        <v>6.4536927697354168E-2</v>
      </c>
      <c r="V47" t="s">
        <v>164</v>
      </c>
      <c r="AK47">
        <v>2034</v>
      </c>
      <c r="AL47" t="s">
        <v>303</v>
      </c>
      <c r="AM47">
        <v>0.41230000000000006</v>
      </c>
      <c r="AN47" t="s">
        <v>253</v>
      </c>
    </row>
    <row r="48" spans="9:40" x14ac:dyDescent="0.45">
      <c r="I48" t="s">
        <v>178</v>
      </c>
      <c r="J48" t="s">
        <v>310</v>
      </c>
      <c r="K48">
        <v>0</v>
      </c>
      <c r="L48" t="s">
        <v>164</v>
      </c>
      <c r="N48" t="s">
        <v>211</v>
      </c>
      <c r="O48" t="s">
        <v>310</v>
      </c>
      <c r="P48">
        <v>8.3027702152014771E-2</v>
      </c>
      <c r="Q48" t="s">
        <v>164</v>
      </c>
      <c r="S48" t="s">
        <v>231</v>
      </c>
      <c r="T48" t="s">
        <v>310</v>
      </c>
      <c r="U48">
        <v>8.7618643484625697E-2</v>
      </c>
      <c r="V48" t="s">
        <v>164</v>
      </c>
      <c r="AK48">
        <v>2034</v>
      </c>
      <c r="AL48" t="s">
        <v>305</v>
      </c>
      <c r="AM48">
        <v>0.3795</v>
      </c>
      <c r="AN48" t="s">
        <v>253</v>
      </c>
    </row>
    <row r="49" spans="9:40" x14ac:dyDescent="0.45">
      <c r="I49" t="s">
        <v>178</v>
      </c>
      <c r="J49" t="s">
        <v>311</v>
      </c>
      <c r="K49">
        <v>2.970562234002104E-2</v>
      </c>
      <c r="L49" t="s">
        <v>164</v>
      </c>
      <c r="N49" t="s">
        <v>211</v>
      </c>
      <c r="O49" t="s">
        <v>311</v>
      </c>
      <c r="P49">
        <v>1.1188802782088395E-2</v>
      </c>
      <c r="Q49" t="s">
        <v>164</v>
      </c>
      <c r="S49" t="s">
        <v>231</v>
      </c>
      <c r="T49" t="s">
        <v>311</v>
      </c>
      <c r="U49">
        <v>1.5622398107211662E-2</v>
      </c>
      <c r="V49" t="s">
        <v>164</v>
      </c>
      <c r="AK49">
        <v>2034</v>
      </c>
      <c r="AL49" t="s">
        <v>306</v>
      </c>
      <c r="AM49">
        <v>0.33163333333333328</v>
      </c>
      <c r="AN49" t="s">
        <v>253</v>
      </c>
    </row>
    <row r="50" spans="9:40" x14ac:dyDescent="0.45">
      <c r="I50" t="s">
        <v>178</v>
      </c>
      <c r="J50" t="s">
        <v>312</v>
      </c>
      <c r="K50">
        <v>0.22801734449439964</v>
      </c>
      <c r="L50" t="s">
        <v>164</v>
      </c>
      <c r="N50" t="s">
        <v>211</v>
      </c>
      <c r="O50" t="s">
        <v>312</v>
      </c>
      <c r="P50">
        <v>6.9411422409825119E-2</v>
      </c>
      <c r="Q50" t="s">
        <v>164</v>
      </c>
      <c r="S50" t="s">
        <v>231</v>
      </c>
      <c r="T50" t="s">
        <v>312</v>
      </c>
      <c r="U50">
        <v>0.11928181900592487</v>
      </c>
      <c r="V50" t="s">
        <v>164</v>
      </c>
      <c r="AK50">
        <v>2034</v>
      </c>
      <c r="AL50" t="s">
        <v>308</v>
      </c>
      <c r="AM50">
        <v>0.44593333333333335</v>
      </c>
      <c r="AN50" t="s">
        <v>253</v>
      </c>
    </row>
    <row r="51" spans="9:40" x14ac:dyDescent="0.45">
      <c r="I51" t="s">
        <v>178</v>
      </c>
      <c r="J51" t="s">
        <v>313</v>
      </c>
      <c r="K51">
        <v>0</v>
      </c>
      <c r="L51" t="s">
        <v>164</v>
      </c>
      <c r="N51" t="s">
        <v>211</v>
      </c>
      <c r="O51" t="s">
        <v>313</v>
      </c>
      <c r="P51">
        <v>0.20582601449063562</v>
      </c>
      <c r="Q51" t="s">
        <v>164</v>
      </c>
      <c r="S51" t="s">
        <v>231</v>
      </c>
      <c r="T51" t="s">
        <v>313</v>
      </c>
      <c r="U51">
        <v>0.14076976149488754</v>
      </c>
      <c r="V51" t="s">
        <v>164</v>
      </c>
      <c r="AK51">
        <v>2035</v>
      </c>
      <c r="AL51" t="s">
        <v>303</v>
      </c>
      <c r="AM51">
        <v>0.40873333333333334</v>
      </c>
      <c r="AN51" t="s">
        <v>253</v>
      </c>
    </row>
    <row r="52" spans="9:40" x14ac:dyDescent="0.45">
      <c r="I52" t="s">
        <v>178</v>
      </c>
      <c r="J52" t="s">
        <v>314</v>
      </c>
      <c r="K52">
        <v>3.0264044024325743E-2</v>
      </c>
      <c r="L52" t="s">
        <v>164</v>
      </c>
      <c r="N52" t="s">
        <v>211</v>
      </c>
      <c r="O52" t="s">
        <v>314</v>
      </c>
      <c r="P52">
        <v>2.1853691715344594E-2</v>
      </c>
      <c r="Q52" t="s">
        <v>164</v>
      </c>
      <c r="S52" t="s">
        <v>231</v>
      </c>
      <c r="T52" t="s">
        <v>314</v>
      </c>
      <c r="U52">
        <v>2.4522034845005005E-2</v>
      </c>
      <c r="V52" t="s">
        <v>164</v>
      </c>
      <c r="AK52">
        <v>2035</v>
      </c>
      <c r="AL52" t="s">
        <v>305</v>
      </c>
      <c r="AM52">
        <v>0.36133333333333334</v>
      </c>
      <c r="AN52" t="s">
        <v>253</v>
      </c>
    </row>
    <row r="53" spans="9:40" x14ac:dyDescent="0.45">
      <c r="I53" t="s">
        <v>178</v>
      </c>
      <c r="J53" t="s">
        <v>315</v>
      </c>
      <c r="K53">
        <v>0.19569551145830824</v>
      </c>
      <c r="L53" t="s">
        <v>164</v>
      </c>
      <c r="N53" t="s">
        <v>211</v>
      </c>
      <c r="O53" t="s">
        <v>315</v>
      </c>
      <c r="P53">
        <v>1.8069036396049006E-2</v>
      </c>
      <c r="Q53" t="s">
        <v>164</v>
      </c>
      <c r="S53" t="s">
        <v>231</v>
      </c>
      <c r="T53" t="s">
        <v>315</v>
      </c>
      <c r="U53">
        <v>0.10732497951943579</v>
      </c>
      <c r="V53" t="s">
        <v>164</v>
      </c>
      <c r="AK53">
        <v>2035</v>
      </c>
      <c r="AL53" t="s">
        <v>306</v>
      </c>
      <c r="AM53">
        <v>0.32316666666666666</v>
      </c>
      <c r="AN53" t="s">
        <v>253</v>
      </c>
    </row>
    <row r="54" spans="9:40" x14ac:dyDescent="0.45">
      <c r="I54" t="s">
        <v>178</v>
      </c>
      <c r="J54" t="s">
        <v>316</v>
      </c>
      <c r="K54">
        <v>9.688883975740112E-5</v>
      </c>
      <c r="L54" t="s">
        <v>164</v>
      </c>
      <c r="N54" t="s">
        <v>211</v>
      </c>
      <c r="O54" t="s">
        <v>316</v>
      </c>
      <c r="P54">
        <v>0.10426410504492206</v>
      </c>
      <c r="Q54" t="s">
        <v>164</v>
      </c>
      <c r="S54" t="s">
        <v>231</v>
      </c>
      <c r="T54" t="s">
        <v>316</v>
      </c>
      <c r="U54">
        <v>0.13587735280116392</v>
      </c>
      <c r="V54" t="s">
        <v>164</v>
      </c>
      <c r="AK54">
        <v>2035</v>
      </c>
      <c r="AL54" t="s">
        <v>308</v>
      </c>
      <c r="AM54">
        <v>0.43356666666666666</v>
      </c>
      <c r="AN54" t="s">
        <v>253</v>
      </c>
    </row>
    <row r="55" spans="9:40" x14ac:dyDescent="0.45">
      <c r="I55" t="s">
        <v>178</v>
      </c>
      <c r="J55" t="s">
        <v>317</v>
      </c>
      <c r="K55">
        <v>2.5877207960863322E-2</v>
      </c>
      <c r="L55" t="s">
        <v>164</v>
      </c>
      <c r="N55" t="s">
        <v>211</v>
      </c>
      <c r="O55" t="s">
        <v>317</v>
      </c>
      <c r="P55">
        <v>1.2214646157902929E-2</v>
      </c>
      <c r="Q55" t="s">
        <v>164</v>
      </c>
      <c r="S55" t="s">
        <v>231</v>
      </c>
      <c r="T55" t="s">
        <v>317</v>
      </c>
      <c r="U55">
        <v>2.4338664107663225E-2</v>
      </c>
      <c r="V55" t="s">
        <v>164</v>
      </c>
      <c r="AK55">
        <v>2036</v>
      </c>
      <c r="AL55" t="s">
        <v>303</v>
      </c>
      <c r="AM55">
        <v>0.42480000000000001</v>
      </c>
      <c r="AN55" t="s">
        <v>253</v>
      </c>
    </row>
    <row r="56" spans="9:40" x14ac:dyDescent="0.45">
      <c r="I56" t="s">
        <v>178</v>
      </c>
      <c r="J56" t="s">
        <v>318</v>
      </c>
      <c r="K56">
        <v>0.21041819308494805</v>
      </c>
      <c r="L56" t="s">
        <v>164</v>
      </c>
      <c r="N56" t="s">
        <v>211</v>
      </c>
      <c r="O56" t="s">
        <v>318</v>
      </c>
      <c r="P56">
        <v>0.11526364838122437</v>
      </c>
      <c r="Q56" t="s">
        <v>164</v>
      </c>
      <c r="S56" t="s">
        <v>231</v>
      </c>
      <c r="T56" t="s">
        <v>318</v>
      </c>
      <c r="U56">
        <v>0.11819490550817405</v>
      </c>
      <c r="V56" t="s">
        <v>164</v>
      </c>
      <c r="AK56">
        <v>2036</v>
      </c>
      <c r="AL56" t="s">
        <v>305</v>
      </c>
      <c r="AM56">
        <v>0.35533333333333333</v>
      </c>
      <c r="AN56" t="s">
        <v>253</v>
      </c>
    </row>
    <row r="57" spans="9:40" x14ac:dyDescent="0.45">
      <c r="I57" t="s">
        <v>178</v>
      </c>
      <c r="J57" t="s">
        <v>319</v>
      </c>
      <c r="K57">
        <v>0</v>
      </c>
      <c r="L57" t="s">
        <v>164</v>
      </c>
      <c r="N57" t="s">
        <v>211</v>
      </c>
      <c r="O57" t="s">
        <v>319</v>
      </c>
      <c r="P57">
        <v>0.299113016320042</v>
      </c>
      <c r="Q57" t="s">
        <v>164</v>
      </c>
      <c r="S57" t="s">
        <v>231</v>
      </c>
      <c r="T57" t="s">
        <v>319</v>
      </c>
      <c r="U57">
        <v>0.13835648674947928</v>
      </c>
      <c r="V57" t="s">
        <v>164</v>
      </c>
      <c r="AK57">
        <v>2036</v>
      </c>
      <c r="AL57" t="s">
        <v>306</v>
      </c>
      <c r="AM57">
        <v>0.33260000000000001</v>
      </c>
      <c r="AN57" t="s">
        <v>253</v>
      </c>
    </row>
    <row r="58" spans="9:40" x14ac:dyDescent="0.45">
      <c r="I58" t="s">
        <v>178</v>
      </c>
      <c r="J58" t="s">
        <v>320</v>
      </c>
      <c r="K58">
        <v>3.0057846150511599E-2</v>
      </c>
      <c r="L58" t="s">
        <v>164</v>
      </c>
      <c r="N58" t="s">
        <v>211</v>
      </c>
      <c r="O58" t="s">
        <v>320</v>
      </c>
      <c r="P58">
        <v>4.0420789168595934E-2</v>
      </c>
      <c r="Q58" t="s">
        <v>164</v>
      </c>
      <c r="S58" t="s">
        <v>231</v>
      </c>
      <c r="T58" t="s">
        <v>320</v>
      </c>
      <c r="U58">
        <v>2.355602667907342E-2</v>
      </c>
      <c r="V58" t="s">
        <v>164</v>
      </c>
      <c r="AK58">
        <v>2036</v>
      </c>
      <c r="AL58" t="s">
        <v>308</v>
      </c>
      <c r="AM58">
        <v>0.42896666666666666</v>
      </c>
      <c r="AN58" t="s">
        <v>253</v>
      </c>
    </row>
    <row r="59" spans="9:40" x14ac:dyDescent="0.45">
      <c r="I59" t="s">
        <v>179</v>
      </c>
      <c r="J59" t="s">
        <v>309</v>
      </c>
      <c r="K59">
        <v>0.25843945138922292</v>
      </c>
      <c r="L59" t="s">
        <v>164</v>
      </c>
      <c r="N59" t="s">
        <v>212</v>
      </c>
      <c r="O59" t="s">
        <v>309</v>
      </c>
      <c r="P59">
        <v>6.9345327048732877E-2</v>
      </c>
      <c r="Q59" t="s">
        <v>164</v>
      </c>
      <c r="S59" t="s">
        <v>232</v>
      </c>
      <c r="T59" t="s">
        <v>309</v>
      </c>
      <c r="U59">
        <v>7.0584876986866774E-2</v>
      </c>
      <c r="V59" t="s">
        <v>164</v>
      </c>
      <c r="AK59">
        <v>2037</v>
      </c>
      <c r="AL59" t="s">
        <v>303</v>
      </c>
      <c r="AM59">
        <v>0.41006666666666663</v>
      </c>
      <c r="AN59" t="s">
        <v>253</v>
      </c>
    </row>
    <row r="60" spans="9:40" x14ac:dyDescent="0.45">
      <c r="I60" t="s">
        <v>179</v>
      </c>
      <c r="J60" t="s">
        <v>310</v>
      </c>
      <c r="K60">
        <v>0</v>
      </c>
      <c r="L60" t="s">
        <v>164</v>
      </c>
      <c r="N60" t="s">
        <v>212</v>
      </c>
      <c r="O60" t="s">
        <v>310</v>
      </c>
      <c r="P60">
        <v>6.4824329132258746E-2</v>
      </c>
      <c r="Q60" t="s">
        <v>164</v>
      </c>
      <c r="S60" t="s">
        <v>232</v>
      </c>
      <c r="T60" t="s">
        <v>310</v>
      </c>
      <c r="U60">
        <v>9.6916869375862594E-2</v>
      </c>
      <c r="V60" t="s">
        <v>164</v>
      </c>
      <c r="AK60">
        <v>2037</v>
      </c>
      <c r="AL60" t="s">
        <v>305</v>
      </c>
      <c r="AM60">
        <v>0.35423333333333334</v>
      </c>
      <c r="AN60" t="s">
        <v>253</v>
      </c>
    </row>
    <row r="61" spans="9:40" x14ac:dyDescent="0.45">
      <c r="I61" t="s">
        <v>179</v>
      </c>
      <c r="J61" t="s">
        <v>311</v>
      </c>
      <c r="K61">
        <v>2.8107290562776017E-2</v>
      </c>
      <c r="L61" t="s">
        <v>164</v>
      </c>
      <c r="N61" t="s">
        <v>212</v>
      </c>
      <c r="O61" t="s">
        <v>311</v>
      </c>
      <c r="P61">
        <v>2.7484636280078703E-2</v>
      </c>
      <c r="Q61" t="s">
        <v>164</v>
      </c>
      <c r="S61" t="s">
        <v>232</v>
      </c>
      <c r="T61" t="s">
        <v>311</v>
      </c>
      <c r="U61">
        <v>1.4964711258900937E-2</v>
      </c>
      <c r="V61" t="s">
        <v>164</v>
      </c>
      <c r="AK61">
        <v>2037</v>
      </c>
      <c r="AL61" t="s">
        <v>306</v>
      </c>
      <c r="AM61">
        <v>0.32319999999999999</v>
      </c>
      <c r="AN61" t="s">
        <v>253</v>
      </c>
    </row>
    <row r="62" spans="9:40" x14ac:dyDescent="0.45">
      <c r="I62" t="s">
        <v>179</v>
      </c>
      <c r="J62" t="s">
        <v>312</v>
      </c>
      <c r="K62">
        <v>0.2242502517105989</v>
      </c>
      <c r="L62" t="s">
        <v>164</v>
      </c>
      <c r="N62" t="s">
        <v>212</v>
      </c>
      <c r="O62" t="s">
        <v>312</v>
      </c>
      <c r="P62">
        <v>0.12131009845785312</v>
      </c>
      <c r="Q62" t="s">
        <v>164</v>
      </c>
      <c r="S62" t="s">
        <v>232</v>
      </c>
      <c r="T62" t="s">
        <v>312</v>
      </c>
      <c r="U62">
        <v>0.12280648037124733</v>
      </c>
      <c r="V62" t="s">
        <v>164</v>
      </c>
      <c r="AK62">
        <v>2037</v>
      </c>
      <c r="AL62" t="s">
        <v>308</v>
      </c>
      <c r="AM62">
        <v>0.41433333333333339</v>
      </c>
      <c r="AN62" t="s">
        <v>253</v>
      </c>
    </row>
    <row r="63" spans="9:40" x14ac:dyDescent="0.45">
      <c r="I63" t="s">
        <v>179</v>
      </c>
      <c r="J63" t="s">
        <v>313</v>
      </c>
      <c r="K63">
        <v>0</v>
      </c>
      <c r="L63" t="s">
        <v>164</v>
      </c>
      <c r="N63" t="s">
        <v>212</v>
      </c>
      <c r="O63" t="s">
        <v>313</v>
      </c>
      <c r="P63">
        <v>0.10140650881537044</v>
      </c>
      <c r="Q63" t="s">
        <v>164</v>
      </c>
      <c r="S63" t="s">
        <v>232</v>
      </c>
      <c r="T63" t="s">
        <v>313</v>
      </c>
      <c r="U63">
        <v>0.15035532832466811</v>
      </c>
      <c r="V63" t="s">
        <v>164</v>
      </c>
      <c r="AK63">
        <v>2038</v>
      </c>
      <c r="AL63" t="s">
        <v>303</v>
      </c>
      <c r="AM63">
        <v>0.41993333333333333</v>
      </c>
      <c r="AN63" t="s">
        <v>253</v>
      </c>
    </row>
    <row r="64" spans="9:40" x14ac:dyDescent="0.45">
      <c r="I64" t="s">
        <v>179</v>
      </c>
      <c r="J64" t="s">
        <v>314</v>
      </c>
      <c r="K64">
        <v>2.6864965242874451E-2</v>
      </c>
      <c r="L64" t="s">
        <v>164</v>
      </c>
      <c r="N64" t="s">
        <v>212</v>
      </c>
      <c r="O64" t="s">
        <v>314</v>
      </c>
      <c r="P64">
        <v>4.8982791559896467E-2</v>
      </c>
      <c r="Q64" t="s">
        <v>164</v>
      </c>
      <c r="S64" t="s">
        <v>232</v>
      </c>
      <c r="T64" t="s">
        <v>314</v>
      </c>
      <c r="U64">
        <v>2.328470375648347E-2</v>
      </c>
      <c r="V64" t="s">
        <v>164</v>
      </c>
      <c r="AK64">
        <v>2038</v>
      </c>
      <c r="AL64" t="s">
        <v>305</v>
      </c>
      <c r="AM64">
        <v>0.36016666666666669</v>
      </c>
      <c r="AN64" t="s">
        <v>253</v>
      </c>
    </row>
    <row r="65" spans="9:40" x14ac:dyDescent="0.45">
      <c r="I65" t="s">
        <v>179</v>
      </c>
      <c r="J65" t="s">
        <v>315</v>
      </c>
      <c r="K65">
        <v>0.20417361017529403</v>
      </c>
      <c r="L65" t="s">
        <v>164</v>
      </c>
      <c r="N65" t="s">
        <v>212</v>
      </c>
      <c r="O65" t="s">
        <v>315</v>
      </c>
      <c r="P65">
        <v>6.7144691646869342E-2</v>
      </c>
      <c r="Q65" t="s">
        <v>164</v>
      </c>
      <c r="S65" t="s">
        <v>232</v>
      </c>
      <c r="T65" t="s">
        <v>315</v>
      </c>
      <c r="U65">
        <v>9.5414200777741834E-2</v>
      </c>
      <c r="V65" t="s">
        <v>164</v>
      </c>
      <c r="AK65">
        <v>2038</v>
      </c>
      <c r="AL65" t="s">
        <v>306</v>
      </c>
      <c r="AM65">
        <v>0.33290000000000003</v>
      </c>
      <c r="AN65" t="s">
        <v>253</v>
      </c>
    </row>
    <row r="66" spans="9:40" x14ac:dyDescent="0.45">
      <c r="I66" t="s">
        <v>179</v>
      </c>
      <c r="J66" t="s">
        <v>316</v>
      </c>
      <c r="K66">
        <v>0</v>
      </c>
      <c r="L66" t="s">
        <v>164</v>
      </c>
      <c r="N66" t="s">
        <v>212</v>
      </c>
      <c r="O66" t="s">
        <v>316</v>
      </c>
      <c r="P66">
        <v>6.0172429453799248E-2</v>
      </c>
      <c r="Q66" t="s">
        <v>164</v>
      </c>
      <c r="S66" t="s">
        <v>232</v>
      </c>
      <c r="T66" t="s">
        <v>316</v>
      </c>
      <c r="U66">
        <v>0.12422133783631366</v>
      </c>
      <c r="V66" t="s">
        <v>164</v>
      </c>
      <c r="AK66">
        <v>2038</v>
      </c>
      <c r="AL66" t="s">
        <v>308</v>
      </c>
      <c r="AM66">
        <v>0.42160000000000003</v>
      </c>
      <c r="AN66" t="s">
        <v>253</v>
      </c>
    </row>
    <row r="67" spans="9:40" x14ac:dyDescent="0.45">
      <c r="I67" t="s">
        <v>179</v>
      </c>
      <c r="J67" t="s">
        <v>317</v>
      </c>
      <c r="K67">
        <v>2.3907885158486353E-2</v>
      </c>
      <c r="L67" t="s">
        <v>164</v>
      </c>
      <c r="N67" t="s">
        <v>212</v>
      </c>
      <c r="O67" t="s">
        <v>317</v>
      </c>
      <c r="P67">
        <v>2.0854927269793027E-2</v>
      </c>
      <c r="Q67" t="s">
        <v>164</v>
      </c>
      <c r="S67" t="s">
        <v>232</v>
      </c>
      <c r="T67" t="s">
        <v>317</v>
      </c>
      <c r="U67">
        <v>2.0084985500449248E-2</v>
      </c>
      <c r="V67" t="s">
        <v>164</v>
      </c>
      <c r="AK67">
        <v>2039</v>
      </c>
      <c r="AL67" t="s">
        <v>303</v>
      </c>
      <c r="AM67">
        <v>0.43933333333333335</v>
      </c>
      <c r="AN67" t="s">
        <v>253</v>
      </c>
    </row>
    <row r="68" spans="9:40" x14ac:dyDescent="0.45">
      <c r="I68" t="s">
        <v>179</v>
      </c>
      <c r="J68" t="s">
        <v>318</v>
      </c>
      <c r="K68">
        <v>0.20682196449554918</v>
      </c>
      <c r="L68" t="s">
        <v>164</v>
      </c>
      <c r="N68" t="s">
        <v>212</v>
      </c>
      <c r="O68" t="s">
        <v>318</v>
      </c>
      <c r="P68">
        <v>0.16879616519335303</v>
      </c>
      <c r="Q68" t="s">
        <v>164</v>
      </c>
      <c r="S68" t="s">
        <v>232</v>
      </c>
      <c r="T68" t="s">
        <v>318</v>
      </c>
      <c r="U68">
        <v>0.11998489885753062</v>
      </c>
      <c r="V68" t="s">
        <v>164</v>
      </c>
      <c r="AK68">
        <v>2039</v>
      </c>
      <c r="AL68" t="s">
        <v>305</v>
      </c>
      <c r="AM68">
        <v>0.35659999999999997</v>
      </c>
      <c r="AN68" t="s">
        <v>253</v>
      </c>
    </row>
    <row r="69" spans="9:40" x14ac:dyDescent="0.45">
      <c r="I69" t="s">
        <v>179</v>
      </c>
      <c r="J69" t="s">
        <v>319</v>
      </c>
      <c r="K69">
        <v>0</v>
      </c>
      <c r="L69" t="s">
        <v>164</v>
      </c>
      <c r="N69" t="s">
        <v>212</v>
      </c>
      <c r="O69" t="s">
        <v>319</v>
      </c>
      <c r="P69">
        <v>0.18985866145359961</v>
      </c>
      <c r="Q69" t="s">
        <v>164</v>
      </c>
      <c r="S69" t="s">
        <v>232</v>
      </c>
      <c r="T69" t="s">
        <v>319</v>
      </c>
      <c r="U69">
        <v>0.13961654523502148</v>
      </c>
      <c r="V69" t="s">
        <v>164</v>
      </c>
      <c r="AK69">
        <v>2039</v>
      </c>
      <c r="AL69" t="s">
        <v>306</v>
      </c>
      <c r="AM69">
        <v>0.33860000000000001</v>
      </c>
      <c r="AN69" t="s">
        <v>253</v>
      </c>
    </row>
    <row r="70" spans="9:40" x14ac:dyDescent="0.45">
      <c r="I70" t="s">
        <v>179</v>
      </c>
      <c r="J70" t="s">
        <v>320</v>
      </c>
      <c r="K70">
        <v>2.7434581265198533E-2</v>
      </c>
      <c r="L70" t="s">
        <v>164</v>
      </c>
      <c r="N70" t="s">
        <v>212</v>
      </c>
      <c r="O70" t="s">
        <v>320</v>
      </c>
      <c r="P70">
        <v>5.9819433688400189E-2</v>
      </c>
      <c r="Q70" t="s">
        <v>164</v>
      </c>
      <c r="S70" t="s">
        <v>232</v>
      </c>
      <c r="T70" t="s">
        <v>320</v>
      </c>
      <c r="U70">
        <v>2.1765061718914531E-2</v>
      </c>
      <c r="V70" t="s">
        <v>164</v>
      </c>
      <c r="AK70">
        <v>2039</v>
      </c>
      <c r="AL70" t="s">
        <v>308</v>
      </c>
      <c r="AM70">
        <v>0.41943333333333332</v>
      </c>
      <c r="AN70" t="s">
        <v>253</v>
      </c>
    </row>
    <row r="71" spans="9:40" x14ac:dyDescent="0.45">
      <c r="I71" t="s">
        <v>180</v>
      </c>
      <c r="J71" t="s">
        <v>309</v>
      </c>
      <c r="K71">
        <v>0.23315677108267219</v>
      </c>
      <c r="L71" t="s">
        <v>164</v>
      </c>
      <c r="N71" t="s">
        <v>213</v>
      </c>
      <c r="O71" t="s">
        <v>309</v>
      </c>
      <c r="P71">
        <v>4.6273518297195344E-2</v>
      </c>
      <c r="Q71" t="s">
        <v>164</v>
      </c>
      <c r="S71" t="s">
        <v>233</v>
      </c>
      <c r="T71" t="s">
        <v>309</v>
      </c>
      <c r="U71">
        <v>6.6244211147749643E-2</v>
      </c>
      <c r="V71" t="s">
        <v>164</v>
      </c>
      <c r="AK71">
        <v>2040</v>
      </c>
      <c r="AL71" t="s">
        <v>303</v>
      </c>
      <c r="AM71">
        <v>0.42113333333333336</v>
      </c>
      <c r="AN71" t="s">
        <v>253</v>
      </c>
    </row>
    <row r="72" spans="9:40" x14ac:dyDescent="0.45">
      <c r="I72" t="s">
        <v>180</v>
      </c>
      <c r="J72" t="s">
        <v>310</v>
      </c>
      <c r="K72">
        <v>0</v>
      </c>
      <c r="L72" t="s">
        <v>164</v>
      </c>
      <c r="N72" t="s">
        <v>213</v>
      </c>
      <c r="O72" t="s">
        <v>310</v>
      </c>
      <c r="P72">
        <v>7.05530533682176E-2</v>
      </c>
      <c r="Q72" t="s">
        <v>164</v>
      </c>
      <c r="S72" t="s">
        <v>233</v>
      </c>
      <c r="T72" t="s">
        <v>310</v>
      </c>
      <c r="U72">
        <v>9.8043789700065803E-2</v>
      </c>
      <c r="V72" t="s">
        <v>164</v>
      </c>
      <c r="AK72">
        <v>2040</v>
      </c>
      <c r="AL72" t="s">
        <v>305</v>
      </c>
      <c r="AM72">
        <v>0.3329333333333333</v>
      </c>
      <c r="AN72" t="s">
        <v>253</v>
      </c>
    </row>
    <row r="73" spans="9:40" x14ac:dyDescent="0.45">
      <c r="I73" t="s">
        <v>180</v>
      </c>
      <c r="J73" t="s">
        <v>311</v>
      </c>
      <c r="K73">
        <v>2.426846930824066E-2</v>
      </c>
      <c r="L73" t="s">
        <v>164</v>
      </c>
      <c r="N73" t="s">
        <v>213</v>
      </c>
      <c r="O73" t="s">
        <v>311</v>
      </c>
      <c r="P73">
        <v>1.8925066049454813E-2</v>
      </c>
      <c r="Q73" t="s">
        <v>164</v>
      </c>
      <c r="S73" t="s">
        <v>233</v>
      </c>
      <c r="T73" t="s">
        <v>311</v>
      </c>
      <c r="U73">
        <v>1.7908577765333569E-2</v>
      </c>
      <c r="V73" t="s">
        <v>164</v>
      </c>
      <c r="AK73">
        <v>2040</v>
      </c>
      <c r="AL73" t="s">
        <v>306</v>
      </c>
      <c r="AM73">
        <v>0.32113333333333333</v>
      </c>
      <c r="AN73" t="s">
        <v>253</v>
      </c>
    </row>
    <row r="74" spans="9:40" x14ac:dyDescent="0.45">
      <c r="I74" t="s">
        <v>180</v>
      </c>
      <c r="J74" t="s">
        <v>312</v>
      </c>
      <c r="K74">
        <v>0.23492694646474946</v>
      </c>
      <c r="L74" t="s">
        <v>164</v>
      </c>
      <c r="N74" t="s">
        <v>213</v>
      </c>
      <c r="O74" t="s">
        <v>312</v>
      </c>
      <c r="P74">
        <v>9.3904256209307355E-2</v>
      </c>
      <c r="Q74" t="s">
        <v>164</v>
      </c>
      <c r="S74" t="s">
        <v>233</v>
      </c>
      <c r="T74" t="s">
        <v>312</v>
      </c>
      <c r="U74">
        <v>0.13549481636585328</v>
      </c>
      <c r="V74" t="s">
        <v>164</v>
      </c>
      <c r="AK74">
        <v>2040</v>
      </c>
      <c r="AL74" t="s">
        <v>308</v>
      </c>
      <c r="AM74">
        <v>0.4528666666666667</v>
      </c>
      <c r="AN74" t="s">
        <v>253</v>
      </c>
    </row>
    <row r="75" spans="9:40" x14ac:dyDescent="0.45">
      <c r="I75" t="s">
        <v>180</v>
      </c>
      <c r="J75" t="s">
        <v>313</v>
      </c>
      <c r="K75">
        <v>0</v>
      </c>
      <c r="L75" t="s">
        <v>164</v>
      </c>
      <c r="N75" t="s">
        <v>213</v>
      </c>
      <c r="O75" t="s">
        <v>313</v>
      </c>
      <c r="P75">
        <v>0.16680506192952649</v>
      </c>
      <c r="Q75" t="s">
        <v>164</v>
      </c>
      <c r="S75" t="s">
        <v>233</v>
      </c>
      <c r="T75" t="s">
        <v>313</v>
      </c>
      <c r="U75">
        <v>0.17397110367454904</v>
      </c>
      <c r="V75" t="s">
        <v>164</v>
      </c>
      <c r="AK75">
        <v>2041</v>
      </c>
      <c r="AL75" t="s">
        <v>303</v>
      </c>
      <c r="AM75">
        <v>0.4427666666666667</v>
      </c>
      <c r="AN75" t="s">
        <v>253</v>
      </c>
    </row>
    <row r="76" spans="9:40" x14ac:dyDescent="0.45">
      <c r="I76" t="s">
        <v>180</v>
      </c>
      <c r="J76" t="s">
        <v>314</v>
      </c>
      <c r="K76">
        <v>2.9685135494662056E-2</v>
      </c>
      <c r="L76" t="s">
        <v>164</v>
      </c>
      <c r="N76" t="s">
        <v>213</v>
      </c>
      <c r="O76" t="s">
        <v>314</v>
      </c>
      <c r="P76">
        <v>4.6452452973364207E-2</v>
      </c>
      <c r="Q76" t="s">
        <v>164</v>
      </c>
      <c r="S76" t="s">
        <v>233</v>
      </c>
      <c r="T76" t="s">
        <v>314</v>
      </c>
      <c r="U76">
        <v>3.2694155843407263E-2</v>
      </c>
      <c r="V76" t="s">
        <v>164</v>
      </c>
      <c r="AK76">
        <v>2041</v>
      </c>
      <c r="AL76" t="s">
        <v>305</v>
      </c>
      <c r="AM76">
        <v>0.36076666666666668</v>
      </c>
      <c r="AN76" t="s">
        <v>253</v>
      </c>
    </row>
    <row r="77" spans="9:40" x14ac:dyDescent="0.45">
      <c r="I77" t="s">
        <v>180</v>
      </c>
      <c r="J77" t="s">
        <v>315</v>
      </c>
      <c r="K77">
        <v>0.20467932666451444</v>
      </c>
      <c r="L77" t="s">
        <v>164</v>
      </c>
      <c r="N77" t="s">
        <v>213</v>
      </c>
      <c r="O77" t="s">
        <v>315</v>
      </c>
      <c r="P77">
        <v>5.0879679221354376E-2</v>
      </c>
      <c r="Q77" t="s">
        <v>164</v>
      </c>
      <c r="S77" t="s">
        <v>233</v>
      </c>
      <c r="T77" t="s">
        <v>315</v>
      </c>
      <c r="U77">
        <v>7.104226210370973E-2</v>
      </c>
      <c r="V77" t="s">
        <v>164</v>
      </c>
      <c r="AK77">
        <v>2041</v>
      </c>
      <c r="AL77" t="s">
        <v>306</v>
      </c>
      <c r="AM77">
        <v>0.32703333333333334</v>
      </c>
      <c r="AN77" t="s">
        <v>253</v>
      </c>
    </row>
    <row r="78" spans="9:40" x14ac:dyDescent="0.45">
      <c r="I78" t="s">
        <v>180</v>
      </c>
      <c r="J78" t="s">
        <v>316</v>
      </c>
      <c r="K78">
        <v>0</v>
      </c>
      <c r="L78" t="s">
        <v>164</v>
      </c>
      <c r="N78" t="s">
        <v>213</v>
      </c>
      <c r="O78" t="s">
        <v>316</v>
      </c>
      <c r="P78">
        <v>6.5345998042117936E-2</v>
      </c>
      <c r="Q78" t="s">
        <v>164</v>
      </c>
      <c r="S78" t="s">
        <v>233</v>
      </c>
      <c r="T78" t="s">
        <v>316</v>
      </c>
      <c r="U78">
        <v>0.10493338637421511</v>
      </c>
      <c r="V78" t="s">
        <v>164</v>
      </c>
      <c r="AK78">
        <v>2041</v>
      </c>
      <c r="AL78" t="s">
        <v>308</v>
      </c>
      <c r="AM78">
        <v>0.43429999999999996</v>
      </c>
      <c r="AN78" t="s">
        <v>253</v>
      </c>
    </row>
    <row r="79" spans="9:40" x14ac:dyDescent="0.45">
      <c r="I79" t="s">
        <v>180</v>
      </c>
      <c r="J79" t="s">
        <v>317</v>
      </c>
      <c r="K79">
        <v>2.4233909850728621E-2</v>
      </c>
      <c r="L79" t="s">
        <v>164</v>
      </c>
      <c r="N79" t="s">
        <v>213</v>
      </c>
      <c r="O79" t="s">
        <v>317</v>
      </c>
      <c r="P79">
        <v>1.6684856448217843E-2</v>
      </c>
      <c r="Q79" t="s">
        <v>164</v>
      </c>
      <c r="S79" t="s">
        <v>233</v>
      </c>
      <c r="T79" t="s">
        <v>317</v>
      </c>
      <c r="U79">
        <v>1.9351083350786839E-2</v>
      </c>
      <c r="V79" t="s">
        <v>164</v>
      </c>
      <c r="AK79">
        <v>2042</v>
      </c>
      <c r="AL79" t="s">
        <v>303</v>
      </c>
      <c r="AM79">
        <v>0.41926666666666668</v>
      </c>
      <c r="AN79" t="s">
        <v>253</v>
      </c>
    </row>
    <row r="80" spans="9:40" x14ac:dyDescent="0.45">
      <c r="I80" t="s">
        <v>180</v>
      </c>
      <c r="J80" t="s">
        <v>318</v>
      </c>
      <c r="K80">
        <v>0.22018655366046702</v>
      </c>
      <c r="L80" t="s">
        <v>164</v>
      </c>
      <c r="N80" t="s">
        <v>213</v>
      </c>
      <c r="O80" t="s">
        <v>318</v>
      </c>
      <c r="P80">
        <v>0.1252690677501693</v>
      </c>
      <c r="Q80" t="s">
        <v>164</v>
      </c>
      <c r="S80" t="s">
        <v>233</v>
      </c>
      <c r="T80" t="s">
        <v>318</v>
      </c>
      <c r="U80">
        <v>0.11560485573780561</v>
      </c>
      <c r="V80" t="s">
        <v>164</v>
      </c>
      <c r="AK80">
        <v>2042</v>
      </c>
      <c r="AL80" t="s">
        <v>305</v>
      </c>
      <c r="AM80">
        <v>0.35136666666666666</v>
      </c>
      <c r="AN80" t="s">
        <v>253</v>
      </c>
    </row>
    <row r="81" spans="9:40" x14ac:dyDescent="0.45">
      <c r="I81" t="s">
        <v>180</v>
      </c>
      <c r="J81" t="s">
        <v>319</v>
      </c>
      <c r="K81">
        <v>0</v>
      </c>
      <c r="L81" t="s">
        <v>164</v>
      </c>
      <c r="N81" t="s">
        <v>213</v>
      </c>
      <c r="O81" t="s">
        <v>319</v>
      </c>
      <c r="P81">
        <v>0.22871654424092852</v>
      </c>
      <c r="Q81" t="s">
        <v>164</v>
      </c>
      <c r="S81" t="s">
        <v>233</v>
      </c>
      <c r="T81" t="s">
        <v>319</v>
      </c>
      <c r="U81">
        <v>0.13863430875012275</v>
      </c>
      <c r="V81" t="s">
        <v>164</v>
      </c>
      <c r="AK81">
        <v>2042</v>
      </c>
      <c r="AL81" t="s">
        <v>306</v>
      </c>
      <c r="AM81">
        <v>0.31833333333333336</v>
      </c>
      <c r="AN81" t="s">
        <v>253</v>
      </c>
    </row>
    <row r="82" spans="9:40" x14ac:dyDescent="0.45">
      <c r="I82" t="s">
        <v>180</v>
      </c>
      <c r="J82" t="s">
        <v>320</v>
      </c>
      <c r="K82">
        <v>2.8862887473969787E-2</v>
      </c>
      <c r="L82" t="s">
        <v>164</v>
      </c>
      <c r="N82" t="s">
        <v>213</v>
      </c>
      <c r="O82" t="s">
        <v>320</v>
      </c>
      <c r="P82">
        <v>7.019044547014347E-2</v>
      </c>
      <c r="Q82" t="s">
        <v>164</v>
      </c>
      <c r="S82" t="s">
        <v>233</v>
      </c>
      <c r="T82" t="s">
        <v>320</v>
      </c>
      <c r="U82">
        <v>2.6077449186402254E-2</v>
      </c>
      <c r="V82" t="s">
        <v>164</v>
      </c>
      <c r="AK82">
        <v>2042</v>
      </c>
      <c r="AL82" t="s">
        <v>308</v>
      </c>
      <c r="AM82">
        <v>0.44680000000000003</v>
      </c>
      <c r="AN82" t="s">
        <v>253</v>
      </c>
    </row>
    <row r="83" spans="9:40" x14ac:dyDescent="0.45">
      <c r="I83" t="s">
        <v>181</v>
      </c>
      <c r="J83" t="s">
        <v>309</v>
      </c>
      <c r="K83">
        <v>0.2318798999018665</v>
      </c>
      <c r="L83" t="s">
        <v>164</v>
      </c>
      <c r="N83" t="s">
        <v>214</v>
      </c>
      <c r="O83" t="s">
        <v>309</v>
      </c>
      <c r="P83">
        <v>4.2179910058461792E-2</v>
      </c>
      <c r="Q83" t="s">
        <v>164</v>
      </c>
      <c r="S83" t="s">
        <v>234</v>
      </c>
      <c r="T83" t="s">
        <v>309</v>
      </c>
      <c r="U83">
        <v>5.8191762448062609E-2</v>
      </c>
      <c r="V83" t="s">
        <v>164</v>
      </c>
      <c r="AK83">
        <v>2043</v>
      </c>
      <c r="AL83" t="s">
        <v>303</v>
      </c>
      <c r="AM83">
        <v>0.40086666666666665</v>
      </c>
      <c r="AN83" t="s">
        <v>253</v>
      </c>
    </row>
    <row r="84" spans="9:40" x14ac:dyDescent="0.45">
      <c r="I84" t="s">
        <v>181</v>
      </c>
      <c r="J84" t="s">
        <v>310</v>
      </c>
      <c r="K84">
        <v>0</v>
      </c>
      <c r="L84" t="s">
        <v>164</v>
      </c>
      <c r="N84" t="s">
        <v>214</v>
      </c>
      <c r="O84" t="s">
        <v>310</v>
      </c>
      <c r="P84">
        <v>6.7140678157457598E-2</v>
      </c>
      <c r="Q84" t="s">
        <v>164</v>
      </c>
      <c r="S84" t="s">
        <v>234</v>
      </c>
      <c r="T84" t="s">
        <v>310</v>
      </c>
      <c r="U84">
        <v>0.10550112582809493</v>
      </c>
      <c r="V84" t="s">
        <v>164</v>
      </c>
      <c r="AK84">
        <v>2043</v>
      </c>
      <c r="AL84" t="s">
        <v>305</v>
      </c>
      <c r="AM84">
        <v>0.34410000000000002</v>
      </c>
      <c r="AN84" t="s">
        <v>253</v>
      </c>
    </row>
    <row r="85" spans="9:40" x14ac:dyDescent="0.45">
      <c r="I85" t="s">
        <v>181</v>
      </c>
      <c r="J85" t="s">
        <v>311</v>
      </c>
      <c r="K85">
        <v>2.5022760816562902E-2</v>
      </c>
      <c r="L85" t="s">
        <v>164</v>
      </c>
      <c r="N85" t="s">
        <v>214</v>
      </c>
      <c r="O85" t="s">
        <v>311</v>
      </c>
      <c r="P85">
        <v>1.1153190471724972E-2</v>
      </c>
      <c r="Q85" t="s">
        <v>164</v>
      </c>
      <c r="S85" t="s">
        <v>234</v>
      </c>
      <c r="T85" t="s">
        <v>311</v>
      </c>
      <c r="U85">
        <v>1.563324090962389E-2</v>
      </c>
      <c r="V85" t="s">
        <v>164</v>
      </c>
      <c r="AK85">
        <v>2043</v>
      </c>
      <c r="AL85" t="s">
        <v>306</v>
      </c>
      <c r="AM85">
        <v>0.32986666666666664</v>
      </c>
      <c r="AN85" t="s">
        <v>253</v>
      </c>
    </row>
    <row r="86" spans="9:40" x14ac:dyDescent="0.45">
      <c r="I86" t="s">
        <v>181</v>
      </c>
      <c r="J86" t="s">
        <v>312</v>
      </c>
      <c r="K86">
        <v>0.23145800173644895</v>
      </c>
      <c r="L86" t="s">
        <v>164</v>
      </c>
      <c r="N86" t="s">
        <v>214</v>
      </c>
      <c r="O86" t="s">
        <v>312</v>
      </c>
      <c r="P86">
        <v>0.10023979245451338</v>
      </c>
      <c r="Q86" t="s">
        <v>164</v>
      </c>
      <c r="S86" t="s">
        <v>234</v>
      </c>
      <c r="T86" t="s">
        <v>312</v>
      </c>
      <c r="U86">
        <v>0.11636456012428097</v>
      </c>
      <c r="V86" t="s">
        <v>164</v>
      </c>
      <c r="AK86">
        <v>2043</v>
      </c>
      <c r="AL86" t="s">
        <v>308</v>
      </c>
      <c r="AM86">
        <v>0.4171333333333333</v>
      </c>
      <c r="AN86" t="s">
        <v>253</v>
      </c>
    </row>
    <row r="87" spans="9:40" x14ac:dyDescent="0.45">
      <c r="I87" t="s">
        <v>181</v>
      </c>
      <c r="J87" t="s">
        <v>313</v>
      </c>
      <c r="K87">
        <v>0</v>
      </c>
      <c r="L87" t="s">
        <v>164</v>
      </c>
      <c r="N87" t="s">
        <v>214</v>
      </c>
      <c r="O87" t="s">
        <v>313</v>
      </c>
      <c r="P87">
        <v>0.16415753575345163</v>
      </c>
      <c r="Q87" t="s">
        <v>164</v>
      </c>
      <c r="S87" t="s">
        <v>234</v>
      </c>
      <c r="T87" t="s">
        <v>313</v>
      </c>
      <c r="U87">
        <v>0.17696127257680813</v>
      </c>
      <c r="V87" t="s">
        <v>164</v>
      </c>
      <c r="AK87">
        <v>2044</v>
      </c>
      <c r="AL87" t="s">
        <v>303</v>
      </c>
      <c r="AM87">
        <v>0.43419999999999997</v>
      </c>
      <c r="AN87" t="s">
        <v>253</v>
      </c>
    </row>
    <row r="88" spans="9:40" x14ac:dyDescent="0.45">
      <c r="I88" t="s">
        <v>181</v>
      </c>
      <c r="J88" t="s">
        <v>314</v>
      </c>
      <c r="K88">
        <v>2.9656410580287694E-2</v>
      </c>
      <c r="L88" t="s">
        <v>164</v>
      </c>
      <c r="N88" t="s">
        <v>214</v>
      </c>
      <c r="O88" t="s">
        <v>314</v>
      </c>
      <c r="P88">
        <v>2.1103530711140451E-2</v>
      </c>
      <c r="Q88" t="s">
        <v>164</v>
      </c>
      <c r="S88" t="s">
        <v>234</v>
      </c>
      <c r="T88" t="s">
        <v>314</v>
      </c>
      <c r="U88">
        <v>2.7846483220366047E-2</v>
      </c>
      <c r="V88" t="s">
        <v>164</v>
      </c>
      <c r="AK88">
        <v>2044</v>
      </c>
      <c r="AL88" t="s">
        <v>305</v>
      </c>
      <c r="AM88">
        <v>0.36549999999999994</v>
      </c>
      <c r="AN88" t="s">
        <v>253</v>
      </c>
    </row>
    <row r="89" spans="9:40" x14ac:dyDescent="0.45">
      <c r="I89" t="s">
        <v>181</v>
      </c>
      <c r="J89" t="s">
        <v>315</v>
      </c>
      <c r="K89">
        <v>0.20787311794794205</v>
      </c>
      <c r="L89" t="s">
        <v>164</v>
      </c>
      <c r="N89" t="s">
        <v>214</v>
      </c>
      <c r="O89" t="s">
        <v>315</v>
      </c>
      <c r="P89">
        <v>4.7245495349449884E-2</v>
      </c>
      <c r="Q89" t="s">
        <v>164</v>
      </c>
      <c r="S89" t="s">
        <v>234</v>
      </c>
      <c r="T89" t="s">
        <v>315</v>
      </c>
      <c r="U89">
        <v>6.9121208328151246E-2</v>
      </c>
      <c r="V89" t="s">
        <v>164</v>
      </c>
      <c r="AK89">
        <v>2044</v>
      </c>
      <c r="AL89" t="s">
        <v>306</v>
      </c>
      <c r="AM89">
        <v>0.32076666666666664</v>
      </c>
      <c r="AN89" t="s">
        <v>253</v>
      </c>
    </row>
    <row r="90" spans="9:40" x14ac:dyDescent="0.45">
      <c r="I90" t="s">
        <v>181</v>
      </c>
      <c r="J90" t="s">
        <v>316</v>
      </c>
      <c r="K90">
        <v>2.2348823849851328E-3</v>
      </c>
      <c r="L90" t="s">
        <v>164</v>
      </c>
      <c r="N90" t="s">
        <v>214</v>
      </c>
      <c r="O90" t="s">
        <v>316</v>
      </c>
      <c r="P90">
        <v>6.1021629525684982E-2</v>
      </c>
      <c r="Q90" t="s">
        <v>164</v>
      </c>
      <c r="S90" t="s">
        <v>234</v>
      </c>
      <c r="T90" t="s">
        <v>316</v>
      </c>
      <c r="U90">
        <v>0.11968891225172569</v>
      </c>
      <c r="V90" t="s">
        <v>164</v>
      </c>
      <c r="AK90">
        <v>2044</v>
      </c>
      <c r="AL90" t="s">
        <v>308</v>
      </c>
      <c r="AM90">
        <v>0.42933333333333329</v>
      </c>
      <c r="AN90" t="s">
        <v>253</v>
      </c>
    </row>
    <row r="91" spans="9:40" x14ac:dyDescent="0.45">
      <c r="I91" t="s">
        <v>181</v>
      </c>
      <c r="J91" t="s">
        <v>317</v>
      </c>
      <c r="K91">
        <v>2.5781902596899647E-2</v>
      </c>
      <c r="L91" t="s">
        <v>164</v>
      </c>
      <c r="N91" t="s">
        <v>214</v>
      </c>
      <c r="O91" t="s">
        <v>317</v>
      </c>
      <c r="P91">
        <v>9.6509214216186703E-3</v>
      </c>
      <c r="Q91" t="s">
        <v>164</v>
      </c>
      <c r="S91" t="s">
        <v>234</v>
      </c>
      <c r="T91" t="s">
        <v>317</v>
      </c>
      <c r="U91">
        <v>1.7756613851082365E-2</v>
      </c>
      <c r="V91" t="s">
        <v>164</v>
      </c>
      <c r="AK91">
        <v>2045</v>
      </c>
      <c r="AL91" t="s">
        <v>303</v>
      </c>
      <c r="AM91">
        <v>0.39423333333333338</v>
      </c>
      <c r="AN91" t="s">
        <v>253</v>
      </c>
    </row>
    <row r="92" spans="9:40" x14ac:dyDescent="0.45">
      <c r="I92" t="s">
        <v>181</v>
      </c>
      <c r="J92" t="s">
        <v>318</v>
      </c>
      <c r="K92">
        <v>0.21536975273784426</v>
      </c>
      <c r="L92" t="s">
        <v>164</v>
      </c>
      <c r="N92" t="s">
        <v>214</v>
      </c>
      <c r="O92" t="s">
        <v>318</v>
      </c>
      <c r="P92">
        <v>0.17208653539726237</v>
      </c>
      <c r="Q92" t="s">
        <v>164</v>
      </c>
      <c r="S92" t="s">
        <v>234</v>
      </c>
      <c r="T92" t="s">
        <v>318</v>
      </c>
      <c r="U92">
        <v>0.11507824806000677</v>
      </c>
      <c r="V92" t="s">
        <v>164</v>
      </c>
      <c r="AK92">
        <v>2045</v>
      </c>
      <c r="AL92" t="s">
        <v>305</v>
      </c>
      <c r="AM92">
        <v>0.36713333333333331</v>
      </c>
      <c r="AN92" t="s">
        <v>253</v>
      </c>
    </row>
    <row r="93" spans="9:40" x14ac:dyDescent="0.45">
      <c r="I93" t="s">
        <v>181</v>
      </c>
      <c r="J93" t="s">
        <v>319</v>
      </c>
      <c r="K93">
        <v>0</v>
      </c>
      <c r="L93" t="s">
        <v>164</v>
      </c>
      <c r="N93" t="s">
        <v>214</v>
      </c>
      <c r="O93" t="s">
        <v>319</v>
      </c>
      <c r="P93">
        <v>0.25992675884331129</v>
      </c>
      <c r="Q93" t="s">
        <v>164</v>
      </c>
      <c r="S93" t="s">
        <v>234</v>
      </c>
      <c r="T93" t="s">
        <v>319</v>
      </c>
      <c r="U93">
        <v>0.15470748331573267</v>
      </c>
      <c r="V93" t="s">
        <v>164</v>
      </c>
      <c r="AK93">
        <v>2045</v>
      </c>
      <c r="AL93" t="s">
        <v>306</v>
      </c>
      <c r="AM93">
        <v>0.34580000000000005</v>
      </c>
      <c r="AN93" t="s">
        <v>253</v>
      </c>
    </row>
    <row r="94" spans="9:40" x14ac:dyDescent="0.45">
      <c r="I94" t="s">
        <v>181</v>
      </c>
      <c r="J94" t="s">
        <v>320</v>
      </c>
      <c r="K94">
        <v>3.0723271297161382E-2</v>
      </c>
      <c r="L94" t="s">
        <v>164</v>
      </c>
      <c r="N94" t="s">
        <v>214</v>
      </c>
      <c r="O94" t="s">
        <v>320</v>
      </c>
      <c r="P94">
        <v>4.4094021855922982E-2</v>
      </c>
      <c r="Q94" t="s">
        <v>164</v>
      </c>
      <c r="S94" t="s">
        <v>234</v>
      </c>
      <c r="T94" t="s">
        <v>320</v>
      </c>
      <c r="U94">
        <v>2.3149089086059661E-2</v>
      </c>
      <c r="V94" t="s">
        <v>164</v>
      </c>
      <c r="AK94">
        <v>2045</v>
      </c>
      <c r="AL94" t="s">
        <v>308</v>
      </c>
      <c r="AM94">
        <v>0.45866666666666672</v>
      </c>
      <c r="AN94" t="s">
        <v>253</v>
      </c>
    </row>
    <row r="95" spans="9:40" x14ac:dyDescent="0.45">
      <c r="I95" t="s">
        <v>182</v>
      </c>
      <c r="J95" t="s">
        <v>309</v>
      </c>
      <c r="K95">
        <v>0.24712020182752495</v>
      </c>
      <c r="L95" t="s">
        <v>164</v>
      </c>
      <c r="N95" t="s">
        <v>215</v>
      </c>
      <c r="O95" t="s">
        <v>309</v>
      </c>
      <c r="P95">
        <v>5.6891665228466289E-2</v>
      </c>
      <c r="Q95" t="s">
        <v>164</v>
      </c>
      <c r="S95" t="s">
        <v>235</v>
      </c>
      <c r="T95" t="s">
        <v>309</v>
      </c>
      <c r="U95">
        <v>4.2239007658071454E-2</v>
      </c>
      <c r="V95" t="s">
        <v>164</v>
      </c>
      <c r="AK95">
        <v>2046</v>
      </c>
      <c r="AL95" t="s">
        <v>303</v>
      </c>
      <c r="AM95">
        <v>0.39153333333333334</v>
      </c>
      <c r="AN95" t="s">
        <v>253</v>
      </c>
    </row>
    <row r="96" spans="9:40" x14ac:dyDescent="0.45">
      <c r="I96" t="s">
        <v>182</v>
      </c>
      <c r="J96" t="s">
        <v>310</v>
      </c>
      <c r="K96">
        <v>0</v>
      </c>
      <c r="L96" t="s">
        <v>164</v>
      </c>
      <c r="N96" t="s">
        <v>215</v>
      </c>
      <c r="O96" t="s">
        <v>310</v>
      </c>
      <c r="P96">
        <v>9.796340678658072E-2</v>
      </c>
      <c r="Q96" t="s">
        <v>164</v>
      </c>
      <c r="S96" t="s">
        <v>235</v>
      </c>
      <c r="T96" t="s">
        <v>310</v>
      </c>
      <c r="U96">
        <v>7.9312917462297933E-2</v>
      </c>
      <c r="V96" t="s">
        <v>164</v>
      </c>
      <c r="AK96">
        <v>2046</v>
      </c>
      <c r="AL96" t="s">
        <v>305</v>
      </c>
      <c r="AM96">
        <v>0.35043333333333337</v>
      </c>
      <c r="AN96" t="s">
        <v>253</v>
      </c>
    </row>
    <row r="97" spans="9:40" x14ac:dyDescent="0.45">
      <c r="I97" t="s">
        <v>182</v>
      </c>
      <c r="J97" t="s">
        <v>311</v>
      </c>
      <c r="K97">
        <v>2.608398808083371E-2</v>
      </c>
      <c r="L97" t="s">
        <v>164</v>
      </c>
      <c r="N97" t="s">
        <v>215</v>
      </c>
      <c r="O97" t="s">
        <v>311</v>
      </c>
      <c r="P97">
        <v>2.0822608005625815E-2</v>
      </c>
      <c r="Q97" t="s">
        <v>164</v>
      </c>
      <c r="S97" t="s">
        <v>235</v>
      </c>
      <c r="T97" t="s">
        <v>311</v>
      </c>
      <c r="U97">
        <v>1.4547446841672406E-2</v>
      </c>
      <c r="V97" t="s">
        <v>164</v>
      </c>
      <c r="AK97">
        <v>2046</v>
      </c>
      <c r="AL97" t="s">
        <v>306</v>
      </c>
      <c r="AM97">
        <v>0.3378666666666667</v>
      </c>
      <c r="AN97" t="s">
        <v>253</v>
      </c>
    </row>
    <row r="98" spans="9:40" x14ac:dyDescent="0.45">
      <c r="I98" t="s">
        <v>182</v>
      </c>
      <c r="J98" t="s">
        <v>312</v>
      </c>
      <c r="K98">
        <v>0.23078150479821807</v>
      </c>
      <c r="L98" t="s">
        <v>164</v>
      </c>
      <c r="N98" t="s">
        <v>215</v>
      </c>
      <c r="O98" t="s">
        <v>312</v>
      </c>
      <c r="P98">
        <v>0.13351464401000643</v>
      </c>
      <c r="Q98" t="s">
        <v>164</v>
      </c>
      <c r="S98" t="s">
        <v>235</v>
      </c>
      <c r="T98" t="s">
        <v>312</v>
      </c>
      <c r="U98">
        <v>0.11514989460121515</v>
      </c>
      <c r="V98" t="s">
        <v>164</v>
      </c>
      <c r="AK98">
        <v>2046</v>
      </c>
      <c r="AL98" t="s">
        <v>308</v>
      </c>
      <c r="AM98">
        <v>0.43039999999999995</v>
      </c>
      <c r="AN98" t="s">
        <v>253</v>
      </c>
    </row>
    <row r="99" spans="9:40" x14ac:dyDescent="0.45">
      <c r="I99" t="s">
        <v>182</v>
      </c>
      <c r="J99" t="s">
        <v>313</v>
      </c>
      <c r="K99">
        <v>0</v>
      </c>
      <c r="L99" t="s">
        <v>164</v>
      </c>
      <c r="N99" t="s">
        <v>215</v>
      </c>
      <c r="O99" t="s">
        <v>313</v>
      </c>
      <c r="P99">
        <v>0.193129348237943</v>
      </c>
      <c r="Q99" t="s">
        <v>164</v>
      </c>
      <c r="S99" t="s">
        <v>235</v>
      </c>
      <c r="T99" t="s">
        <v>313</v>
      </c>
      <c r="U99">
        <v>0.16198552941728644</v>
      </c>
      <c r="V99" t="s">
        <v>164</v>
      </c>
      <c r="AK99">
        <v>2047</v>
      </c>
      <c r="AL99" t="s">
        <v>303</v>
      </c>
      <c r="AM99">
        <v>0.39963333333333334</v>
      </c>
      <c r="AN99" t="s">
        <v>253</v>
      </c>
    </row>
    <row r="100" spans="9:40" x14ac:dyDescent="0.45">
      <c r="I100" t="s">
        <v>182</v>
      </c>
      <c r="J100" t="s">
        <v>314</v>
      </c>
      <c r="K100">
        <v>2.9467153404315594E-2</v>
      </c>
      <c r="L100" t="s">
        <v>164</v>
      </c>
      <c r="N100" t="s">
        <v>215</v>
      </c>
      <c r="O100" t="s">
        <v>314</v>
      </c>
      <c r="P100">
        <v>3.369650831430638E-2</v>
      </c>
      <c r="Q100" t="s">
        <v>164</v>
      </c>
      <c r="S100" t="s">
        <v>235</v>
      </c>
      <c r="T100" t="s">
        <v>314</v>
      </c>
      <c r="U100">
        <v>2.764083854399E-2</v>
      </c>
      <c r="V100" t="s">
        <v>164</v>
      </c>
      <c r="AK100">
        <v>2047</v>
      </c>
      <c r="AL100" t="s">
        <v>305</v>
      </c>
      <c r="AM100">
        <v>0.35013333333333335</v>
      </c>
      <c r="AN100" t="s">
        <v>253</v>
      </c>
    </row>
    <row r="101" spans="9:40" x14ac:dyDescent="0.45">
      <c r="I101" t="s">
        <v>182</v>
      </c>
      <c r="J101" t="s">
        <v>315</v>
      </c>
      <c r="K101">
        <v>0.20316623770784342</v>
      </c>
      <c r="L101" t="s">
        <v>164</v>
      </c>
      <c r="N101" t="s">
        <v>215</v>
      </c>
      <c r="O101" t="s">
        <v>315</v>
      </c>
      <c r="P101">
        <v>4.9177871532299473E-2</v>
      </c>
      <c r="Q101" t="s">
        <v>164</v>
      </c>
      <c r="S101" t="s">
        <v>235</v>
      </c>
      <c r="T101" t="s">
        <v>315</v>
      </c>
      <c r="U101">
        <v>7.7462311762602667E-2</v>
      </c>
      <c r="V101" t="s">
        <v>164</v>
      </c>
      <c r="AK101">
        <v>2047</v>
      </c>
      <c r="AL101" t="s">
        <v>306</v>
      </c>
      <c r="AM101">
        <v>0.32293333333333335</v>
      </c>
      <c r="AN101" t="s">
        <v>253</v>
      </c>
    </row>
    <row r="102" spans="9:40" x14ac:dyDescent="0.45">
      <c r="I102" t="s">
        <v>182</v>
      </c>
      <c r="J102" t="s">
        <v>316</v>
      </c>
      <c r="K102">
        <v>2.5738470639706919E-4</v>
      </c>
      <c r="L102" t="s">
        <v>164</v>
      </c>
      <c r="N102" t="s">
        <v>215</v>
      </c>
      <c r="O102" t="s">
        <v>316</v>
      </c>
      <c r="P102">
        <v>7.9055310584831881E-2</v>
      </c>
      <c r="Q102" t="s">
        <v>164</v>
      </c>
      <c r="S102" t="s">
        <v>235</v>
      </c>
      <c r="T102" t="s">
        <v>316</v>
      </c>
      <c r="U102">
        <v>0.12525053050166279</v>
      </c>
      <c r="V102" t="s">
        <v>164</v>
      </c>
      <c r="AK102">
        <v>2047</v>
      </c>
      <c r="AL102" t="s">
        <v>308</v>
      </c>
      <c r="AM102">
        <v>0.41733333333333333</v>
      </c>
      <c r="AN102" t="s">
        <v>253</v>
      </c>
    </row>
    <row r="103" spans="9:40" x14ac:dyDescent="0.45">
      <c r="I103" t="s">
        <v>182</v>
      </c>
      <c r="J103" t="s">
        <v>317</v>
      </c>
      <c r="K103">
        <v>2.3360275196393457E-2</v>
      </c>
      <c r="L103" t="s">
        <v>164</v>
      </c>
      <c r="N103" t="s">
        <v>215</v>
      </c>
      <c r="O103" t="s">
        <v>317</v>
      </c>
      <c r="P103">
        <v>1.4272442573977705E-2</v>
      </c>
      <c r="Q103" t="s">
        <v>164</v>
      </c>
      <c r="S103" t="s">
        <v>235</v>
      </c>
      <c r="T103" t="s">
        <v>317</v>
      </c>
      <c r="U103">
        <v>2.4341489772459344E-2</v>
      </c>
      <c r="V103" t="s">
        <v>164</v>
      </c>
      <c r="AK103">
        <v>2048</v>
      </c>
      <c r="AL103" t="s">
        <v>303</v>
      </c>
      <c r="AM103">
        <v>0.40953333333333336</v>
      </c>
      <c r="AN103" t="s">
        <v>253</v>
      </c>
    </row>
    <row r="104" spans="9:40" x14ac:dyDescent="0.45">
      <c r="I104" t="s">
        <v>182</v>
      </c>
      <c r="J104" t="s">
        <v>318</v>
      </c>
      <c r="K104">
        <v>0.21173137067135026</v>
      </c>
      <c r="L104" t="s">
        <v>164</v>
      </c>
      <c r="N104" t="s">
        <v>215</v>
      </c>
      <c r="O104" t="s">
        <v>318</v>
      </c>
      <c r="P104">
        <v>0.14233516652227363</v>
      </c>
      <c r="Q104" t="s">
        <v>164</v>
      </c>
      <c r="S104" t="s">
        <v>235</v>
      </c>
      <c r="T104" t="s">
        <v>318</v>
      </c>
      <c r="U104">
        <v>0.1371548747834781</v>
      </c>
      <c r="V104" t="s">
        <v>164</v>
      </c>
      <c r="AK104">
        <v>2048</v>
      </c>
      <c r="AL104" t="s">
        <v>305</v>
      </c>
      <c r="AM104">
        <v>0.3681666666666667</v>
      </c>
      <c r="AN104" t="s">
        <v>253</v>
      </c>
    </row>
    <row r="105" spans="9:40" x14ac:dyDescent="0.45">
      <c r="I105" t="s">
        <v>182</v>
      </c>
      <c r="J105" t="s">
        <v>319</v>
      </c>
      <c r="K105">
        <v>0</v>
      </c>
      <c r="L105" t="s">
        <v>164</v>
      </c>
      <c r="N105" t="s">
        <v>215</v>
      </c>
      <c r="O105" t="s">
        <v>319</v>
      </c>
      <c r="P105">
        <v>0.14911975921500673</v>
      </c>
      <c r="Q105" t="s">
        <v>164</v>
      </c>
      <c r="S105" t="s">
        <v>235</v>
      </c>
      <c r="T105" t="s">
        <v>319</v>
      </c>
      <c r="U105">
        <v>0.16292624980220052</v>
      </c>
      <c r="V105" t="s">
        <v>164</v>
      </c>
      <c r="AK105">
        <v>2048</v>
      </c>
      <c r="AL105" t="s">
        <v>306</v>
      </c>
      <c r="AM105">
        <v>0.35343333333333332</v>
      </c>
      <c r="AN105" t="s">
        <v>253</v>
      </c>
    </row>
    <row r="106" spans="9:40" x14ac:dyDescent="0.45">
      <c r="I106" t="s">
        <v>182</v>
      </c>
      <c r="J106" t="s">
        <v>320</v>
      </c>
      <c r="K106">
        <v>2.8031883607120649E-2</v>
      </c>
      <c r="L106" t="s">
        <v>164</v>
      </c>
      <c r="N106" t="s">
        <v>215</v>
      </c>
      <c r="O106" t="s">
        <v>320</v>
      </c>
      <c r="P106">
        <v>3.0021268988682775E-2</v>
      </c>
      <c r="Q106" t="s">
        <v>164</v>
      </c>
      <c r="S106" t="s">
        <v>235</v>
      </c>
      <c r="T106" t="s">
        <v>320</v>
      </c>
      <c r="U106">
        <v>3.1988908853060001E-2</v>
      </c>
      <c r="V106" t="s">
        <v>164</v>
      </c>
      <c r="AK106">
        <v>2048</v>
      </c>
      <c r="AL106" t="s">
        <v>308</v>
      </c>
      <c r="AM106">
        <v>0.43613333333333332</v>
      </c>
      <c r="AN106" t="s">
        <v>253</v>
      </c>
    </row>
    <row r="107" spans="9:40" x14ac:dyDescent="0.45">
      <c r="I107" t="s">
        <v>183</v>
      </c>
      <c r="J107" t="s">
        <v>309</v>
      </c>
      <c r="K107">
        <v>0.22681665460820941</v>
      </c>
      <c r="L107" t="s">
        <v>164</v>
      </c>
      <c r="N107" t="s">
        <v>216</v>
      </c>
      <c r="O107" t="s">
        <v>309</v>
      </c>
      <c r="P107">
        <v>6.0660038578664074E-2</v>
      </c>
      <c r="Q107" t="s">
        <v>164</v>
      </c>
      <c r="S107" t="s">
        <v>236</v>
      </c>
      <c r="T107" t="s">
        <v>309</v>
      </c>
      <c r="U107">
        <v>3.6910231218861424E-2</v>
      </c>
      <c r="V107" t="s">
        <v>164</v>
      </c>
      <c r="AK107">
        <v>2049</v>
      </c>
      <c r="AL107" t="s">
        <v>303</v>
      </c>
      <c r="AM107">
        <v>0.42076666666666668</v>
      </c>
      <c r="AN107" t="s">
        <v>253</v>
      </c>
    </row>
    <row r="108" spans="9:40" x14ac:dyDescent="0.45">
      <c r="I108" t="s">
        <v>183</v>
      </c>
      <c r="J108" t="s">
        <v>310</v>
      </c>
      <c r="K108">
        <v>0</v>
      </c>
      <c r="L108" t="s">
        <v>164</v>
      </c>
      <c r="N108" t="s">
        <v>216</v>
      </c>
      <c r="O108" t="s">
        <v>310</v>
      </c>
      <c r="P108">
        <v>9.7660641917932972E-2</v>
      </c>
      <c r="Q108" t="s">
        <v>164</v>
      </c>
      <c r="S108" t="s">
        <v>236</v>
      </c>
      <c r="T108" t="s">
        <v>310</v>
      </c>
      <c r="U108">
        <v>8.8189079907270693E-2</v>
      </c>
      <c r="V108" t="s">
        <v>164</v>
      </c>
      <c r="AK108">
        <v>2049</v>
      </c>
      <c r="AL108" t="s">
        <v>305</v>
      </c>
      <c r="AM108">
        <v>0.33446666666666669</v>
      </c>
      <c r="AN108" t="s">
        <v>253</v>
      </c>
    </row>
    <row r="109" spans="9:40" x14ac:dyDescent="0.45">
      <c r="I109" t="s">
        <v>183</v>
      </c>
      <c r="J109" t="s">
        <v>311</v>
      </c>
      <c r="K109">
        <v>1.3326211113889985E-2</v>
      </c>
      <c r="L109" t="s">
        <v>164</v>
      </c>
      <c r="N109" t="s">
        <v>216</v>
      </c>
      <c r="O109" t="s">
        <v>311</v>
      </c>
      <c r="P109">
        <v>1.7221209930899116E-2</v>
      </c>
      <c r="Q109" t="s">
        <v>164</v>
      </c>
      <c r="S109" t="s">
        <v>236</v>
      </c>
      <c r="T109" t="s">
        <v>311</v>
      </c>
      <c r="U109">
        <v>1.7924387281238713E-2</v>
      </c>
      <c r="V109" t="s">
        <v>164</v>
      </c>
      <c r="AK109">
        <v>2049</v>
      </c>
      <c r="AL109" t="s">
        <v>306</v>
      </c>
      <c r="AM109">
        <v>0.33846666666666669</v>
      </c>
      <c r="AN109" t="s">
        <v>253</v>
      </c>
    </row>
    <row r="110" spans="9:40" x14ac:dyDescent="0.45">
      <c r="I110" t="s">
        <v>183</v>
      </c>
      <c r="J110" t="s">
        <v>312</v>
      </c>
      <c r="K110">
        <v>0.22406288340354727</v>
      </c>
      <c r="L110" t="s">
        <v>164</v>
      </c>
      <c r="N110" t="s">
        <v>216</v>
      </c>
      <c r="O110" t="s">
        <v>312</v>
      </c>
      <c r="P110">
        <v>0.14771982339044107</v>
      </c>
      <c r="Q110" t="s">
        <v>164</v>
      </c>
      <c r="S110" t="s">
        <v>236</v>
      </c>
      <c r="T110" t="s">
        <v>312</v>
      </c>
      <c r="U110">
        <v>9.696014145291118E-2</v>
      </c>
      <c r="V110" t="s">
        <v>164</v>
      </c>
      <c r="AK110">
        <v>2049</v>
      </c>
      <c r="AL110" t="s">
        <v>308</v>
      </c>
      <c r="AM110">
        <v>0.40619999999999995</v>
      </c>
      <c r="AN110" t="s">
        <v>253</v>
      </c>
    </row>
    <row r="111" spans="9:40" x14ac:dyDescent="0.45">
      <c r="I111" t="s">
        <v>183</v>
      </c>
      <c r="J111" t="s">
        <v>313</v>
      </c>
      <c r="K111">
        <v>0</v>
      </c>
      <c r="L111" t="s">
        <v>164</v>
      </c>
      <c r="N111" t="s">
        <v>216</v>
      </c>
      <c r="O111" t="s">
        <v>313</v>
      </c>
      <c r="P111">
        <v>0.17702704000477676</v>
      </c>
      <c r="Q111" t="s">
        <v>164</v>
      </c>
      <c r="S111" t="s">
        <v>236</v>
      </c>
      <c r="T111" t="s">
        <v>313</v>
      </c>
      <c r="U111">
        <v>0.18566830959192354</v>
      </c>
      <c r="V111" t="s">
        <v>164</v>
      </c>
      <c r="AK111">
        <v>2050</v>
      </c>
      <c r="AL111" t="s">
        <v>303</v>
      </c>
      <c r="AM111">
        <v>0.43436666666666662</v>
      </c>
      <c r="AN111" t="s">
        <v>253</v>
      </c>
    </row>
    <row r="112" spans="9:40" x14ac:dyDescent="0.45">
      <c r="I112" t="s">
        <v>183</v>
      </c>
      <c r="J112" t="s">
        <v>314</v>
      </c>
      <c r="K112">
        <v>2.0322245363510676E-2</v>
      </c>
      <c r="L112" t="s">
        <v>164</v>
      </c>
      <c r="N112" t="s">
        <v>216</v>
      </c>
      <c r="O112" t="s">
        <v>314</v>
      </c>
      <c r="P112">
        <v>3.2113801568993385E-2</v>
      </c>
      <c r="Q112" t="s">
        <v>164</v>
      </c>
      <c r="S112" t="s">
        <v>236</v>
      </c>
      <c r="T112" t="s">
        <v>314</v>
      </c>
      <c r="U112">
        <v>3.5875195996649421E-2</v>
      </c>
      <c r="V112" t="s">
        <v>164</v>
      </c>
      <c r="AK112">
        <v>2050</v>
      </c>
      <c r="AL112" t="s">
        <v>305</v>
      </c>
      <c r="AM112">
        <v>0.3560666666666667</v>
      </c>
      <c r="AN112" t="s">
        <v>253</v>
      </c>
    </row>
    <row r="113" spans="9:40" x14ac:dyDescent="0.45">
      <c r="I113" t="s">
        <v>183</v>
      </c>
      <c r="J113" t="s">
        <v>315</v>
      </c>
      <c r="K113">
        <v>0.23453214038770503</v>
      </c>
      <c r="L113" t="s">
        <v>164</v>
      </c>
      <c r="N113" t="s">
        <v>216</v>
      </c>
      <c r="O113" t="s">
        <v>315</v>
      </c>
      <c r="P113">
        <v>6.2335635016932567E-2</v>
      </c>
      <c r="Q113" t="s">
        <v>164</v>
      </c>
      <c r="S113" t="s">
        <v>236</v>
      </c>
      <c r="T113" t="s">
        <v>315</v>
      </c>
      <c r="U113">
        <v>4.9001694953749973E-2</v>
      </c>
      <c r="V113" t="s">
        <v>164</v>
      </c>
      <c r="AK113">
        <v>2050</v>
      </c>
      <c r="AL113" t="s">
        <v>306</v>
      </c>
      <c r="AM113">
        <v>0.32953333333333334</v>
      </c>
      <c r="AN113" t="s">
        <v>253</v>
      </c>
    </row>
    <row r="114" spans="9:40" x14ac:dyDescent="0.45">
      <c r="I114" t="s">
        <v>183</v>
      </c>
      <c r="J114" t="s">
        <v>316</v>
      </c>
      <c r="K114">
        <v>0</v>
      </c>
      <c r="L114" t="s">
        <v>164</v>
      </c>
      <c r="N114" t="s">
        <v>216</v>
      </c>
      <c r="O114" t="s">
        <v>316</v>
      </c>
      <c r="P114">
        <v>9.5443572680350253E-2</v>
      </c>
      <c r="Q114" t="s">
        <v>164</v>
      </c>
      <c r="S114" t="s">
        <v>236</v>
      </c>
      <c r="T114" t="s">
        <v>316</v>
      </c>
      <c r="U114">
        <v>0.10663306970846503</v>
      </c>
      <c r="V114" t="s">
        <v>164</v>
      </c>
      <c r="AK114">
        <v>2050</v>
      </c>
      <c r="AL114" t="s">
        <v>308</v>
      </c>
      <c r="AM114">
        <v>0.45666666666666672</v>
      </c>
      <c r="AN114" t="s">
        <v>253</v>
      </c>
    </row>
    <row r="115" spans="9:40" x14ac:dyDescent="0.45">
      <c r="I115" t="s">
        <v>183</v>
      </c>
      <c r="J115" t="s">
        <v>317</v>
      </c>
      <c r="K115">
        <v>2.3210909065251126E-2</v>
      </c>
      <c r="L115" t="s">
        <v>164</v>
      </c>
      <c r="N115" t="s">
        <v>216</v>
      </c>
      <c r="O115" t="s">
        <v>317</v>
      </c>
      <c r="P115">
        <v>1.5083227708665454E-2</v>
      </c>
      <c r="Q115" t="s">
        <v>164</v>
      </c>
      <c r="S115" t="s">
        <v>236</v>
      </c>
      <c r="T115" t="s">
        <v>317</v>
      </c>
      <c r="U115">
        <v>2.0839384360959685E-2</v>
      </c>
      <c r="V115" t="s">
        <v>164</v>
      </c>
    </row>
    <row r="116" spans="9:40" x14ac:dyDescent="0.45">
      <c r="I116" t="s">
        <v>183</v>
      </c>
      <c r="J116" t="s">
        <v>318</v>
      </c>
      <c r="K116">
        <v>0.23592093599660169</v>
      </c>
      <c r="L116" t="s">
        <v>164</v>
      </c>
      <c r="N116" t="s">
        <v>216</v>
      </c>
      <c r="O116" t="s">
        <v>318</v>
      </c>
      <c r="P116">
        <v>0.12518761809033871</v>
      </c>
      <c r="Q116" t="s">
        <v>164</v>
      </c>
      <c r="S116" t="s">
        <v>236</v>
      </c>
      <c r="T116" t="s">
        <v>318</v>
      </c>
      <c r="U116">
        <v>0.13499265681422651</v>
      </c>
      <c r="V116" t="s">
        <v>164</v>
      </c>
    </row>
    <row r="117" spans="9:40" x14ac:dyDescent="0.45">
      <c r="I117" t="s">
        <v>183</v>
      </c>
      <c r="J117" t="s">
        <v>319</v>
      </c>
      <c r="K117">
        <v>0</v>
      </c>
      <c r="L117" t="s">
        <v>164</v>
      </c>
      <c r="N117" t="s">
        <v>216</v>
      </c>
      <c r="O117" t="s">
        <v>319</v>
      </c>
      <c r="P117">
        <v>0.14639827321097931</v>
      </c>
      <c r="Q117" t="s">
        <v>164</v>
      </c>
      <c r="S117" t="s">
        <v>236</v>
      </c>
      <c r="T117" t="s">
        <v>319</v>
      </c>
      <c r="U117">
        <v>0.19089317785608256</v>
      </c>
      <c r="V117" t="s">
        <v>164</v>
      </c>
    </row>
    <row r="118" spans="9:40" x14ac:dyDescent="0.45">
      <c r="I118" t="s">
        <v>183</v>
      </c>
      <c r="J118" t="s">
        <v>320</v>
      </c>
      <c r="K118">
        <v>2.1808020061285138E-2</v>
      </c>
      <c r="L118" t="s">
        <v>164</v>
      </c>
      <c r="N118" t="s">
        <v>216</v>
      </c>
      <c r="O118" t="s">
        <v>320</v>
      </c>
      <c r="P118">
        <v>2.314911790102607E-2</v>
      </c>
      <c r="Q118" t="s">
        <v>164</v>
      </c>
      <c r="S118" t="s">
        <v>236</v>
      </c>
      <c r="T118" t="s">
        <v>320</v>
      </c>
      <c r="U118">
        <v>3.6112670857658978E-2</v>
      </c>
      <c r="V118" t="s">
        <v>164</v>
      </c>
    </row>
    <row r="119" spans="9:40" x14ac:dyDescent="0.45">
      <c r="I119" t="s">
        <v>184</v>
      </c>
      <c r="J119" t="s">
        <v>309</v>
      </c>
      <c r="K119">
        <v>0.24285513243776494</v>
      </c>
      <c r="L119" t="s">
        <v>164</v>
      </c>
      <c r="N119" t="s">
        <v>217</v>
      </c>
      <c r="O119" t="s">
        <v>309</v>
      </c>
      <c r="P119">
        <v>6.3941267560842827E-2</v>
      </c>
      <c r="Q119" t="s">
        <v>164</v>
      </c>
      <c r="S119" t="s">
        <v>237</v>
      </c>
      <c r="T119" t="s">
        <v>309</v>
      </c>
      <c r="U119">
        <v>6.8698237293806294E-2</v>
      </c>
      <c r="V119" t="s">
        <v>164</v>
      </c>
    </row>
    <row r="120" spans="9:40" x14ac:dyDescent="0.45">
      <c r="I120" t="s">
        <v>184</v>
      </c>
      <c r="J120" t="s">
        <v>310</v>
      </c>
      <c r="K120">
        <v>0</v>
      </c>
      <c r="L120" t="s">
        <v>164</v>
      </c>
      <c r="N120" t="s">
        <v>217</v>
      </c>
      <c r="O120" t="s">
        <v>310</v>
      </c>
      <c r="P120">
        <v>9.6838751043089616E-2</v>
      </c>
      <c r="Q120" t="s">
        <v>164</v>
      </c>
      <c r="S120" t="s">
        <v>237</v>
      </c>
      <c r="T120" t="s">
        <v>310</v>
      </c>
      <c r="U120">
        <v>9.0111298785033905E-2</v>
      </c>
      <c r="V120" t="s">
        <v>164</v>
      </c>
    </row>
    <row r="121" spans="9:40" x14ac:dyDescent="0.45">
      <c r="I121" t="s">
        <v>184</v>
      </c>
      <c r="J121" t="s">
        <v>311</v>
      </c>
      <c r="K121">
        <v>1.2653124419180333E-2</v>
      </c>
      <c r="L121" t="s">
        <v>164</v>
      </c>
      <c r="N121" t="s">
        <v>217</v>
      </c>
      <c r="O121" t="s">
        <v>311</v>
      </c>
      <c r="P121">
        <v>1.7261217683419264E-2</v>
      </c>
      <c r="Q121" t="s">
        <v>164</v>
      </c>
      <c r="S121" t="s">
        <v>237</v>
      </c>
      <c r="T121" t="s">
        <v>311</v>
      </c>
      <c r="U121">
        <v>1.1572883075481048E-2</v>
      </c>
      <c r="V121" t="s">
        <v>164</v>
      </c>
    </row>
    <row r="122" spans="9:40" x14ac:dyDescent="0.45">
      <c r="I122" t="s">
        <v>184</v>
      </c>
      <c r="J122" t="s">
        <v>312</v>
      </c>
      <c r="K122">
        <v>0.2156365559866012</v>
      </c>
      <c r="L122" t="s">
        <v>164</v>
      </c>
      <c r="N122" t="s">
        <v>217</v>
      </c>
      <c r="O122" t="s">
        <v>312</v>
      </c>
      <c r="P122">
        <v>0.12737828522247965</v>
      </c>
      <c r="Q122" t="s">
        <v>164</v>
      </c>
      <c r="S122" t="s">
        <v>237</v>
      </c>
      <c r="T122" t="s">
        <v>312</v>
      </c>
      <c r="U122">
        <v>8.6725586787743947E-2</v>
      </c>
      <c r="V122" t="s">
        <v>164</v>
      </c>
    </row>
    <row r="123" spans="9:40" x14ac:dyDescent="0.45">
      <c r="I123" t="s">
        <v>184</v>
      </c>
      <c r="J123" t="s">
        <v>313</v>
      </c>
      <c r="K123">
        <v>0</v>
      </c>
      <c r="L123" t="s">
        <v>164</v>
      </c>
      <c r="N123" t="s">
        <v>217</v>
      </c>
      <c r="O123" t="s">
        <v>313</v>
      </c>
      <c r="P123">
        <v>0.16560628176912662</v>
      </c>
      <c r="Q123" t="s">
        <v>164</v>
      </c>
      <c r="S123" t="s">
        <v>237</v>
      </c>
      <c r="T123" t="s">
        <v>313</v>
      </c>
      <c r="U123">
        <v>0.118232210926782</v>
      </c>
      <c r="V123" t="s">
        <v>164</v>
      </c>
    </row>
    <row r="124" spans="9:40" x14ac:dyDescent="0.45">
      <c r="I124" t="s">
        <v>184</v>
      </c>
      <c r="J124" t="s">
        <v>314</v>
      </c>
      <c r="K124">
        <v>1.5658548780503059E-2</v>
      </c>
      <c r="L124" t="s">
        <v>164</v>
      </c>
      <c r="N124" t="s">
        <v>217</v>
      </c>
      <c r="O124" t="s">
        <v>314</v>
      </c>
      <c r="P124">
        <v>3.0973193202614262E-2</v>
      </c>
      <c r="Q124" t="s">
        <v>164</v>
      </c>
      <c r="S124" t="s">
        <v>237</v>
      </c>
      <c r="T124" t="s">
        <v>314</v>
      </c>
      <c r="U124">
        <v>1.5714233609592124E-2</v>
      </c>
      <c r="V124" t="s">
        <v>164</v>
      </c>
    </row>
    <row r="125" spans="9:40" x14ac:dyDescent="0.45">
      <c r="I125" t="s">
        <v>184</v>
      </c>
      <c r="J125" t="s">
        <v>315</v>
      </c>
      <c r="K125">
        <v>0.23115871971864896</v>
      </c>
      <c r="L125" t="s">
        <v>164</v>
      </c>
      <c r="N125" t="s">
        <v>217</v>
      </c>
      <c r="O125" t="s">
        <v>315</v>
      </c>
      <c r="P125">
        <v>7.1085720514040759E-2</v>
      </c>
      <c r="Q125" t="s">
        <v>164</v>
      </c>
      <c r="S125" t="s">
        <v>237</v>
      </c>
      <c r="T125" t="s">
        <v>315</v>
      </c>
      <c r="U125">
        <v>0.10534055982535062</v>
      </c>
      <c r="V125" t="s">
        <v>164</v>
      </c>
    </row>
    <row r="126" spans="9:40" x14ac:dyDescent="0.45">
      <c r="I126" t="s">
        <v>184</v>
      </c>
      <c r="J126" t="s">
        <v>316</v>
      </c>
      <c r="K126">
        <v>0</v>
      </c>
      <c r="L126" t="s">
        <v>164</v>
      </c>
      <c r="N126" t="s">
        <v>217</v>
      </c>
      <c r="O126" t="s">
        <v>316</v>
      </c>
      <c r="P126">
        <v>0.10540252135993998</v>
      </c>
      <c r="Q126" t="s">
        <v>164</v>
      </c>
      <c r="S126" t="s">
        <v>237</v>
      </c>
      <c r="T126" t="s">
        <v>316</v>
      </c>
      <c r="U126">
        <v>0.14340983073837954</v>
      </c>
      <c r="V126" t="s">
        <v>164</v>
      </c>
    </row>
    <row r="127" spans="9:40" x14ac:dyDescent="0.45">
      <c r="I127" t="s">
        <v>184</v>
      </c>
      <c r="J127" t="s">
        <v>317</v>
      </c>
      <c r="K127">
        <v>2.1099898381501773E-2</v>
      </c>
      <c r="L127" t="s">
        <v>164</v>
      </c>
      <c r="N127" t="s">
        <v>217</v>
      </c>
      <c r="O127" t="s">
        <v>317</v>
      </c>
      <c r="P127">
        <v>1.9154929546399878E-2</v>
      </c>
      <c r="Q127" t="s">
        <v>164</v>
      </c>
      <c r="S127" t="s">
        <v>237</v>
      </c>
      <c r="T127" t="s">
        <v>317</v>
      </c>
      <c r="U127">
        <v>1.8832805915956478E-2</v>
      </c>
      <c r="V127" t="s">
        <v>164</v>
      </c>
    </row>
    <row r="128" spans="9:40" x14ac:dyDescent="0.45">
      <c r="I128" t="s">
        <v>184</v>
      </c>
      <c r="J128" t="s">
        <v>318</v>
      </c>
      <c r="K128">
        <v>0.24161705882051582</v>
      </c>
      <c r="L128" t="s">
        <v>164</v>
      </c>
      <c r="N128" t="s">
        <v>217</v>
      </c>
      <c r="O128" t="s">
        <v>318</v>
      </c>
      <c r="P128">
        <v>0.12817316786045374</v>
      </c>
      <c r="Q128" t="s">
        <v>164</v>
      </c>
      <c r="S128" t="s">
        <v>237</v>
      </c>
      <c r="T128" t="s">
        <v>318</v>
      </c>
      <c r="U128">
        <v>0.14362342941031095</v>
      </c>
      <c r="V128" t="s">
        <v>164</v>
      </c>
    </row>
    <row r="129" spans="9:22" x14ac:dyDescent="0.45">
      <c r="I129" t="s">
        <v>184</v>
      </c>
      <c r="J129" t="s">
        <v>319</v>
      </c>
      <c r="K129">
        <v>0</v>
      </c>
      <c r="L129" t="s">
        <v>164</v>
      </c>
      <c r="N129" t="s">
        <v>217</v>
      </c>
      <c r="O129" t="s">
        <v>319</v>
      </c>
      <c r="P129">
        <v>0.14646245950278428</v>
      </c>
      <c r="Q129" t="s">
        <v>164</v>
      </c>
      <c r="S129" t="s">
        <v>237</v>
      </c>
      <c r="T129" t="s">
        <v>319</v>
      </c>
      <c r="U129">
        <v>0.1730100978789077</v>
      </c>
      <c r="V129" t="s">
        <v>164</v>
      </c>
    </row>
    <row r="130" spans="9:22" x14ac:dyDescent="0.45">
      <c r="I130" t="s">
        <v>184</v>
      </c>
      <c r="J130" t="s">
        <v>320</v>
      </c>
      <c r="K130">
        <v>1.9320961455283493E-2</v>
      </c>
      <c r="L130" t="s">
        <v>164</v>
      </c>
      <c r="N130" t="s">
        <v>217</v>
      </c>
      <c r="O130" t="s">
        <v>320</v>
      </c>
      <c r="P130">
        <v>2.7722204734813391E-2</v>
      </c>
      <c r="Q130" t="s">
        <v>164</v>
      </c>
      <c r="S130" t="s">
        <v>237</v>
      </c>
      <c r="T130" t="s">
        <v>320</v>
      </c>
      <c r="U130">
        <v>2.4728825752652731E-2</v>
      </c>
      <c r="V130" t="s">
        <v>164</v>
      </c>
    </row>
    <row r="131" spans="9:22" x14ac:dyDescent="0.45">
      <c r="I131" t="s">
        <v>185</v>
      </c>
      <c r="J131" t="s">
        <v>309</v>
      </c>
      <c r="K131">
        <v>0.23262345471137288</v>
      </c>
      <c r="L131" t="s">
        <v>164</v>
      </c>
      <c r="N131" t="s">
        <v>218</v>
      </c>
      <c r="O131" t="s">
        <v>309</v>
      </c>
      <c r="P131">
        <v>6.1443859838297338E-2</v>
      </c>
      <c r="Q131" t="s">
        <v>164</v>
      </c>
      <c r="S131" t="s">
        <v>238</v>
      </c>
      <c r="T131" t="s">
        <v>309</v>
      </c>
      <c r="U131">
        <v>7.6232511702159014E-2</v>
      </c>
      <c r="V131" t="s">
        <v>164</v>
      </c>
    </row>
    <row r="132" spans="9:22" x14ac:dyDescent="0.45">
      <c r="I132" t="s">
        <v>185</v>
      </c>
      <c r="J132" t="s">
        <v>310</v>
      </c>
      <c r="K132">
        <v>0</v>
      </c>
      <c r="L132" t="s">
        <v>164</v>
      </c>
      <c r="N132" t="s">
        <v>218</v>
      </c>
      <c r="O132" t="s">
        <v>310</v>
      </c>
      <c r="P132">
        <v>7.6510857787200751E-2</v>
      </c>
      <c r="Q132" t="s">
        <v>164</v>
      </c>
      <c r="S132" t="s">
        <v>238</v>
      </c>
      <c r="T132" t="s">
        <v>310</v>
      </c>
      <c r="U132">
        <v>8.9269009639343852E-2</v>
      </c>
      <c r="V132" t="s">
        <v>164</v>
      </c>
    </row>
    <row r="133" spans="9:22" x14ac:dyDescent="0.45">
      <c r="I133" t="s">
        <v>185</v>
      </c>
      <c r="J133" t="s">
        <v>311</v>
      </c>
      <c r="K133">
        <v>1.0470674810896823E-2</v>
      </c>
      <c r="L133" t="s">
        <v>164</v>
      </c>
      <c r="N133" t="s">
        <v>218</v>
      </c>
      <c r="O133" t="s">
        <v>311</v>
      </c>
      <c r="P133">
        <v>1.4739670268002237E-2</v>
      </c>
      <c r="Q133" t="s">
        <v>164</v>
      </c>
      <c r="S133" t="s">
        <v>238</v>
      </c>
      <c r="T133" t="s">
        <v>311</v>
      </c>
      <c r="U133">
        <v>1.2026043771625045E-2</v>
      </c>
      <c r="V133" t="s">
        <v>164</v>
      </c>
    </row>
    <row r="134" spans="9:22" x14ac:dyDescent="0.45">
      <c r="I134" t="s">
        <v>185</v>
      </c>
      <c r="J134" t="s">
        <v>312</v>
      </c>
      <c r="K134">
        <v>0.2159624487547338</v>
      </c>
      <c r="L134" t="s">
        <v>164</v>
      </c>
      <c r="N134" t="s">
        <v>218</v>
      </c>
      <c r="O134" t="s">
        <v>312</v>
      </c>
      <c r="P134">
        <v>0.12129501214145992</v>
      </c>
      <c r="Q134" t="s">
        <v>164</v>
      </c>
      <c r="S134" t="s">
        <v>238</v>
      </c>
      <c r="T134" t="s">
        <v>312</v>
      </c>
      <c r="U134">
        <v>9.3763284989695689E-2</v>
      </c>
      <c r="V134" t="s">
        <v>164</v>
      </c>
    </row>
    <row r="135" spans="9:22" x14ac:dyDescent="0.45">
      <c r="I135" t="s">
        <v>185</v>
      </c>
      <c r="J135" t="s">
        <v>313</v>
      </c>
      <c r="K135">
        <v>0</v>
      </c>
      <c r="L135" t="s">
        <v>164</v>
      </c>
      <c r="N135" t="s">
        <v>218</v>
      </c>
      <c r="O135" t="s">
        <v>313</v>
      </c>
      <c r="P135">
        <v>0.13053368511616248</v>
      </c>
      <c r="Q135" t="s">
        <v>164</v>
      </c>
      <c r="S135" t="s">
        <v>238</v>
      </c>
      <c r="T135" t="s">
        <v>313</v>
      </c>
      <c r="U135">
        <v>0.12220001142045341</v>
      </c>
      <c r="V135" t="s">
        <v>164</v>
      </c>
    </row>
    <row r="136" spans="9:22" x14ac:dyDescent="0.45">
      <c r="I136" t="s">
        <v>185</v>
      </c>
      <c r="J136" t="s">
        <v>314</v>
      </c>
      <c r="K136">
        <v>1.418004308627872E-2</v>
      </c>
      <c r="L136" t="s">
        <v>164</v>
      </c>
      <c r="N136" t="s">
        <v>218</v>
      </c>
      <c r="O136" t="s">
        <v>314</v>
      </c>
      <c r="P136">
        <v>2.5127947486562458E-2</v>
      </c>
      <c r="Q136" t="s">
        <v>164</v>
      </c>
      <c r="S136" t="s">
        <v>238</v>
      </c>
      <c r="T136" t="s">
        <v>314</v>
      </c>
      <c r="U136">
        <v>1.6284466611179785E-2</v>
      </c>
      <c r="V136" t="s">
        <v>164</v>
      </c>
    </row>
    <row r="137" spans="9:22" x14ac:dyDescent="0.45">
      <c r="I137" t="s">
        <v>185</v>
      </c>
      <c r="J137" t="s">
        <v>315</v>
      </c>
      <c r="K137">
        <v>0.2332903285617845</v>
      </c>
      <c r="L137" t="s">
        <v>164</v>
      </c>
      <c r="N137" t="s">
        <v>218</v>
      </c>
      <c r="O137" t="s">
        <v>315</v>
      </c>
      <c r="P137">
        <v>0.12037044116877822</v>
      </c>
      <c r="Q137" t="s">
        <v>164</v>
      </c>
      <c r="S137" t="s">
        <v>238</v>
      </c>
      <c r="T137" t="s">
        <v>315</v>
      </c>
      <c r="U137">
        <v>0.10583712360399566</v>
      </c>
      <c r="V137" t="s">
        <v>164</v>
      </c>
    </row>
    <row r="138" spans="9:22" x14ac:dyDescent="0.45">
      <c r="I138" t="s">
        <v>185</v>
      </c>
      <c r="J138" t="s">
        <v>316</v>
      </c>
      <c r="K138">
        <v>0</v>
      </c>
      <c r="L138" t="s">
        <v>164</v>
      </c>
      <c r="N138" t="s">
        <v>218</v>
      </c>
      <c r="O138" t="s">
        <v>316</v>
      </c>
      <c r="P138">
        <v>0.13381360189718691</v>
      </c>
      <c r="Q138" t="s">
        <v>164</v>
      </c>
      <c r="S138" t="s">
        <v>238</v>
      </c>
      <c r="T138" t="s">
        <v>316</v>
      </c>
      <c r="U138">
        <v>0.13573287059337538</v>
      </c>
      <c r="V138" t="s">
        <v>164</v>
      </c>
    </row>
    <row r="139" spans="9:22" x14ac:dyDescent="0.45">
      <c r="I139" t="s">
        <v>185</v>
      </c>
      <c r="J139" t="s">
        <v>317</v>
      </c>
      <c r="K139">
        <v>1.7258969941027522E-2</v>
      </c>
      <c r="L139" t="s">
        <v>164</v>
      </c>
      <c r="N139" t="s">
        <v>218</v>
      </c>
      <c r="O139" t="s">
        <v>317</v>
      </c>
      <c r="P139">
        <v>2.5524852889899675E-2</v>
      </c>
      <c r="Q139" t="s">
        <v>164</v>
      </c>
      <c r="S139" t="s">
        <v>238</v>
      </c>
      <c r="T139" t="s">
        <v>317</v>
      </c>
      <c r="U139">
        <v>1.8152784768887542E-2</v>
      </c>
      <c r="V139" t="s">
        <v>164</v>
      </c>
    </row>
    <row r="140" spans="9:22" x14ac:dyDescent="0.45">
      <c r="I140" t="s">
        <v>185</v>
      </c>
      <c r="J140" t="s">
        <v>318</v>
      </c>
      <c r="K140">
        <v>0.25600401960779323</v>
      </c>
      <c r="L140" t="s">
        <v>164</v>
      </c>
      <c r="N140" t="s">
        <v>218</v>
      </c>
      <c r="O140" t="s">
        <v>318</v>
      </c>
      <c r="P140">
        <v>0.12976078038372474</v>
      </c>
      <c r="Q140" t="s">
        <v>164</v>
      </c>
      <c r="S140" t="s">
        <v>238</v>
      </c>
      <c r="T140" t="s">
        <v>318</v>
      </c>
      <c r="U140">
        <v>0.1429361703259574</v>
      </c>
      <c r="V140" t="s">
        <v>164</v>
      </c>
    </row>
    <row r="141" spans="9:22" x14ac:dyDescent="0.45">
      <c r="I141" t="s">
        <v>185</v>
      </c>
      <c r="J141" t="s">
        <v>319</v>
      </c>
      <c r="K141">
        <v>0</v>
      </c>
      <c r="L141" t="s">
        <v>164</v>
      </c>
      <c r="N141" t="s">
        <v>218</v>
      </c>
      <c r="O141" t="s">
        <v>319</v>
      </c>
      <c r="P141">
        <v>0.13440383235243075</v>
      </c>
      <c r="Q141" t="s">
        <v>164</v>
      </c>
      <c r="S141" t="s">
        <v>238</v>
      </c>
      <c r="T141" t="s">
        <v>319</v>
      </c>
      <c r="U141">
        <v>0.16349324069822943</v>
      </c>
      <c r="V141" t="s">
        <v>164</v>
      </c>
    </row>
    <row r="142" spans="9:22" x14ac:dyDescent="0.45">
      <c r="I142" t="s">
        <v>185</v>
      </c>
      <c r="J142" t="s">
        <v>320</v>
      </c>
      <c r="K142">
        <v>2.0210060526115098E-2</v>
      </c>
      <c r="L142" t="s">
        <v>164</v>
      </c>
      <c r="N142" t="s">
        <v>218</v>
      </c>
      <c r="O142" t="s">
        <v>320</v>
      </c>
      <c r="P142">
        <v>2.6475458670293432E-2</v>
      </c>
      <c r="Q142" t="s">
        <v>164</v>
      </c>
      <c r="S142" t="s">
        <v>238</v>
      </c>
      <c r="T142" t="s">
        <v>320</v>
      </c>
      <c r="U142">
        <v>2.4072481875099496E-2</v>
      </c>
      <c r="V142" t="s">
        <v>164</v>
      </c>
    </row>
    <row r="143" spans="9:22" x14ac:dyDescent="0.45">
      <c r="I143" t="s">
        <v>186</v>
      </c>
      <c r="J143" t="s">
        <v>309</v>
      </c>
      <c r="K143">
        <v>0.24225380475575528</v>
      </c>
      <c r="L143" t="s">
        <v>164</v>
      </c>
      <c r="N143" t="s">
        <v>219</v>
      </c>
      <c r="O143" t="s">
        <v>309</v>
      </c>
      <c r="P143">
        <v>7.0707774950171762E-2</v>
      </c>
      <c r="Q143" t="s">
        <v>164</v>
      </c>
      <c r="S143" t="s">
        <v>239</v>
      </c>
      <c r="T143" t="s">
        <v>309</v>
      </c>
      <c r="U143">
        <v>6.2029233691653855E-2</v>
      </c>
      <c r="V143" t="s">
        <v>164</v>
      </c>
    </row>
    <row r="144" spans="9:22" x14ac:dyDescent="0.45">
      <c r="I144" t="s">
        <v>186</v>
      </c>
      <c r="J144" t="s">
        <v>310</v>
      </c>
      <c r="K144">
        <v>0</v>
      </c>
      <c r="L144" t="s">
        <v>164</v>
      </c>
      <c r="N144" t="s">
        <v>219</v>
      </c>
      <c r="O144" t="s">
        <v>310</v>
      </c>
      <c r="P144">
        <v>4.7401377778678172E-2</v>
      </c>
      <c r="Q144" t="s">
        <v>164</v>
      </c>
      <c r="S144" t="s">
        <v>239</v>
      </c>
      <c r="T144" t="s">
        <v>310</v>
      </c>
      <c r="U144">
        <v>8.4832369032322733E-2</v>
      </c>
      <c r="V144" t="s">
        <v>164</v>
      </c>
    </row>
    <row r="145" spans="9:22" x14ac:dyDescent="0.45">
      <c r="I145" t="s">
        <v>186</v>
      </c>
      <c r="J145" t="s">
        <v>311</v>
      </c>
      <c r="K145">
        <v>1.34647652234206E-2</v>
      </c>
      <c r="L145" t="s">
        <v>164</v>
      </c>
      <c r="N145" t="s">
        <v>219</v>
      </c>
      <c r="O145" t="s">
        <v>311</v>
      </c>
      <c r="P145">
        <v>1.445192519310943E-2</v>
      </c>
      <c r="Q145" t="s">
        <v>164</v>
      </c>
      <c r="S145" t="s">
        <v>239</v>
      </c>
      <c r="T145" t="s">
        <v>311</v>
      </c>
      <c r="U145">
        <v>1.1412649066822924E-2</v>
      </c>
      <c r="V145" t="s">
        <v>164</v>
      </c>
    </row>
    <row r="146" spans="9:22" x14ac:dyDescent="0.45">
      <c r="I146" t="s">
        <v>186</v>
      </c>
      <c r="J146" t="s">
        <v>312</v>
      </c>
      <c r="K146">
        <v>0.21385227114661748</v>
      </c>
      <c r="L146" t="s">
        <v>164</v>
      </c>
      <c r="N146" t="s">
        <v>219</v>
      </c>
      <c r="O146" t="s">
        <v>312</v>
      </c>
      <c r="P146">
        <v>9.9072291842253218E-2</v>
      </c>
      <c r="Q146" t="s">
        <v>164</v>
      </c>
      <c r="S146" t="s">
        <v>239</v>
      </c>
      <c r="T146" t="s">
        <v>312</v>
      </c>
      <c r="U146">
        <v>0.12313950660012812</v>
      </c>
      <c r="V146" t="s">
        <v>164</v>
      </c>
    </row>
    <row r="147" spans="9:22" x14ac:dyDescent="0.45">
      <c r="I147" t="s">
        <v>186</v>
      </c>
      <c r="J147" t="s">
        <v>313</v>
      </c>
      <c r="K147">
        <v>0</v>
      </c>
      <c r="L147" t="s">
        <v>164</v>
      </c>
      <c r="N147" t="s">
        <v>219</v>
      </c>
      <c r="O147" t="s">
        <v>313</v>
      </c>
      <c r="P147">
        <v>9.7411073205554824E-2</v>
      </c>
      <c r="Q147" t="s">
        <v>164</v>
      </c>
      <c r="S147" t="s">
        <v>239</v>
      </c>
      <c r="T147" t="s">
        <v>313</v>
      </c>
      <c r="U147">
        <v>0.16029370960762468</v>
      </c>
      <c r="V147" t="s">
        <v>164</v>
      </c>
    </row>
    <row r="148" spans="9:22" x14ac:dyDescent="0.45">
      <c r="I148" t="s">
        <v>186</v>
      </c>
      <c r="J148" t="s">
        <v>314</v>
      </c>
      <c r="K148">
        <v>1.5381989711223627E-2</v>
      </c>
      <c r="L148" t="s">
        <v>164</v>
      </c>
      <c r="N148" t="s">
        <v>219</v>
      </c>
      <c r="O148" t="s">
        <v>314</v>
      </c>
      <c r="P148">
        <v>2.0860600778404532E-2</v>
      </c>
      <c r="Q148" t="s">
        <v>164</v>
      </c>
      <c r="S148" t="s">
        <v>239</v>
      </c>
      <c r="T148" t="s">
        <v>314</v>
      </c>
      <c r="U148">
        <v>2.0224636086251673E-2</v>
      </c>
      <c r="V148" t="s">
        <v>164</v>
      </c>
    </row>
    <row r="149" spans="9:22" x14ac:dyDescent="0.45">
      <c r="I149" t="s">
        <v>186</v>
      </c>
      <c r="J149" t="s">
        <v>315</v>
      </c>
      <c r="K149">
        <v>0.227494509574313</v>
      </c>
      <c r="L149" t="s">
        <v>164</v>
      </c>
      <c r="N149" t="s">
        <v>219</v>
      </c>
      <c r="O149" t="s">
        <v>315</v>
      </c>
      <c r="P149">
        <v>0.16810525275106986</v>
      </c>
      <c r="Q149" t="s">
        <v>164</v>
      </c>
      <c r="S149" t="s">
        <v>239</v>
      </c>
      <c r="T149" t="s">
        <v>315</v>
      </c>
      <c r="U149">
        <v>7.552464010046632E-2</v>
      </c>
      <c r="V149" t="s">
        <v>164</v>
      </c>
    </row>
    <row r="150" spans="9:22" x14ac:dyDescent="0.45">
      <c r="I150" t="s">
        <v>186</v>
      </c>
      <c r="J150" t="s">
        <v>316</v>
      </c>
      <c r="K150">
        <v>0</v>
      </c>
      <c r="L150" t="s">
        <v>164</v>
      </c>
      <c r="N150" t="s">
        <v>219</v>
      </c>
      <c r="O150" t="s">
        <v>316</v>
      </c>
      <c r="P150">
        <v>0.1171500779958657</v>
      </c>
      <c r="Q150" t="s">
        <v>164</v>
      </c>
      <c r="S150" t="s">
        <v>239</v>
      </c>
      <c r="T150" t="s">
        <v>316</v>
      </c>
      <c r="U150">
        <v>0.10810039856972953</v>
      </c>
      <c r="V150" t="s">
        <v>164</v>
      </c>
    </row>
    <row r="151" spans="9:22" x14ac:dyDescent="0.45">
      <c r="I151" t="s">
        <v>186</v>
      </c>
      <c r="J151" t="s">
        <v>317</v>
      </c>
      <c r="K151">
        <v>1.7134547571161798E-2</v>
      </c>
      <c r="L151" t="s">
        <v>164</v>
      </c>
      <c r="N151" t="s">
        <v>219</v>
      </c>
      <c r="O151" t="s">
        <v>317</v>
      </c>
      <c r="P151">
        <v>3.0821377044190669E-2</v>
      </c>
      <c r="Q151" t="s">
        <v>164</v>
      </c>
      <c r="S151" t="s">
        <v>239</v>
      </c>
      <c r="T151" t="s">
        <v>317</v>
      </c>
      <c r="U151">
        <v>1.317972063233698E-2</v>
      </c>
      <c r="V151" t="s">
        <v>164</v>
      </c>
    </row>
    <row r="152" spans="9:22" x14ac:dyDescent="0.45">
      <c r="I152" t="s">
        <v>186</v>
      </c>
      <c r="J152" t="s">
        <v>318</v>
      </c>
      <c r="K152">
        <v>0.24640809852830334</v>
      </c>
      <c r="L152" t="s">
        <v>164</v>
      </c>
      <c r="N152" t="s">
        <v>219</v>
      </c>
      <c r="O152" t="s">
        <v>318</v>
      </c>
      <c r="P152">
        <v>0.16091611728151758</v>
      </c>
      <c r="Q152" t="s">
        <v>164</v>
      </c>
      <c r="S152" t="s">
        <v>239</v>
      </c>
      <c r="T152" t="s">
        <v>318</v>
      </c>
      <c r="U152">
        <v>0.14668464133113207</v>
      </c>
      <c r="V152" t="s">
        <v>164</v>
      </c>
    </row>
    <row r="153" spans="9:22" x14ac:dyDescent="0.45">
      <c r="I153" t="s">
        <v>186</v>
      </c>
      <c r="J153" t="s">
        <v>319</v>
      </c>
      <c r="K153">
        <v>0</v>
      </c>
      <c r="L153" t="s">
        <v>164</v>
      </c>
      <c r="N153" t="s">
        <v>219</v>
      </c>
      <c r="O153" t="s">
        <v>319</v>
      </c>
      <c r="P153">
        <v>0.13695676477143548</v>
      </c>
      <c r="Q153" t="s">
        <v>164</v>
      </c>
      <c r="S153" t="s">
        <v>239</v>
      </c>
      <c r="T153" t="s">
        <v>319</v>
      </c>
      <c r="U153">
        <v>0.17089338539837906</v>
      </c>
      <c r="V153" t="s">
        <v>164</v>
      </c>
    </row>
    <row r="154" spans="9:22" x14ac:dyDescent="0.45">
      <c r="I154" t="s">
        <v>186</v>
      </c>
      <c r="J154" t="s">
        <v>320</v>
      </c>
      <c r="K154">
        <v>2.401001348920696E-2</v>
      </c>
      <c r="L154" t="s">
        <v>164</v>
      </c>
      <c r="N154" t="s">
        <v>219</v>
      </c>
      <c r="O154" t="s">
        <v>320</v>
      </c>
      <c r="P154">
        <v>3.6145366407748999E-2</v>
      </c>
      <c r="Q154" t="s">
        <v>164</v>
      </c>
      <c r="S154" t="s">
        <v>239</v>
      </c>
      <c r="T154" t="s">
        <v>320</v>
      </c>
      <c r="U154">
        <v>2.3685109883151034E-2</v>
      </c>
      <c r="V154" t="s">
        <v>164</v>
      </c>
    </row>
    <row r="155" spans="9:22" x14ac:dyDescent="0.45">
      <c r="I155" t="s">
        <v>187</v>
      </c>
      <c r="J155" t="s">
        <v>309</v>
      </c>
      <c r="K155">
        <v>0.22734209077137027</v>
      </c>
      <c r="L155" t="s">
        <v>164</v>
      </c>
      <c r="N155" t="s">
        <v>220</v>
      </c>
      <c r="O155" t="s">
        <v>309</v>
      </c>
      <c r="P155">
        <v>0.16284348564113896</v>
      </c>
      <c r="Q155" t="s">
        <v>164</v>
      </c>
      <c r="S155" t="s">
        <v>240</v>
      </c>
      <c r="T155" t="s">
        <v>309</v>
      </c>
      <c r="U155">
        <v>6.3311641978680583E-2</v>
      </c>
      <c r="V155" t="s">
        <v>164</v>
      </c>
    </row>
    <row r="156" spans="9:22" x14ac:dyDescent="0.45">
      <c r="I156" t="s">
        <v>187</v>
      </c>
      <c r="J156" t="s">
        <v>310</v>
      </c>
      <c r="K156">
        <v>0</v>
      </c>
      <c r="L156" t="s">
        <v>164</v>
      </c>
      <c r="N156" t="s">
        <v>220</v>
      </c>
      <c r="O156" t="s">
        <v>310</v>
      </c>
      <c r="P156">
        <v>3.2478421164324055E-2</v>
      </c>
      <c r="Q156" t="s">
        <v>164</v>
      </c>
      <c r="S156" t="s">
        <v>240</v>
      </c>
      <c r="T156" t="s">
        <v>310</v>
      </c>
      <c r="U156">
        <v>9.1920193671899214E-2</v>
      </c>
      <c r="V156" t="s">
        <v>164</v>
      </c>
    </row>
    <row r="157" spans="9:22" x14ac:dyDescent="0.45">
      <c r="I157" t="s">
        <v>187</v>
      </c>
      <c r="J157" t="s">
        <v>311</v>
      </c>
      <c r="K157">
        <v>1.4254420811182812E-2</v>
      </c>
      <c r="L157" t="s">
        <v>164</v>
      </c>
      <c r="N157" t="s">
        <v>220</v>
      </c>
      <c r="O157" t="s">
        <v>311</v>
      </c>
      <c r="P157">
        <v>1.3785362521352458E-2</v>
      </c>
      <c r="Q157" t="s">
        <v>164</v>
      </c>
      <c r="S157" t="s">
        <v>240</v>
      </c>
      <c r="T157" t="s">
        <v>311</v>
      </c>
      <c r="U157">
        <v>1.4123842377887993E-2</v>
      </c>
      <c r="V157" t="s">
        <v>164</v>
      </c>
    </row>
    <row r="158" spans="9:22" x14ac:dyDescent="0.45">
      <c r="I158" t="s">
        <v>187</v>
      </c>
      <c r="J158" t="s">
        <v>312</v>
      </c>
      <c r="K158">
        <v>0.21943575459025302</v>
      </c>
      <c r="L158" t="s">
        <v>164</v>
      </c>
      <c r="N158" t="s">
        <v>220</v>
      </c>
      <c r="O158" t="s">
        <v>312</v>
      </c>
      <c r="P158">
        <v>0.16498450521556599</v>
      </c>
      <c r="Q158" t="s">
        <v>164</v>
      </c>
      <c r="S158" t="s">
        <v>240</v>
      </c>
      <c r="T158" t="s">
        <v>312</v>
      </c>
      <c r="U158">
        <v>0.12835362615835003</v>
      </c>
      <c r="V158" t="s">
        <v>164</v>
      </c>
    </row>
    <row r="159" spans="9:22" x14ac:dyDescent="0.45">
      <c r="I159" t="s">
        <v>187</v>
      </c>
      <c r="J159" t="s">
        <v>313</v>
      </c>
      <c r="K159">
        <v>0</v>
      </c>
      <c r="L159" t="s">
        <v>164</v>
      </c>
      <c r="N159" t="s">
        <v>220</v>
      </c>
      <c r="O159" t="s">
        <v>313</v>
      </c>
      <c r="P159">
        <v>3.674890265592444E-2</v>
      </c>
      <c r="Q159" t="s">
        <v>164</v>
      </c>
      <c r="S159" t="s">
        <v>240</v>
      </c>
      <c r="T159" t="s">
        <v>313</v>
      </c>
      <c r="U159">
        <v>0.16844019722370226</v>
      </c>
      <c r="V159" t="s">
        <v>164</v>
      </c>
    </row>
    <row r="160" spans="9:22" x14ac:dyDescent="0.45">
      <c r="I160" t="s">
        <v>187</v>
      </c>
      <c r="J160" t="s">
        <v>314</v>
      </c>
      <c r="K160">
        <v>1.8134272446779297E-2</v>
      </c>
      <c r="L160" t="s">
        <v>164</v>
      </c>
      <c r="N160" t="s">
        <v>220</v>
      </c>
      <c r="O160" t="s">
        <v>314</v>
      </c>
      <c r="P160">
        <v>1.2740603243366051E-2</v>
      </c>
      <c r="Q160" t="s">
        <v>164</v>
      </c>
      <c r="S160" t="s">
        <v>240</v>
      </c>
      <c r="T160" t="s">
        <v>314</v>
      </c>
      <c r="U160">
        <v>2.3343082854351566E-2</v>
      </c>
      <c r="V160" t="s">
        <v>164</v>
      </c>
    </row>
    <row r="161" spans="9:22" x14ac:dyDescent="0.45">
      <c r="I161" t="s">
        <v>187</v>
      </c>
      <c r="J161" t="s">
        <v>315</v>
      </c>
      <c r="K161">
        <v>0.21234989168108442</v>
      </c>
      <c r="L161" t="s">
        <v>164</v>
      </c>
      <c r="N161" t="s">
        <v>220</v>
      </c>
      <c r="O161" t="s">
        <v>315</v>
      </c>
      <c r="P161">
        <v>0.29451383870973091</v>
      </c>
      <c r="Q161" t="s">
        <v>164</v>
      </c>
      <c r="S161" t="s">
        <v>240</v>
      </c>
      <c r="T161" t="s">
        <v>315</v>
      </c>
      <c r="U161">
        <v>6.9851891981231401E-2</v>
      </c>
      <c r="V161" t="s">
        <v>164</v>
      </c>
    </row>
    <row r="162" spans="9:22" x14ac:dyDescent="0.45">
      <c r="I162" t="s">
        <v>187</v>
      </c>
      <c r="J162" t="s">
        <v>316</v>
      </c>
      <c r="K162">
        <v>0</v>
      </c>
      <c r="L162" t="s">
        <v>164</v>
      </c>
      <c r="N162" t="s">
        <v>220</v>
      </c>
      <c r="O162" t="s">
        <v>316</v>
      </c>
      <c r="P162">
        <v>6.975463086135901E-2</v>
      </c>
      <c r="Q162" t="s">
        <v>164</v>
      </c>
      <c r="S162" t="s">
        <v>240</v>
      </c>
      <c r="T162" t="s">
        <v>316</v>
      </c>
      <c r="U162">
        <v>0.10291403193225453</v>
      </c>
      <c r="V162" t="s">
        <v>164</v>
      </c>
    </row>
    <row r="163" spans="9:22" x14ac:dyDescent="0.45">
      <c r="I163" t="s">
        <v>187</v>
      </c>
      <c r="J163" t="s">
        <v>317</v>
      </c>
      <c r="K163">
        <v>1.9043192381690527E-2</v>
      </c>
      <c r="L163" t="s">
        <v>164</v>
      </c>
      <c r="N163" t="s">
        <v>220</v>
      </c>
      <c r="O163" t="s">
        <v>317</v>
      </c>
      <c r="P163">
        <v>2.4408146428780118E-2</v>
      </c>
      <c r="Q163" t="s">
        <v>164</v>
      </c>
      <c r="S163" t="s">
        <v>240</v>
      </c>
      <c r="T163" t="s">
        <v>317</v>
      </c>
      <c r="U163">
        <v>1.3924726244749479E-2</v>
      </c>
      <c r="V163" t="s">
        <v>164</v>
      </c>
    </row>
    <row r="164" spans="9:22" x14ac:dyDescent="0.45">
      <c r="I164" t="s">
        <v>187</v>
      </c>
      <c r="J164" t="s">
        <v>318</v>
      </c>
      <c r="K164">
        <v>0.26261523083455668</v>
      </c>
      <c r="L164" t="s">
        <v>164</v>
      </c>
      <c r="N164" t="s">
        <v>220</v>
      </c>
      <c r="O164" t="s">
        <v>318</v>
      </c>
      <c r="P164">
        <v>0.11739330954859735</v>
      </c>
      <c r="Q164" t="s">
        <v>164</v>
      </c>
      <c r="S164" t="s">
        <v>240</v>
      </c>
      <c r="T164" t="s">
        <v>318</v>
      </c>
      <c r="U164">
        <v>0.13664684744891403</v>
      </c>
      <c r="V164" t="s">
        <v>164</v>
      </c>
    </row>
    <row r="165" spans="9:22" x14ac:dyDescent="0.45">
      <c r="I165" t="s">
        <v>187</v>
      </c>
      <c r="J165" t="s">
        <v>319</v>
      </c>
      <c r="K165">
        <v>0</v>
      </c>
      <c r="L165" t="s">
        <v>164</v>
      </c>
      <c r="N165" t="s">
        <v>220</v>
      </c>
      <c r="O165" t="s">
        <v>319</v>
      </c>
      <c r="P165">
        <v>5.0505078932491586E-2</v>
      </c>
      <c r="Q165" t="s">
        <v>164</v>
      </c>
      <c r="S165" t="s">
        <v>240</v>
      </c>
      <c r="T165" t="s">
        <v>319</v>
      </c>
      <c r="U165">
        <v>0.16348181951061513</v>
      </c>
      <c r="V165" t="s">
        <v>164</v>
      </c>
    </row>
    <row r="166" spans="9:22" x14ac:dyDescent="0.45">
      <c r="I166" t="s">
        <v>187</v>
      </c>
      <c r="J166" t="s">
        <v>320</v>
      </c>
      <c r="K166">
        <v>2.682514648308363E-2</v>
      </c>
      <c r="L166" t="s">
        <v>164</v>
      </c>
      <c r="N166" t="s">
        <v>220</v>
      </c>
      <c r="O166" t="s">
        <v>320</v>
      </c>
      <c r="P166">
        <v>1.9843715077368835E-2</v>
      </c>
      <c r="Q166" t="s">
        <v>164</v>
      </c>
      <c r="S166" t="s">
        <v>240</v>
      </c>
      <c r="T166" t="s">
        <v>320</v>
      </c>
      <c r="U166">
        <v>2.3688098617362447E-2</v>
      </c>
      <c r="V166" t="s">
        <v>164</v>
      </c>
    </row>
    <row r="167" spans="9:22" x14ac:dyDescent="0.45">
      <c r="I167" t="s">
        <v>188</v>
      </c>
      <c r="J167" t="s">
        <v>309</v>
      </c>
      <c r="K167">
        <v>0.22820397813885393</v>
      </c>
      <c r="L167" t="s">
        <v>164</v>
      </c>
      <c r="N167" t="s">
        <v>221</v>
      </c>
      <c r="O167" t="s">
        <v>309</v>
      </c>
      <c r="P167">
        <v>3.8127309327162677E-2</v>
      </c>
      <c r="Q167" t="s">
        <v>164</v>
      </c>
      <c r="S167" t="s">
        <v>241</v>
      </c>
      <c r="T167" t="s">
        <v>309</v>
      </c>
      <c r="U167">
        <v>7.745992479629274E-2</v>
      </c>
      <c r="V167" t="s">
        <v>164</v>
      </c>
    </row>
    <row r="168" spans="9:22" x14ac:dyDescent="0.45">
      <c r="I168" t="s">
        <v>188</v>
      </c>
      <c r="J168" t="s">
        <v>310</v>
      </c>
      <c r="K168">
        <v>0</v>
      </c>
      <c r="L168" t="s">
        <v>164</v>
      </c>
      <c r="N168" t="s">
        <v>221</v>
      </c>
      <c r="O168" t="s">
        <v>310</v>
      </c>
      <c r="P168">
        <v>6.5980612657222618E-2</v>
      </c>
      <c r="Q168" t="s">
        <v>164</v>
      </c>
      <c r="S168" t="s">
        <v>241</v>
      </c>
      <c r="T168" t="s">
        <v>310</v>
      </c>
      <c r="U168">
        <v>9.287268666993069E-2</v>
      </c>
      <c r="V168" t="s">
        <v>164</v>
      </c>
    </row>
    <row r="169" spans="9:22" x14ac:dyDescent="0.45">
      <c r="I169" t="s">
        <v>188</v>
      </c>
      <c r="J169" t="s">
        <v>311</v>
      </c>
      <c r="K169">
        <v>1.1454167650981277E-2</v>
      </c>
      <c r="L169" t="s">
        <v>164</v>
      </c>
      <c r="N169" t="s">
        <v>221</v>
      </c>
      <c r="O169" t="s">
        <v>311</v>
      </c>
      <c r="P169">
        <v>6.2714401879717541E-3</v>
      </c>
      <c r="Q169" t="s">
        <v>164</v>
      </c>
      <c r="S169" t="s">
        <v>241</v>
      </c>
      <c r="T169" t="s">
        <v>311</v>
      </c>
      <c r="U169">
        <v>1.2272713948635742E-2</v>
      </c>
      <c r="V169" t="s">
        <v>164</v>
      </c>
    </row>
    <row r="170" spans="9:22" x14ac:dyDescent="0.45">
      <c r="I170" t="s">
        <v>188</v>
      </c>
      <c r="J170" t="s">
        <v>312</v>
      </c>
      <c r="K170">
        <v>0.21219783865446429</v>
      </c>
      <c r="L170" t="s">
        <v>164</v>
      </c>
      <c r="N170" t="s">
        <v>221</v>
      </c>
      <c r="O170" t="s">
        <v>312</v>
      </c>
      <c r="P170">
        <v>0.10610418057869239</v>
      </c>
      <c r="Q170" t="s">
        <v>164</v>
      </c>
      <c r="S170" t="s">
        <v>241</v>
      </c>
      <c r="T170" t="s">
        <v>312</v>
      </c>
      <c r="U170">
        <v>0.10986811115803619</v>
      </c>
      <c r="V170" t="s">
        <v>164</v>
      </c>
    </row>
    <row r="171" spans="9:22" x14ac:dyDescent="0.45">
      <c r="I171" t="s">
        <v>188</v>
      </c>
      <c r="J171" t="s">
        <v>313</v>
      </c>
      <c r="K171">
        <v>0</v>
      </c>
      <c r="L171" t="s">
        <v>164</v>
      </c>
      <c r="N171" t="s">
        <v>221</v>
      </c>
      <c r="O171" t="s">
        <v>313</v>
      </c>
      <c r="P171">
        <v>0.15270884026962733</v>
      </c>
      <c r="Q171" t="s">
        <v>164</v>
      </c>
      <c r="S171" t="s">
        <v>241</v>
      </c>
      <c r="T171" t="s">
        <v>313</v>
      </c>
      <c r="U171">
        <v>0.14181417696552862</v>
      </c>
      <c r="V171" t="s">
        <v>164</v>
      </c>
    </row>
    <row r="172" spans="9:22" x14ac:dyDescent="0.45">
      <c r="I172" t="s">
        <v>188</v>
      </c>
      <c r="J172" t="s">
        <v>314</v>
      </c>
      <c r="K172">
        <v>1.598002833004869E-2</v>
      </c>
      <c r="L172" t="s">
        <v>164</v>
      </c>
      <c r="N172" t="s">
        <v>221</v>
      </c>
      <c r="O172" t="s">
        <v>314</v>
      </c>
      <c r="P172">
        <v>1.0970045028097616E-2</v>
      </c>
      <c r="Q172" t="s">
        <v>164</v>
      </c>
      <c r="S172" t="s">
        <v>241</v>
      </c>
      <c r="T172" t="s">
        <v>314</v>
      </c>
      <c r="U172">
        <v>1.9053838700415028E-2</v>
      </c>
      <c r="V172" t="s">
        <v>164</v>
      </c>
    </row>
    <row r="173" spans="9:22" x14ac:dyDescent="0.45">
      <c r="I173" t="s">
        <v>188</v>
      </c>
      <c r="J173" t="s">
        <v>315</v>
      </c>
      <c r="K173">
        <v>0.22390437321341802</v>
      </c>
      <c r="L173" t="s">
        <v>164</v>
      </c>
      <c r="N173" t="s">
        <v>221</v>
      </c>
      <c r="O173" t="s">
        <v>315</v>
      </c>
      <c r="P173">
        <v>3.9705191949699729E-2</v>
      </c>
      <c r="Q173" t="s">
        <v>164</v>
      </c>
      <c r="S173" t="s">
        <v>241</v>
      </c>
      <c r="T173" t="s">
        <v>315</v>
      </c>
      <c r="U173">
        <v>9.0408120389690552E-2</v>
      </c>
      <c r="V173" t="s">
        <v>164</v>
      </c>
    </row>
    <row r="174" spans="9:22" x14ac:dyDescent="0.45">
      <c r="I174" t="s">
        <v>188</v>
      </c>
      <c r="J174" t="s">
        <v>316</v>
      </c>
      <c r="K174">
        <v>0</v>
      </c>
      <c r="L174" t="s">
        <v>164</v>
      </c>
      <c r="N174" t="s">
        <v>221</v>
      </c>
      <c r="O174" t="s">
        <v>316</v>
      </c>
      <c r="P174">
        <v>5.2154185311952768E-2</v>
      </c>
      <c r="Q174" t="s">
        <v>164</v>
      </c>
      <c r="S174" t="s">
        <v>241</v>
      </c>
      <c r="T174" t="s">
        <v>316</v>
      </c>
      <c r="U174">
        <v>0.12260902530448768</v>
      </c>
      <c r="V174" t="s">
        <v>164</v>
      </c>
    </row>
    <row r="175" spans="9:22" x14ac:dyDescent="0.45">
      <c r="I175" t="s">
        <v>188</v>
      </c>
      <c r="J175" t="s">
        <v>317</v>
      </c>
      <c r="K175">
        <v>1.7450369652886759E-2</v>
      </c>
      <c r="L175" t="s">
        <v>164</v>
      </c>
      <c r="N175" t="s">
        <v>221</v>
      </c>
      <c r="O175" t="s">
        <v>317</v>
      </c>
      <c r="P175">
        <v>4.8236474083332504E-3</v>
      </c>
      <c r="Q175" t="s">
        <v>164</v>
      </c>
      <c r="S175" t="s">
        <v>241</v>
      </c>
      <c r="T175" t="s">
        <v>317</v>
      </c>
      <c r="U175">
        <v>1.6062569963237065E-2</v>
      </c>
      <c r="V175" t="s">
        <v>164</v>
      </c>
    </row>
    <row r="176" spans="9:22" x14ac:dyDescent="0.45">
      <c r="I176" t="s">
        <v>188</v>
      </c>
      <c r="J176" t="s">
        <v>318</v>
      </c>
      <c r="K176">
        <v>0.26322442515726469</v>
      </c>
      <c r="L176" t="s">
        <v>164</v>
      </c>
      <c r="N176" t="s">
        <v>221</v>
      </c>
      <c r="O176" t="s">
        <v>318</v>
      </c>
      <c r="P176">
        <v>0.21167378829326433</v>
      </c>
      <c r="Q176" t="s">
        <v>164</v>
      </c>
      <c r="S176" t="s">
        <v>241</v>
      </c>
      <c r="T176" t="s">
        <v>318</v>
      </c>
      <c r="U176">
        <v>0.13943175869284308</v>
      </c>
      <c r="V176" t="s">
        <v>164</v>
      </c>
    </row>
    <row r="177" spans="9:22" x14ac:dyDescent="0.45">
      <c r="I177" t="s">
        <v>188</v>
      </c>
      <c r="J177" t="s">
        <v>319</v>
      </c>
      <c r="K177">
        <v>0</v>
      </c>
      <c r="L177" t="s">
        <v>164</v>
      </c>
      <c r="N177" t="s">
        <v>221</v>
      </c>
      <c r="O177" t="s">
        <v>319</v>
      </c>
      <c r="P177">
        <v>0.28579645577120499</v>
      </c>
      <c r="Q177" t="s">
        <v>164</v>
      </c>
      <c r="S177" t="s">
        <v>241</v>
      </c>
      <c r="T177" t="s">
        <v>319</v>
      </c>
      <c r="U177">
        <v>0.15543673902221708</v>
      </c>
      <c r="V177" t="s">
        <v>164</v>
      </c>
    </row>
    <row r="178" spans="9:22" x14ac:dyDescent="0.45">
      <c r="I178" t="s">
        <v>188</v>
      </c>
      <c r="J178" t="s">
        <v>320</v>
      </c>
      <c r="K178">
        <v>2.7584819202080928E-2</v>
      </c>
      <c r="L178" t="s">
        <v>164</v>
      </c>
      <c r="N178" t="s">
        <v>221</v>
      </c>
      <c r="O178" t="s">
        <v>320</v>
      </c>
      <c r="P178">
        <v>2.5684303216770978E-2</v>
      </c>
      <c r="Q178" t="s">
        <v>164</v>
      </c>
      <c r="S178" t="s">
        <v>241</v>
      </c>
      <c r="T178" t="s">
        <v>320</v>
      </c>
      <c r="U178">
        <v>2.2710334388682082E-2</v>
      </c>
      <c r="V178" t="s">
        <v>164</v>
      </c>
    </row>
    <row r="179" spans="9:22" x14ac:dyDescent="0.45">
      <c r="I179" t="s">
        <v>189</v>
      </c>
      <c r="J179" t="s">
        <v>309</v>
      </c>
      <c r="K179">
        <v>0.25737503332478057</v>
      </c>
      <c r="L179" t="s">
        <v>164</v>
      </c>
      <c r="N179" t="s">
        <v>222</v>
      </c>
      <c r="O179" t="s">
        <v>309</v>
      </c>
      <c r="P179">
        <v>4.712450132300755E-2</v>
      </c>
      <c r="Q179" t="s">
        <v>164</v>
      </c>
      <c r="S179" t="s">
        <v>242</v>
      </c>
      <c r="T179" t="s">
        <v>309</v>
      </c>
      <c r="U179">
        <v>7.4437598807149993E-2</v>
      </c>
      <c r="V179" t="s">
        <v>164</v>
      </c>
    </row>
    <row r="180" spans="9:22" x14ac:dyDescent="0.45">
      <c r="I180" t="s">
        <v>189</v>
      </c>
      <c r="J180" t="s">
        <v>310</v>
      </c>
      <c r="K180">
        <v>0</v>
      </c>
      <c r="L180" t="s">
        <v>164</v>
      </c>
      <c r="N180" t="s">
        <v>222</v>
      </c>
      <c r="O180" t="s">
        <v>310</v>
      </c>
      <c r="P180">
        <v>5.9176071309508742E-2</v>
      </c>
      <c r="Q180" t="s">
        <v>164</v>
      </c>
      <c r="S180" t="s">
        <v>242</v>
      </c>
      <c r="T180" t="s">
        <v>310</v>
      </c>
      <c r="U180">
        <v>9.687179232631607E-2</v>
      </c>
      <c r="V180" t="s">
        <v>164</v>
      </c>
    </row>
    <row r="181" spans="9:22" x14ac:dyDescent="0.45">
      <c r="I181" t="s">
        <v>189</v>
      </c>
      <c r="J181" t="s">
        <v>311</v>
      </c>
      <c r="K181">
        <v>1.4465324879055094E-2</v>
      </c>
      <c r="L181" t="s">
        <v>164</v>
      </c>
      <c r="N181" t="s">
        <v>222</v>
      </c>
      <c r="O181" t="s">
        <v>311</v>
      </c>
      <c r="P181">
        <v>5.8371181886807356E-3</v>
      </c>
      <c r="Q181" t="s">
        <v>164</v>
      </c>
      <c r="S181" t="s">
        <v>242</v>
      </c>
      <c r="T181" t="s">
        <v>311</v>
      </c>
      <c r="U181">
        <v>1.4499661868989237E-2</v>
      </c>
      <c r="V181" t="s">
        <v>164</v>
      </c>
    </row>
    <row r="182" spans="9:22" x14ac:dyDescent="0.45">
      <c r="I182" t="s">
        <v>189</v>
      </c>
      <c r="J182" t="s">
        <v>312</v>
      </c>
      <c r="K182">
        <v>0.20681570347299497</v>
      </c>
      <c r="L182" t="s">
        <v>164</v>
      </c>
      <c r="N182" t="s">
        <v>222</v>
      </c>
      <c r="O182" t="s">
        <v>312</v>
      </c>
      <c r="P182">
        <v>0.10764473639795677</v>
      </c>
      <c r="Q182" t="s">
        <v>164</v>
      </c>
      <c r="S182" t="s">
        <v>242</v>
      </c>
      <c r="T182" t="s">
        <v>312</v>
      </c>
      <c r="U182">
        <v>0.12219166697880236</v>
      </c>
      <c r="V182" t="s">
        <v>164</v>
      </c>
    </row>
    <row r="183" spans="9:22" x14ac:dyDescent="0.45">
      <c r="I183" t="s">
        <v>189</v>
      </c>
      <c r="J183" t="s">
        <v>313</v>
      </c>
      <c r="K183">
        <v>0</v>
      </c>
      <c r="L183" t="s">
        <v>164</v>
      </c>
      <c r="N183" t="s">
        <v>222</v>
      </c>
      <c r="O183" t="s">
        <v>313</v>
      </c>
      <c r="P183">
        <v>0.13100685826853406</v>
      </c>
      <c r="Q183" t="s">
        <v>164</v>
      </c>
      <c r="S183" t="s">
        <v>242</v>
      </c>
      <c r="T183" t="s">
        <v>313</v>
      </c>
      <c r="U183">
        <v>0.16961913184778435</v>
      </c>
      <c r="V183" t="s">
        <v>164</v>
      </c>
    </row>
    <row r="184" spans="9:22" x14ac:dyDescent="0.45">
      <c r="I184" t="s">
        <v>189</v>
      </c>
      <c r="J184" t="s">
        <v>314</v>
      </c>
      <c r="K184">
        <v>1.9594387343198402E-2</v>
      </c>
      <c r="L184" t="s">
        <v>164</v>
      </c>
      <c r="N184" t="s">
        <v>222</v>
      </c>
      <c r="O184" t="s">
        <v>314</v>
      </c>
      <c r="P184">
        <v>1.0591706510843627E-2</v>
      </c>
      <c r="Q184" t="s">
        <v>164</v>
      </c>
      <c r="S184" t="s">
        <v>242</v>
      </c>
      <c r="T184" t="s">
        <v>314</v>
      </c>
      <c r="U184">
        <v>2.6000150402923049E-2</v>
      </c>
      <c r="V184" t="s">
        <v>164</v>
      </c>
    </row>
    <row r="185" spans="9:22" x14ac:dyDescent="0.45">
      <c r="I185" t="s">
        <v>189</v>
      </c>
      <c r="J185" t="s">
        <v>315</v>
      </c>
      <c r="K185">
        <v>0.20054772574801338</v>
      </c>
      <c r="L185" t="s">
        <v>164</v>
      </c>
      <c r="N185" t="s">
        <v>222</v>
      </c>
      <c r="O185" t="s">
        <v>315</v>
      </c>
      <c r="P185">
        <v>4.0831780758276856E-2</v>
      </c>
      <c r="Q185" t="s">
        <v>164</v>
      </c>
      <c r="S185" t="s">
        <v>242</v>
      </c>
      <c r="T185" t="s">
        <v>315</v>
      </c>
      <c r="U185">
        <v>7.5840886680672723E-2</v>
      </c>
      <c r="V185" t="s">
        <v>164</v>
      </c>
    </row>
    <row r="186" spans="9:22" x14ac:dyDescent="0.45">
      <c r="I186" t="s">
        <v>189</v>
      </c>
      <c r="J186" t="s">
        <v>316</v>
      </c>
      <c r="K186">
        <v>0</v>
      </c>
      <c r="L186" t="s">
        <v>164</v>
      </c>
      <c r="N186" t="s">
        <v>222</v>
      </c>
      <c r="O186" t="s">
        <v>316</v>
      </c>
      <c r="P186">
        <v>4.7602596103638629E-2</v>
      </c>
      <c r="Q186" t="s">
        <v>164</v>
      </c>
      <c r="S186" t="s">
        <v>242</v>
      </c>
      <c r="T186" t="s">
        <v>316</v>
      </c>
      <c r="U186">
        <v>0.11050771991712496</v>
      </c>
      <c r="V186" t="s">
        <v>164</v>
      </c>
    </row>
    <row r="187" spans="9:22" x14ac:dyDescent="0.45">
      <c r="I187" t="s">
        <v>189</v>
      </c>
      <c r="J187" t="s">
        <v>317</v>
      </c>
      <c r="K187">
        <v>1.8652782722302877E-2</v>
      </c>
      <c r="L187" t="s">
        <v>164</v>
      </c>
      <c r="N187" t="s">
        <v>222</v>
      </c>
      <c r="O187" t="s">
        <v>317</v>
      </c>
      <c r="P187">
        <v>4.7376198273984815E-3</v>
      </c>
      <c r="Q187" t="s">
        <v>164</v>
      </c>
      <c r="S187" t="s">
        <v>242</v>
      </c>
      <c r="T187" t="s">
        <v>317</v>
      </c>
      <c r="U187">
        <v>1.6000829889887283E-2</v>
      </c>
      <c r="V187" t="s">
        <v>164</v>
      </c>
    </row>
    <row r="188" spans="9:22" x14ac:dyDescent="0.45">
      <c r="I188" t="s">
        <v>189</v>
      </c>
      <c r="J188" t="s">
        <v>318</v>
      </c>
      <c r="K188">
        <v>0.25753324550052281</v>
      </c>
      <c r="L188" t="s">
        <v>164</v>
      </c>
      <c r="N188" t="s">
        <v>222</v>
      </c>
      <c r="O188" t="s">
        <v>318</v>
      </c>
      <c r="P188">
        <v>0.27053798434431203</v>
      </c>
      <c r="Q188" t="s">
        <v>164</v>
      </c>
      <c r="S188" t="s">
        <v>242</v>
      </c>
      <c r="T188" t="s">
        <v>318</v>
      </c>
      <c r="U188">
        <v>0.12330841598323072</v>
      </c>
      <c r="V188" t="s">
        <v>164</v>
      </c>
    </row>
    <row r="189" spans="9:22" x14ac:dyDescent="0.45">
      <c r="I189" t="s">
        <v>189</v>
      </c>
      <c r="J189" t="s">
        <v>319</v>
      </c>
      <c r="K189">
        <v>0</v>
      </c>
      <c r="L189" t="s">
        <v>164</v>
      </c>
      <c r="N189" t="s">
        <v>222</v>
      </c>
      <c r="O189" t="s">
        <v>319</v>
      </c>
      <c r="P189">
        <v>0.24792127441387551</v>
      </c>
      <c r="Q189" t="s">
        <v>164</v>
      </c>
      <c r="S189" t="s">
        <v>242</v>
      </c>
      <c r="T189" t="s">
        <v>319</v>
      </c>
      <c r="U189">
        <v>0.14875600648951887</v>
      </c>
      <c r="V189" t="s">
        <v>164</v>
      </c>
    </row>
    <row r="190" spans="9:22" x14ac:dyDescent="0.45">
      <c r="I190" t="s">
        <v>189</v>
      </c>
      <c r="J190" t="s">
        <v>320</v>
      </c>
      <c r="K190">
        <v>2.5015797009132607E-2</v>
      </c>
      <c r="L190" t="s">
        <v>164</v>
      </c>
      <c r="N190" t="s">
        <v>222</v>
      </c>
      <c r="O190" t="s">
        <v>320</v>
      </c>
      <c r="P190">
        <v>2.6987752553968292E-2</v>
      </c>
      <c r="Q190" t="s">
        <v>164</v>
      </c>
      <c r="S190" t="s">
        <v>242</v>
      </c>
      <c r="T190" t="s">
        <v>320</v>
      </c>
      <c r="U190">
        <v>2.1966138807602849E-2</v>
      </c>
      <c r="V190" t="s">
        <v>164</v>
      </c>
    </row>
    <row r="191" spans="9:22" x14ac:dyDescent="0.45">
      <c r="I191" t="s">
        <v>190</v>
      </c>
      <c r="J191" t="s">
        <v>309</v>
      </c>
      <c r="K191">
        <v>0.25630787828008894</v>
      </c>
      <c r="L191" t="s">
        <v>164</v>
      </c>
      <c r="N191" t="s">
        <v>223</v>
      </c>
      <c r="O191" t="s">
        <v>309</v>
      </c>
      <c r="P191">
        <v>4.2144557810126049E-2</v>
      </c>
      <c r="Q191" t="s">
        <v>164</v>
      </c>
      <c r="S191" t="s">
        <v>243</v>
      </c>
      <c r="T191" t="s">
        <v>309</v>
      </c>
      <c r="U191">
        <v>6.6541414320531067E-2</v>
      </c>
      <c r="V191" t="s">
        <v>164</v>
      </c>
    </row>
    <row r="192" spans="9:22" x14ac:dyDescent="0.45">
      <c r="I192" t="s">
        <v>190</v>
      </c>
      <c r="J192" t="s">
        <v>310</v>
      </c>
      <c r="K192">
        <v>0</v>
      </c>
      <c r="L192" t="s">
        <v>164</v>
      </c>
      <c r="N192" t="s">
        <v>223</v>
      </c>
      <c r="O192" t="s">
        <v>310</v>
      </c>
      <c r="P192">
        <v>5.9164517762797499E-2</v>
      </c>
      <c r="Q192" t="s">
        <v>164</v>
      </c>
      <c r="S192" t="s">
        <v>243</v>
      </c>
      <c r="T192" t="s">
        <v>310</v>
      </c>
      <c r="U192">
        <v>9.3304946737265998E-2</v>
      </c>
      <c r="V192" t="s">
        <v>164</v>
      </c>
    </row>
    <row r="193" spans="9:22" x14ac:dyDescent="0.45">
      <c r="I193" t="s">
        <v>190</v>
      </c>
      <c r="J193" t="s">
        <v>311</v>
      </c>
      <c r="K193">
        <v>1.5516921366774142E-2</v>
      </c>
      <c r="L193" t="s">
        <v>164</v>
      </c>
      <c r="N193" t="s">
        <v>223</v>
      </c>
      <c r="O193" t="s">
        <v>311</v>
      </c>
      <c r="P193">
        <v>6.1446862544273766E-3</v>
      </c>
      <c r="Q193" t="s">
        <v>164</v>
      </c>
      <c r="S193" t="s">
        <v>243</v>
      </c>
      <c r="T193" t="s">
        <v>311</v>
      </c>
      <c r="U193">
        <v>1.3326785387260261E-2</v>
      </c>
      <c r="V193" t="s">
        <v>164</v>
      </c>
    </row>
    <row r="194" spans="9:22" x14ac:dyDescent="0.45">
      <c r="I194" t="s">
        <v>190</v>
      </c>
      <c r="J194" t="s">
        <v>312</v>
      </c>
      <c r="K194">
        <v>0.21537712461337055</v>
      </c>
      <c r="L194" t="s">
        <v>164</v>
      </c>
      <c r="N194" t="s">
        <v>223</v>
      </c>
      <c r="O194" t="s">
        <v>312</v>
      </c>
      <c r="P194">
        <v>0.14108460701468273</v>
      </c>
      <c r="Q194" t="s">
        <v>164</v>
      </c>
      <c r="S194" t="s">
        <v>243</v>
      </c>
      <c r="T194" t="s">
        <v>312</v>
      </c>
      <c r="U194">
        <v>0.11328216655900647</v>
      </c>
      <c r="V194" t="s">
        <v>164</v>
      </c>
    </row>
    <row r="195" spans="9:22" x14ac:dyDescent="0.45">
      <c r="I195" t="s">
        <v>190</v>
      </c>
      <c r="J195" t="s">
        <v>313</v>
      </c>
      <c r="K195">
        <v>0</v>
      </c>
      <c r="L195" t="s">
        <v>164</v>
      </c>
      <c r="N195" t="s">
        <v>223</v>
      </c>
      <c r="O195" t="s">
        <v>313</v>
      </c>
      <c r="P195">
        <v>0.18227170983567526</v>
      </c>
      <c r="Q195" t="s">
        <v>164</v>
      </c>
      <c r="S195" t="s">
        <v>243</v>
      </c>
      <c r="T195" t="s">
        <v>313</v>
      </c>
      <c r="U195">
        <v>0.16312388801371391</v>
      </c>
      <c r="V195" t="s">
        <v>164</v>
      </c>
    </row>
    <row r="196" spans="9:22" x14ac:dyDescent="0.45">
      <c r="I196" t="s">
        <v>190</v>
      </c>
      <c r="J196" t="s">
        <v>314</v>
      </c>
      <c r="K196">
        <v>1.9686915508708564E-2</v>
      </c>
      <c r="L196" t="s">
        <v>164</v>
      </c>
      <c r="N196" t="s">
        <v>223</v>
      </c>
      <c r="O196" t="s">
        <v>314</v>
      </c>
      <c r="P196">
        <v>1.7381405979619242E-2</v>
      </c>
      <c r="Q196" t="s">
        <v>164</v>
      </c>
      <c r="S196" t="s">
        <v>243</v>
      </c>
      <c r="T196" t="s">
        <v>314</v>
      </c>
      <c r="U196">
        <v>2.3687260074936805E-2</v>
      </c>
      <c r="V196" t="s">
        <v>164</v>
      </c>
    </row>
    <row r="197" spans="9:22" x14ac:dyDescent="0.45">
      <c r="I197" t="s">
        <v>190</v>
      </c>
      <c r="J197" t="s">
        <v>315</v>
      </c>
      <c r="K197">
        <v>0.19537697029293094</v>
      </c>
      <c r="L197" t="s">
        <v>164</v>
      </c>
      <c r="N197" t="s">
        <v>223</v>
      </c>
      <c r="O197" t="s">
        <v>315</v>
      </c>
      <c r="P197">
        <v>4.1059120520624125E-2</v>
      </c>
      <c r="Q197" t="s">
        <v>164</v>
      </c>
      <c r="S197" t="s">
        <v>243</v>
      </c>
      <c r="T197" t="s">
        <v>315</v>
      </c>
      <c r="U197">
        <v>7.4782123166439007E-2</v>
      </c>
      <c r="V197" t="s">
        <v>164</v>
      </c>
    </row>
    <row r="198" spans="9:22" x14ac:dyDescent="0.45">
      <c r="I198" t="s">
        <v>190</v>
      </c>
      <c r="J198" t="s">
        <v>316</v>
      </c>
      <c r="K198">
        <v>0</v>
      </c>
      <c r="L198" t="s">
        <v>164</v>
      </c>
      <c r="N198" t="s">
        <v>223</v>
      </c>
      <c r="O198" t="s">
        <v>316</v>
      </c>
      <c r="P198">
        <v>5.7244394975709163E-2</v>
      </c>
      <c r="Q198" t="s">
        <v>164</v>
      </c>
      <c r="S198" t="s">
        <v>243</v>
      </c>
      <c r="T198" t="s">
        <v>316</v>
      </c>
      <c r="U198">
        <v>0.11187574116811795</v>
      </c>
      <c r="V198" t="s">
        <v>164</v>
      </c>
    </row>
    <row r="199" spans="9:22" x14ac:dyDescent="0.45">
      <c r="I199" t="s">
        <v>190</v>
      </c>
      <c r="J199" t="s">
        <v>317</v>
      </c>
      <c r="K199">
        <v>1.9072168481531461E-2</v>
      </c>
      <c r="L199" t="s">
        <v>164</v>
      </c>
      <c r="N199" t="s">
        <v>223</v>
      </c>
      <c r="O199" t="s">
        <v>317</v>
      </c>
      <c r="P199">
        <v>7.0062260711331748E-3</v>
      </c>
      <c r="Q199" t="s">
        <v>164</v>
      </c>
      <c r="S199" t="s">
        <v>243</v>
      </c>
      <c r="T199" t="s">
        <v>317</v>
      </c>
      <c r="U199">
        <v>1.5034521623976402E-2</v>
      </c>
      <c r="V199" t="s">
        <v>164</v>
      </c>
    </row>
    <row r="200" spans="9:22" x14ac:dyDescent="0.45">
      <c r="I200" t="s">
        <v>190</v>
      </c>
      <c r="J200" t="s">
        <v>318</v>
      </c>
      <c r="K200">
        <v>0.25097269077127021</v>
      </c>
      <c r="L200" t="s">
        <v>164</v>
      </c>
      <c r="N200" t="s">
        <v>223</v>
      </c>
      <c r="O200" t="s">
        <v>318</v>
      </c>
      <c r="P200">
        <v>0.20274329881299794</v>
      </c>
      <c r="Q200" t="s">
        <v>164</v>
      </c>
      <c r="S200" t="s">
        <v>243</v>
      </c>
      <c r="T200" t="s">
        <v>318</v>
      </c>
      <c r="U200">
        <v>0.13690132271034736</v>
      </c>
      <c r="V200" t="s">
        <v>164</v>
      </c>
    </row>
    <row r="201" spans="9:22" x14ac:dyDescent="0.45">
      <c r="I201" t="s">
        <v>190</v>
      </c>
      <c r="J201" t="s">
        <v>319</v>
      </c>
      <c r="K201">
        <v>0</v>
      </c>
      <c r="L201" t="s">
        <v>164</v>
      </c>
      <c r="N201" t="s">
        <v>223</v>
      </c>
      <c r="O201" t="s">
        <v>319</v>
      </c>
      <c r="P201">
        <v>0.21926462280063511</v>
      </c>
      <c r="Q201" t="s">
        <v>164</v>
      </c>
      <c r="S201" t="s">
        <v>243</v>
      </c>
      <c r="T201" t="s">
        <v>319</v>
      </c>
      <c r="U201">
        <v>0.16470790267029309</v>
      </c>
      <c r="V201" t="s">
        <v>164</v>
      </c>
    </row>
    <row r="202" spans="9:22" x14ac:dyDescent="0.45">
      <c r="I202" t="s">
        <v>190</v>
      </c>
      <c r="J202" t="s">
        <v>320</v>
      </c>
      <c r="K202">
        <v>2.7689330685328549E-2</v>
      </c>
      <c r="L202" t="s">
        <v>164</v>
      </c>
      <c r="N202" t="s">
        <v>223</v>
      </c>
      <c r="O202" t="s">
        <v>320</v>
      </c>
      <c r="P202">
        <v>2.4490852161567728E-2</v>
      </c>
      <c r="Q202" t="s">
        <v>164</v>
      </c>
      <c r="S202" t="s">
        <v>243</v>
      </c>
      <c r="T202" t="s">
        <v>320</v>
      </c>
      <c r="U202">
        <v>2.3431927568106956E-2</v>
      </c>
      <c r="V202" t="s">
        <v>164</v>
      </c>
    </row>
    <row r="203" spans="9:22" x14ac:dyDescent="0.45">
      <c r="I203" t="s">
        <v>191</v>
      </c>
      <c r="J203" t="s">
        <v>309</v>
      </c>
      <c r="K203">
        <v>0.25115134824291618</v>
      </c>
      <c r="L203" t="s">
        <v>164</v>
      </c>
      <c r="N203" t="s">
        <v>224</v>
      </c>
      <c r="O203" t="s">
        <v>309</v>
      </c>
      <c r="P203">
        <v>4.4781643761551602E-2</v>
      </c>
      <c r="Q203" t="s">
        <v>164</v>
      </c>
    </row>
    <row r="204" spans="9:22" x14ac:dyDescent="0.45">
      <c r="I204" t="s">
        <v>191</v>
      </c>
      <c r="J204" t="s">
        <v>310</v>
      </c>
      <c r="K204">
        <v>0</v>
      </c>
      <c r="L204" t="s">
        <v>164</v>
      </c>
      <c r="N204" t="s">
        <v>224</v>
      </c>
      <c r="O204" t="s">
        <v>310</v>
      </c>
      <c r="P204">
        <v>6.8632226479268615E-2</v>
      </c>
      <c r="Q204" t="s">
        <v>164</v>
      </c>
    </row>
    <row r="205" spans="9:22" x14ac:dyDescent="0.45">
      <c r="I205" t="s">
        <v>191</v>
      </c>
      <c r="J205" t="s">
        <v>311</v>
      </c>
      <c r="K205">
        <v>1.3540099684077099E-2</v>
      </c>
      <c r="L205" t="s">
        <v>164</v>
      </c>
      <c r="N205" t="s">
        <v>224</v>
      </c>
      <c r="O205" t="s">
        <v>311</v>
      </c>
      <c r="P205">
        <v>5.4221164014957345E-3</v>
      </c>
      <c r="Q205" t="s">
        <v>164</v>
      </c>
    </row>
    <row r="206" spans="9:22" x14ac:dyDescent="0.45">
      <c r="I206" t="s">
        <v>191</v>
      </c>
      <c r="J206" t="s">
        <v>312</v>
      </c>
      <c r="K206">
        <v>0.21267973597761228</v>
      </c>
      <c r="L206" t="s">
        <v>164</v>
      </c>
      <c r="N206" t="s">
        <v>224</v>
      </c>
      <c r="O206" t="s">
        <v>312</v>
      </c>
      <c r="P206">
        <v>0.1488458850646647</v>
      </c>
      <c r="Q206" t="s">
        <v>164</v>
      </c>
    </row>
    <row r="207" spans="9:22" x14ac:dyDescent="0.45">
      <c r="I207" t="s">
        <v>191</v>
      </c>
      <c r="J207" t="s">
        <v>313</v>
      </c>
      <c r="K207">
        <v>0</v>
      </c>
      <c r="L207" t="s">
        <v>164</v>
      </c>
      <c r="N207" t="s">
        <v>224</v>
      </c>
      <c r="O207" t="s">
        <v>313</v>
      </c>
      <c r="P207">
        <v>0.19745330643797751</v>
      </c>
      <c r="Q207" t="s">
        <v>164</v>
      </c>
    </row>
    <row r="208" spans="9:22" x14ac:dyDescent="0.45">
      <c r="I208" t="s">
        <v>191</v>
      </c>
      <c r="J208" t="s">
        <v>314</v>
      </c>
      <c r="K208">
        <v>2.0108354141649406E-2</v>
      </c>
      <c r="L208" t="s">
        <v>164</v>
      </c>
      <c r="N208" t="s">
        <v>224</v>
      </c>
      <c r="O208" t="s">
        <v>314</v>
      </c>
      <c r="P208">
        <v>2.0562305974825938E-2</v>
      </c>
      <c r="Q208" t="s">
        <v>164</v>
      </c>
    </row>
    <row r="209" spans="9:17" x14ac:dyDescent="0.45">
      <c r="I209" t="s">
        <v>191</v>
      </c>
      <c r="J209" t="s">
        <v>315</v>
      </c>
      <c r="K209">
        <v>0.183212377952017</v>
      </c>
      <c r="L209" t="s">
        <v>164</v>
      </c>
      <c r="N209" t="s">
        <v>224</v>
      </c>
      <c r="O209" t="s">
        <v>315</v>
      </c>
      <c r="P209">
        <v>3.9492539056511428E-2</v>
      </c>
      <c r="Q209" t="s">
        <v>164</v>
      </c>
    </row>
    <row r="210" spans="9:17" x14ac:dyDescent="0.45">
      <c r="I210" t="s">
        <v>191</v>
      </c>
      <c r="J210" t="s">
        <v>316</v>
      </c>
      <c r="K210">
        <v>0</v>
      </c>
      <c r="L210" t="s">
        <v>164</v>
      </c>
      <c r="N210" t="s">
        <v>224</v>
      </c>
      <c r="O210" t="s">
        <v>316</v>
      </c>
      <c r="P210">
        <v>6.1637570760481326E-2</v>
      </c>
      <c r="Q210" t="s">
        <v>164</v>
      </c>
    </row>
    <row r="211" spans="9:17" x14ac:dyDescent="0.45">
      <c r="I211" t="s">
        <v>191</v>
      </c>
      <c r="J211" t="s">
        <v>317</v>
      </c>
      <c r="K211">
        <v>1.656385743040038E-2</v>
      </c>
      <c r="L211" t="s">
        <v>164</v>
      </c>
      <c r="N211" t="s">
        <v>224</v>
      </c>
      <c r="O211" t="s">
        <v>317</v>
      </c>
      <c r="P211">
        <v>6.5332903993037044E-3</v>
      </c>
      <c r="Q211" t="s">
        <v>164</v>
      </c>
    </row>
    <row r="212" spans="9:17" x14ac:dyDescent="0.45">
      <c r="I212" t="s">
        <v>191</v>
      </c>
      <c r="J212" t="s">
        <v>318</v>
      </c>
      <c r="K212">
        <v>0.27733352214718937</v>
      </c>
      <c r="L212" t="s">
        <v>164</v>
      </c>
      <c r="N212" t="s">
        <v>224</v>
      </c>
      <c r="O212" t="s">
        <v>318</v>
      </c>
      <c r="P212">
        <v>0.18784662365243882</v>
      </c>
      <c r="Q212" t="s">
        <v>164</v>
      </c>
    </row>
    <row r="213" spans="9:17" x14ac:dyDescent="0.45">
      <c r="I213" t="s">
        <v>191</v>
      </c>
      <c r="J213" t="s">
        <v>319</v>
      </c>
      <c r="K213">
        <v>0</v>
      </c>
      <c r="L213" t="s">
        <v>164</v>
      </c>
      <c r="N213" t="s">
        <v>224</v>
      </c>
      <c r="O213" t="s">
        <v>319</v>
      </c>
      <c r="P213">
        <v>0.19605698736674332</v>
      </c>
      <c r="Q213" t="s">
        <v>164</v>
      </c>
    </row>
    <row r="214" spans="9:17" x14ac:dyDescent="0.45">
      <c r="I214" t="s">
        <v>191</v>
      </c>
      <c r="J214" t="s">
        <v>320</v>
      </c>
      <c r="K214">
        <v>2.5410704424137839E-2</v>
      </c>
      <c r="L214" t="s">
        <v>164</v>
      </c>
      <c r="N214" t="s">
        <v>224</v>
      </c>
      <c r="O214" t="s">
        <v>320</v>
      </c>
      <c r="P214">
        <v>2.2735504644739789E-2</v>
      </c>
      <c r="Q214" t="s">
        <v>164</v>
      </c>
    </row>
    <row r="215" spans="9:17" x14ac:dyDescent="0.45">
      <c r="I215" t="s">
        <v>192</v>
      </c>
      <c r="J215" t="s">
        <v>309</v>
      </c>
      <c r="K215">
        <v>0.25233170529500282</v>
      </c>
      <c r="L215" t="s">
        <v>164</v>
      </c>
      <c r="N215" t="s">
        <v>225</v>
      </c>
      <c r="O215" t="s">
        <v>309</v>
      </c>
      <c r="P215">
        <v>6.3892366194450531E-2</v>
      </c>
      <c r="Q215" t="s">
        <v>164</v>
      </c>
    </row>
    <row r="216" spans="9:17" x14ac:dyDescent="0.45">
      <c r="I216" t="s">
        <v>192</v>
      </c>
      <c r="J216" t="s">
        <v>310</v>
      </c>
      <c r="K216">
        <v>0</v>
      </c>
      <c r="L216" t="s">
        <v>164</v>
      </c>
      <c r="N216" t="s">
        <v>225</v>
      </c>
      <c r="O216" t="s">
        <v>310</v>
      </c>
      <c r="P216">
        <v>8.3871338451716404E-2</v>
      </c>
      <c r="Q216" t="s">
        <v>164</v>
      </c>
    </row>
    <row r="217" spans="9:17" x14ac:dyDescent="0.45">
      <c r="I217" t="s">
        <v>192</v>
      </c>
      <c r="J217" t="s">
        <v>311</v>
      </c>
      <c r="K217">
        <v>1.2207965174325215E-2</v>
      </c>
      <c r="L217" t="s">
        <v>164</v>
      </c>
      <c r="N217" t="s">
        <v>225</v>
      </c>
      <c r="O217" t="s">
        <v>311</v>
      </c>
      <c r="P217">
        <v>1.0610414019930377E-2</v>
      </c>
      <c r="Q217" t="s">
        <v>164</v>
      </c>
    </row>
    <row r="218" spans="9:17" x14ac:dyDescent="0.45">
      <c r="I218" t="s">
        <v>192</v>
      </c>
      <c r="J218" t="s">
        <v>312</v>
      </c>
      <c r="K218">
        <v>0.222729627806773</v>
      </c>
      <c r="L218" t="s">
        <v>164</v>
      </c>
      <c r="N218" t="s">
        <v>225</v>
      </c>
      <c r="O218" t="s">
        <v>312</v>
      </c>
      <c r="P218">
        <v>0.13571953674558537</v>
      </c>
      <c r="Q218" t="s">
        <v>164</v>
      </c>
    </row>
    <row r="219" spans="9:17" x14ac:dyDescent="0.45">
      <c r="I219" t="s">
        <v>192</v>
      </c>
      <c r="J219" t="s">
        <v>313</v>
      </c>
      <c r="K219">
        <v>0</v>
      </c>
      <c r="L219" t="s">
        <v>164</v>
      </c>
      <c r="N219" t="s">
        <v>225</v>
      </c>
      <c r="O219" t="s">
        <v>313</v>
      </c>
      <c r="P219">
        <v>0.19254924880914454</v>
      </c>
      <c r="Q219" t="s">
        <v>164</v>
      </c>
    </row>
    <row r="220" spans="9:17" x14ac:dyDescent="0.45">
      <c r="I220" t="s">
        <v>192</v>
      </c>
      <c r="J220" t="s">
        <v>314</v>
      </c>
      <c r="K220">
        <v>2.0428180028495332E-2</v>
      </c>
      <c r="L220" t="s">
        <v>164</v>
      </c>
      <c r="N220" t="s">
        <v>225</v>
      </c>
      <c r="O220" t="s">
        <v>314</v>
      </c>
      <c r="P220">
        <v>1.9942989671281733E-2</v>
      </c>
      <c r="Q220" t="s">
        <v>164</v>
      </c>
    </row>
    <row r="221" spans="9:17" x14ac:dyDescent="0.45">
      <c r="I221" t="s">
        <v>192</v>
      </c>
      <c r="J221" t="s">
        <v>315</v>
      </c>
      <c r="K221">
        <v>0.18500058674063891</v>
      </c>
      <c r="L221" t="s">
        <v>164</v>
      </c>
      <c r="N221" t="s">
        <v>225</v>
      </c>
      <c r="O221" t="s">
        <v>315</v>
      </c>
      <c r="P221">
        <v>6.455384866392011E-2</v>
      </c>
      <c r="Q221" t="s">
        <v>164</v>
      </c>
    </row>
    <row r="222" spans="9:17" x14ac:dyDescent="0.45">
      <c r="I222" t="s">
        <v>192</v>
      </c>
      <c r="J222" t="s">
        <v>316</v>
      </c>
      <c r="K222">
        <v>0</v>
      </c>
      <c r="L222" t="s">
        <v>164</v>
      </c>
      <c r="N222" t="s">
        <v>225</v>
      </c>
      <c r="O222" t="s">
        <v>316</v>
      </c>
      <c r="P222">
        <v>7.5481808719235738E-2</v>
      </c>
      <c r="Q222" t="s">
        <v>164</v>
      </c>
    </row>
    <row r="223" spans="9:17" x14ac:dyDescent="0.45">
      <c r="I223" t="s">
        <v>192</v>
      </c>
      <c r="J223" t="s">
        <v>317</v>
      </c>
      <c r="K223">
        <v>1.6122973301130553E-2</v>
      </c>
      <c r="L223" t="s">
        <v>164</v>
      </c>
      <c r="N223" t="s">
        <v>225</v>
      </c>
      <c r="O223" t="s">
        <v>317</v>
      </c>
      <c r="P223">
        <v>9.3703810816786869E-3</v>
      </c>
      <c r="Q223" t="s">
        <v>164</v>
      </c>
    </row>
    <row r="224" spans="9:17" x14ac:dyDescent="0.45">
      <c r="I224" t="s">
        <v>192</v>
      </c>
      <c r="J224" t="s">
        <v>318</v>
      </c>
      <c r="K224">
        <v>0.2693751545369204</v>
      </c>
      <c r="L224" t="s">
        <v>164</v>
      </c>
      <c r="N224" t="s">
        <v>225</v>
      </c>
      <c r="O224" t="s">
        <v>318</v>
      </c>
      <c r="P224">
        <v>0.15872019015053512</v>
      </c>
      <c r="Q224" t="s">
        <v>164</v>
      </c>
    </row>
    <row r="225" spans="9:17" x14ac:dyDescent="0.45">
      <c r="I225" t="s">
        <v>192</v>
      </c>
      <c r="J225" t="s">
        <v>319</v>
      </c>
      <c r="K225">
        <v>0</v>
      </c>
      <c r="L225" t="s">
        <v>164</v>
      </c>
      <c r="N225" t="s">
        <v>225</v>
      </c>
      <c r="O225" t="s">
        <v>319</v>
      </c>
      <c r="P225">
        <v>0.16079664059430299</v>
      </c>
      <c r="Q225" t="s">
        <v>164</v>
      </c>
    </row>
    <row r="226" spans="9:17" x14ac:dyDescent="0.45">
      <c r="I226" t="s">
        <v>192</v>
      </c>
      <c r="J226" t="s">
        <v>320</v>
      </c>
      <c r="K226">
        <v>2.1803807116712329E-2</v>
      </c>
      <c r="L226" t="s">
        <v>164</v>
      </c>
      <c r="N226" t="s">
        <v>225</v>
      </c>
      <c r="O226" t="s">
        <v>320</v>
      </c>
      <c r="P226">
        <v>2.4491236898220459E-2</v>
      </c>
      <c r="Q226" t="s">
        <v>164</v>
      </c>
    </row>
    <row r="227" spans="9:17" x14ac:dyDescent="0.45">
      <c r="I227" t="s">
        <v>193</v>
      </c>
      <c r="J227" t="s">
        <v>309</v>
      </c>
      <c r="K227">
        <v>0.25048442740227889</v>
      </c>
      <c r="L227" t="s">
        <v>164</v>
      </c>
      <c r="N227" t="s">
        <v>226</v>
      </c>
      <c r="O227" t="s">
        <v>309</v>
      </c>
      <c r="P227">
        <v>4.9358019234287009E-2</v>
      </c>
      <c r="Q227" t="s">
        <v>164</v>
      </c>
    </row>
    <row r="228" spans="9:17" x14ac:dyDescent="0.45">
      <c r="I228" t="s">
        <v>193</v>
      </c>
      <c r="J228" t="s">
        <v>310</v>
      </c>
      <c r="K228">
        <v>0</v>
      </c>
      <c r="L228" t="s">
        <v>164</v>
      </c>
      <c r="N228" t="s">
        <v>226</v>
      </c>
      <c r="O228" t="s">
        <v>310</v>
      </c>
      <c r="P228">
        <v>8.9864914568497059E-2</v>
      </c>
      <c r="Q228" t="s">
        <v>164</v>
      </c>
    </row>
    <row r="229" spans="9:17" x14ac:dyDescent="0.45">
      <c r="I229" t="s">
        <v>193</v>
      </c>
      <c r="J229" t="s">
        <v>311</v>
      </c>
      <c r="K229">
        <v>1.3756385695599874E-2</v>
      </c>
      <c r="L229" t="s">
        <v>164</v>
      </c>
      <c r="N229" t="s">
        <v>226</v>
      </c>
      <c r="O229" t="s">
        <v>311</v>
      </c>
      <c r="P229">
        <v>1.0134386207173687E-2</v>
      </c>
      <c r="Q229" t="s">
        <v>164</v>
      </c>
    </row>
    <row r="230" spans="9:17" x14ac:dyDescent="0.45">
      <c r="I230" t="s">
        <v>193</v>
      </c>
      <c r="J230" t="s">
        <v>312</v>
      </c>
      <c r="K230">
        <v>0.21725221132632225</v>
      </c>
      <c r="L230" t="s">
        <v>164</v>
      </c>
      <c r="N230" t="s">
        <v>226</v>
      </c>
      <c r="O230" t="s">
        <v>312</v>
      </c>
      <c r="P230">
        <v>0.13398060026423267</v>
      </c>
      <c r="Q230" t="s">
        <v>164</v>
      </c>
    </row>
    <row r="231" spans="9:17" x14ac:dyDescent="0.45">
      <c r="I231" t="s">
        <v>193</v>
      </c>
      <c r="J231" t="s">
        <v>313</v>
      </c>
      <c r="K231">
        <v>0</v>
      </c>
      <c r="L231" t="s">
        <v>164</v>
      </c>
      <c r="N231" t="s">
        <v>226</v>
      </c>
      <c r="O231" t="s">
        <v>313</v>
      </c>
      <c r="P231">
        <v>0.2063529602088463</v>
      </c>
      <c r="Q231" t="s">
        <v>164</v>
      </c>
    </row>
    <row r="232" spans="9:17" x14ac:dyDescent="0.45">
      <c r="I232" t="s">
        <v>193</v>
      </c>
      <c r="J232" t="s">
        <v>314</v>
      </c>
      <c r="K232">
        <v>1.9917984364535755E-2</v>
      </c>
      <c r="L232" t="s">
        <v>164</v>
      </c>
      <c r="N232" t="s">
        <v>226</v>
      </c>
      <c r="O232" t="s">
        <v>314</v>
      </c>
      <c r="P232">
        <v>2.1807215307224685E-2</v>
      </c>
      <c r="Q232" t="s">
        <v>164</v>
      </c>
    </row>
    <row r="233" spans="9:17" x14ac:dyDescent="0.45">
      <c r="I233" t="s">
        <v>193</v>
      </c>
      <c r="J233" t="s">
        <v>315</v>
      </c>
      <c r="K233">
        <v>0.19380625229110138</v>
      </c>
      <c r="L233" t="s">
        <v>164</v>
      </c>
      <c r="N233" t="s">
        <v>226</v>
      </c>
      <c r="O233" t="s">
        <v>315</v>
      </c>
      <c r="P233">
        <v>4.2052340198211413E-2</v>
      </c>
      <c r="Q233" t="s">
        <v>164</v>
      </c>
    </row>
    <row r="234" spans="9:17" x14ac:dyDescent="0.45">
      <c r="I234" t="s">
        <v>193</v>
      </c>
      <c r="J234" t="s">
        <v>316</v>
      </c>
      <c r="K234">
        <v>0</v>
      </c>
      <c r="L234" t="s">
        <v>164</v>
      </c>
      <c r="N234" t="s">
        <v>226</v>
      </c>
      <c r="O234" t="s">
        <v>316</v>
      </c>
      <c r="P234">
        <v>7.2991225499912854E-2</v>
      </c>
      <c r="Q234" t="s">
        <v>164</v>
      </c>
    </row>
    <row r="235" spans="9:17" x14ac:dyDescent="0.45">
      <c r="I235" t="s">
        <v>193</v>
      </c>
      <c r="J235" t="s">
        <v>317</v>
      </c>
      <c r="K235">
        <v>1.8297580338301023E-2</v>
      </c>
      <c r="L235" t="s">
        <v>164</v>
      </c>
      <c r="N235" t="s">
        <v>226</v>
      </c>
      <c r="O235" t="s">
        <v>317</v>
      </c>
      <c r="P235">
        <v>8.6793688656712845E-3</v>
      </c>
      <c r="Q235" t="s">
        <v>164</v>
      </c>
    </row>
    <row r="236" spans="9:17" x14ac:dyDescent="0.45">
      <c r="I236" t="s">
        <v>193</v>
      </c>
      <c r="J236" t="s">
        <v>318</v>
      </c>
      <c r="K236">
        <v>0.26526686574869468</v>
      </c>
      <c r="L236" t="s">
        <v>164</v>
      </c>
      <c r="N236" t="s">
        <v>226</v>
      </c>
      <c r="O236" t="s">
        <v>318</v>
      </c>
      <c r="P236">
        <v>0.14950769432120395</v>
      </c>
      <c r="Q236" t="s">
        <v>164</v>
      </c>
    </row>
    <row r="237" spans="9:17" x14ac:dyDescent="0.45">
      <c r="I237" t="s">
        <v>193</v>
      </c>
      <c r="J237" t="s">
        <v>319</v>
      </c>
      <c r="K237">
        <v>0</v>
      </c>
      <c r="L237" t="s">
        <v>164</v>
      </c>
      <c r="N237" t="s">
        <v>226</v>
      </c>
      <c r="O237" t="s">
        <v>319</v>
      </c>
      <c r="P237">
        <v>0.19231587179212789</v>
      </c>
      <c r="Q237" t="s">
        <v>164</v>
      </c>
    </row>
    <row r="238" spans="9:17" x14ac:dyDescent="0.45">
      <c r="I238" t="s">
        <v>193</v>
      </c>
      <c r="J238" t="s">
        <v>320</v>
      </c>
      <c r="K238">
        <v>2.121829283316707E-2</v>
      </c>
      <c r="L238" t="s">
        <v>164</v>
      </c>
      <c r="N238" t="s">
        <v>226</v>
      </c>
      <c r="O238" t="s">
        <v>320</v>
      </c>
      <c r="P238">
        <v>2.2955403532613886E-2</v>
      </c>
      <c r="Q238" t="s">
        <v>164</v>
      </c>
    </row>
    <row r="239" spans="9:17" x14ac:dyDescent="0.45">
      <c r="I239" t="s">
        <v>194</v>
      </c>
      <c r="J239" t="s">
        <v>309</v>
      </c>
      <c r="K239">
        <v>0.26310513315285705</v>
      </c>
      <c r="L239" t="s">
        <v>164</v>
      </c>
      <c r="N239" t="s">
        <v>227</v>
      </c>
      <c r="O239" t="s">
        <v>309</v>
      </c>
      <c r="P239">
        <v>7.6828853371403327E-2</v>
      </c>
      <c r="Q239" t="s">
        <v>164</v>
      </c>
    </row>
    <row r="240" spans="9:17" x14ac:dyDescent="0.45">
      <c r="I240" t="s">
        <v>194</v>
      </c>
      <c r="J240" t="s">
        <v>310</v>
      </c>
      <c r="K240">
        <v>0</v>
      </c>
      <c r="L240" t="s">
        <v>164</v>
      </c>
      <c r="N240" t="s">
        <v>227</v>
      </c>
      <c r="O240" t="s">
        <v>310</v>
      </c>
      <c r="P240">
        <v>7.6882475786619428E-2</v>
      </c>
      <c r="Q240" t="s">
        <v>164</v>
      </c>
    </row>
    <row r="241" spans="9:17" x14ac:dyDescent="0.45">
      <c r="I241" t="s">
        <v>194</v>
      </c>
      <c r="J241" t="s">
        <v>311</v>
      </c>
      <c r="K241">
        <v>1.1688285543570348E-2</v>
      </c>
      <c r="L241" t="s">
        <v>164</v>
      </c>
      <c r="N241" t="s">
        <v>227</v>
      </c>
      <c r="O241" t="s">
        <v>311</v>
      </c>
      <c r="P241">
        <v>2.5380573534220695E-2</v>
      </c>
      <c r="Q241" t="s">
        <v>164</v>
      </c>
    </row>
    <row r="242" spans="9:17" x14ac:dyDescent="0.45">
      <c r="I242" t="s">
        <v>194</v>
      </c>
      <c r="J242" t="s">
        <v>312</v>
      </c>
      <c r="K242">
        <v>0.24789387994040454</v>
      </c>
      <c r="L242" t="s">
        <v>164</v>
      </c>
      <c r="N242" t="s">
        <v>227</v>
      </c>
      <c r="O242" t="s">
        <v>312</v>
      </c>
      <c r="P242">
        <v>0.15723384921586198</v>
      </c>
      <c r="Q242" t="s">
        <v>164</v>
      </c>
    </row>
    <row r="243" spans="9:17" x14ac:dyDescent="0.45">
      <c r="I243" t="s">
        <v>194</v>
      </c>
      <c r="J243" t="s">
        <v>313</v>
      </c>
      <c r="K243">
        <v>0</v>
      </c>
      <c r="L243" t="s">
        <v>164</v>
      </c>
      <c r="N243" t="s">
        <v>227</v>
      </c>
      <c r="O243" t="s">
        <v>313</v>
      </c>
      <c r="P243">
        <v>0.17863632376630542</v>
      </c>
      <c r="Q243" t="s">
        <v>164</v>
      </c>
    </row>
    <row r="244" spans="9:17" x14ac:dyDescent="0.45">
      <c r="I244" t="s">
        <v>194</v>
      </c>
      <c r="J244" t="s">
        <v>314</v>
      </c>
      <c r="K244">
        <v>1.3114393797630547E-2</v>
      </c>
      <c r="L244" t="s">
        <v>164</v>
      </c>
      <c r="N244" t="s">
        <v>227</v>
      </c>
      <c r="O244" t="s">
        <v>314</v>
      </c>
      <c r="P244">
        <v>3.7707868470677149E-2</v>
      </c>
      <c r="Q244" t="s">
        <v>164</v>
      </c>
    </row>
    <row r="245" spans="9:17" x14ac:dyDescent="0.45">
      <c r="I245" t="s">
        <v>194</v>
      </c>
      <c r="J245" t="s">
        <v>315</v>
      </c>
      <c r="K245">
        <v>0.20609507370154614</v>
      </c>
      <c r="L245" t="s">
        <v>164</v>
      </c>
      <c r="N245" t="s">
        <v>227</v>
      </c>
      <c r="O245" t="s">
        <v>315</v>
      </c>
      <c r="P245">
        <v>8.0251970800831546E-2</v>
      </c>
      <c r="Q245" t="s">
        <v>164</v>
      </c>
    </row>
    <row r="246" spans="9:17" x14ac:dyDescent="0.45">
      <c r="I246" t="s">
        <v>194</v>
      </c>
      <c r="J246" t="s">
        <v>316</v>
      </c>
      <c r="K246">
        <v>0</v>
      </c>
      <c r="L246" t="s">
        <v>164</v>
      </c>
      <c r="N246" t="s">
        <v>227</v>
      </c>
      <c r="O246" t="s">
        <v>316</v>
      </c>
      <c r="P246">
        <v>6.1639605763154068E-2</v>
      </c>
      <c r="Q246" t="s">
        <v>164</v>
      </c>
    </row>
    <row r="247" spans="9:17" x14ac:dyDescent="0.45">
      <c r="I247" t="s">
        <v>194</v>
      </c>
      <c r="J247" t="s">
        <v>317</v>
      </c>
      <c r="K247">
        <v>1.5279482077094028E-2</v>
      </c>
      <c r="L247" t="s">
        <v>164</v>
      </c>
      <c r="N247" t="s">
        <v>227</v>
      </c>
      <c r="O247" t="s">
        <v>317</v>
      </c>
      <c r="P247">
        <v>1.5281836224704281E-2</v>
      </c>
      <c r="Q247" t="s">
        <v>164</v>
      </c>
    </row>
    <row r="248" spans="9:17" x14ac:dyDescent="0.45">
      <c r="I248" t="s">
        <v>194</v>
      </c>
      <c r="J248" t="s">
        <v>318</v>
      </c>
      <c r="K248">
        <v>0.23064918054705061</v>
      </c>
      <c r="L248" t="s">
        <v>164</v>
      </c>
      <c r="N248" t="s">
        <v>227</v>
      </c>
      <c r="O248" t="s">
        <v>318</v>
      </c>
      <c r="P248">
        <v>0.11631039247958024</v>
      </c>
      <c r="Q248" t="s">
        <v>164</v>
      </c>
    </row>
    <row r="249" spans="9:17" x14ac:dyDescent="0.45">
      <c r="I249" t="s">
        <v>194</v>
      </c>
      <c r="J249" t="s">
        <v>319</v>
      </c>
      <c r="K249">
        <v>0</v>
      </c>
      <c r="L249" t="s">
        <v>164</v>
      </c>
      <c r="N249" t="s">
        <v>227</v>
      </c>
      <c r="O249" t="s">
        <v>319</v>
      </c>
      <c r="P249">
        <v>0.11526233877947899</v>
      </c>
      <c r="Q249" t="s">
        <v>164</v>
      </c>
    </row>
    <row r="250" spans="9:17" x14ac:dyDescent="0.45">
      <c r="I250" t="s">
        <v>194</v>
      </c>
      <c r="J250" t="s">
        <v>320</v>
      </c>
      <c r="K250">
        <v>1.2174571239843347E-2</v>
      </c>
      <c r="L250" t="s">
        <v>164</v>
      </c>
      <c r="N250" t="s">
        <v>227</v>
      </c>
      <c r="O250" t="s">
        <v>320</v>
      </c>
      <c r="P250">
        <v>5.8583911807159897E-2</v>
      </c>
      <c r="Q250" t="s">
        <v>164</v>
      </c>
    </row>
    <row r="251" spans="9:17" x14ac:dyDescent="0.45">
      <c r="I251" t="s">
        <v>195</v>
      </c>
      <c r="J251" t="s">
        <v>309</v>
      </c>
      <c r="K251">
        <v>0.25541621007470344</v>
      </c>
      <c r="L251" t="s">
        <v>164</v>
      </c>
    </row>
    <row r="252" spans="9:17" x14ac:dyDescent="0.45">
      <c r="I252" t="s">
        <v>195</v>
      </c>
      <c r="J252" t="s">
        <v>310</v>
      </c>
      <c r="K252">
        <v>0</v>
      </c>
      <c r="L252" t="s">
        <v>164</v>
      </c>
    </row>
    <row r="253" spans="9:17" x14ac:dyDescent="0.45">
      <c r="I253" t="s">
        <v>195</v>
      </c>
      <c r="J253" t="s">
        <v>311</v>
      </c>
      <c r="K253">
        <v>1.0910249685125611E-2</v>
      </c>
      <c r="L253" t="s">
        <v>164</v>
      </c>
    </row>
    <row r="254" spans="9:17" x14ac:dyDescent="0.45">
      <c r="I254" t="s">
        <v>195</v>
      </c>
      <c r="J254" t="s">
        <v>312</v>
      </c>
      <c r="K254">
        <v>0.24297677589484504</v>
      </c>
      <c r="L254" t="s">
        <v>164</v>
      </c>
    </row>
    <row r="255" spans="9:17" x14ac:dyDescent="0.45">
      <c r="I255" t="s">
        <v>195</v>
      </c>
      <c r="J255" t="s">
        <v>313</v>
      </c>
      <c r="K255">
        <v>0</v>
      </c>
      <c r="L255" t="s">
        <v>164</v>
      </c>
    </row>
    <row r="256" spans="9:17" x14ac:dyDescent="0.45">
      <c r="I256" t="s">
        <v>195</v>
      </c>
      <c r="J256" t="s">
        <v>314</v>
      </c>
      <c r="K256">
        <v>1.3038195081864818E-2</v>
      </c>
      <c r="L256" t="s">
        <v>164</v>
      </c>
    </row>
    <row r="257" spans="9:12" x14ac:dyDescent="0.45">
      <c r="I257" t="s">
        <v>195</v>
      </c>
      <c r="J257" t="s">
        <v>315</v>
      </c>
      <c r="K257">
        <v>0.2098654118478013</v>
      </c>
      <c r="L257" t="s">
        <v>164</v>
      </c>
    </row>
    <row r="258" spans="9:12" x14ac:dyDescent="0.45">
      <c r="I258" t="s">
        <v>195</v>
      </c>
      <c r="J258" t="s">
        <v>316</v>
      </c>
      <c r="K258">
        <v>0</v>
      </c>
      <c r="L258" t="s">
        <v>164</v>
      </c>
    </row>
    <row r="259" spans="9:12" x14ac:dyDescent="0.45">
      <c r="I259" t="s">
        <v>195</v>
      </c>
      <c r="J259" t="s">
        <v>317</v>
      </c>
      <c r="K259">
        <v>1.6435239484332044E-2</v>
      </c>
      <c r="L259" t="s">
        <v>164</v>
      </c>
    </row>
    <row r="260" spans="9:12" x14ac:dyDescent="0.45">
      <c r="I260" t="s">
        <v>195</v>
      </c>
      <c r="J260" t="s">
        <v>318</v>
      </c>
      <c r="K260">
        <v>0.23948659335951461</v>
      </c>
      <c r="L260" t="s">
        <v>164</v>
      </c>
    </row>
    <row r="261" spans="9:12" x14ac:dyDescent="0.45">
      <c r="I261" t="s">
        <v>195</v>
      </c>
      <c r="J261" t="s">
        <v>319</v>
      </c>
      <c r="K261">
        <v>0</v>
      </c>
      <c r="L261" t="s">
        <v>164</v>
      </c>
    </row>
    <row r="262" spans="9:12" x14ac:dyDescent="0.45">
      <c r="I262" t="s">
        <v>195</v>
      </c>
      <c r="J262" t="s">
        <v>320</v>
      </c>
      <c r="K262">
        <v>1.1871324571812884E-2</v>
      </c>
      <c r="L262" t="s">
        <v>164</v>
      </c>
    </row>
    <row r="263" spans="9:12" x14ac:dyDescent="0.45">
      <c r="I263" t="s">
        <v>196</v>
      </c>
      <c r="J263" t="s">
        <v>309</v>
      </c>
      <c r="K263">
        <v>0.24811499266583151</v>
      </c>
      <c r="L263" t="s">
        <v>164</v>
      </c>
    </row>
    <row r="264" spans="9:12" x14ac:dyDescent="0.45">
      <c r="I264" t="s">
        <v>196</v>
      </c>
      <c r="J264" t="s">
        <v>310</v>
      </c>
      <c r="K264">
        <v>0</v>
      </c>
      <c r="L264" t="s">
        <v>164</v>
      </c>
    </row>
    <row r="265" spans="9:12" x14ac:dyDescent="0.45">
      <c r="I265" t="s">
        <v>196</v>
      </c>
      <c r="J265" t="s">
        <v>311</v>
      </c>
      <c r="K265">
        <v>9.9119580458591674E-3</v>
      </c>
      <c r="L265" t="s">
        <v>164</v>
      </c>
    </row>
    <row r="266" spans="9:12" x14ac:dyDescent="0.45">
      <c r="I266" t="s">
        <v>196</v>
      </c>
      <c r="J266" t="s">
        <v>312</v>
      </c>
      <c r="K266">
        <v>0.24709467878729749</v>
      </c>
      <c r="L266" t="s">
        <v>164</v>
      </c>
    </row>
    <row r="267" spans="9:12" x14ac:dyDescent="0.45">
      <c r="I267" t="s">
        <v>196</v>
      </c>
      <c r="J267" t="s">
        <v>313</v>
      </c>
      <c r="K267">
        <v>0</v>
      </c>
      <c r="L267" t="s">
        <v>164</v>
      </c>
    </row>
    <row r="268" spans="9:12" x14ac:dyDescent="0.45">
      <c r="I268" t="s">
        <v>196</v>
      </c>
      <c r="J268" t="s">
        <v>314</v>
      </c>
      <c r="K268">
        <v>1.1905088681501213E-2</v>
      </c>
      <c r="L268" t="s">
        <v>164</v>
      </c>
    </row>
    <row r="269" spans="9:12" x14ac:dyDescent="0.45">
      <c r="I269" t="s">
        <v>196</v>
      </c>
      <c r="J269" t="s">
        <v>315</v>
      </c>
      <c r="K269">
        <v>0.22105257608624934</v>
      </c>
      <c r="L269" t="s">
        <v>164</v>
      </c>
    </row>
    <row r="270" spans="9:12" x14ac:dyDescent="0.45">
      <c r="I270" t="s">
        <v>196</v>
      </c>
      <c r="J270" t="s">
        <v>316</v>
      </c>
      <c r="K270">
        <v>0</v>
      </c>
      <c r="L270" t="s">
        <v>164</v>
      </c>
    </row>
    <row r="271" spans="9:12" x14ac:dyDescent="0.45">
      <c r="I271" t="s">
        <v>196</v>
      </c>
      <c r="J271" t="s">
        <v>317</v>
      </c>
      <c r="K271">
        <v>1.592155256863436E-2</v>
      </c>
      <c r="L271" t="s">
        <v>164</v>
      </c>
    </row>
    <row r="272" spans="9:12" x14ac:dyDescent="0.45">
      <c r="I272" t="s">
        <v>196</v>
      </c>
      <c r="J272" t="s">
        <v>318</v>
      </c>
      <c r="K272">
        <v>0.23423169605398861</v>
      </c>
      <c r="L272" t="s">
        <v>164</v>
      </c>
    </row>
    <row r="273" spans="9:12" x14ac:dyDescent="0.45">
      <c r="I273" t="s">
        <v>196</v>
      </c>
      <c r="J273" t="s">
        <v>319</v>
      </c>
      <c r="K273">
        <v>0</v>
      </c>
      <c r="L273" t="s">
        <v>164</v>
      </c>
    </row>
    <row r="274" spans="9:12" x14ac:dyDescent="0.45">
      <c r="I274" t="s">
        <v>196</v>
      </c>
      <c r="J274" t="s">
        <v>320</v>
      </c>
      <c r="K274">
        <v>1.1767457110638155E-2</v>
      </c>
      <c r="L274" t="s">
        <v>164</v>
      </c>
    </row>
    <row r="275" spans="9:12" x14ac:dyDescent="0.45">
      <c r="I275" t="s">
        <v>197</v>
      </c>
      <c r="J275" t="s">
        <v>309</v>
      </c>
      <c r="K275">
        <v>0.26129965120831522</v>
      </c>
      <c r="L275" t="s">
        <v>164</v>
      </c>
    </row>
    <row r="276" spans="9:12" x14ac:dyDescent="0.45">
      <c r="I276" t="s">
        <v>197</v>
      </c>
      <c r="J276" t="s">
        <v>310</v>
      </c>
      <c r="K276">
        <v>0</v>
      </c>
      <c r="L276" t="s">
        <v>164</v>
      </c>
    </row>
    <row r="277" spans="9:12" x14ac:dyDescent="0.45">
      <c r="I277" t="s">
        <v>197</v>
      </c>
      <c r="J277" t="s">
        <v>311</v>
      </c>
      <c r="K277">
        <v>1.0138272368704198E-2</v>
      </c>
      <c r="L277" t="s">
        <v>164</v>
      </c>
    </row>
    <row r="278" spans="9:12" x14ac:dyDescent="0.45">
      <c r="I278" t="s">
        <v>197</v>
      </c>
      <c r="J278" t="s">
        <v>312</v>
      </c>
      <c r="K278">
        <v>0.24623528847879658</v>
      </c>
      <c r="L278" t="s">
        <v>164</v>
      </c>
    </row>
    <row r="279" spans="9:12" x14ac:dyDescent="0.45">
      <c r="I279" t="s">
        <v>197</v>
      </c>
      <c r="J279" t="s">
        <v>313</v>
      </c>
      <c r="K279">
        <v>0</v>
      </c>
      <c r="L279" t="s">
        <v>164</v>
      </c>
    </row>
    <row r="280" spans="9:12" x14ac:dyDescent="0.45">
      <c r="I280" t="s">
        <v>197</v>
      </c>
      <c r="J280" t="s">
        <v>314</v>
      </c>
      <c r="K280">
        <v>1.2283520854466854E-2</v>
      </c>
      <c r="L280" t="s">
        <v>164</v>
      </c>
    </row>
    <row r="281" spans="9:12" x14ac:dyDescent="0.45">
      <c r="I281" t="s">
        <v>197</v>
      </c>
      <c r="J281" t="s">
        <v>315</v>
      </c>
      <c r="K281">
        <v>0.20011833542433105</v>
      </c>
      <c r="L281" t="s">
        <v>164</v>
      </c>
    </row>
    <row r="282" spans="9:12" x14ac:dyDescent="0.45">
      <c r="I282" t="s">
        <v>197</v>
      </c>
      <c r="J282" t="s">
        <v>316</v>
      </c>
      <c r="K282">
        <v>0</v>
      </c>
      <c r="L282" t="s">
        <v>164</v>
      </c>
    </row>
    <row r="283" spans="9:12" x14ac:dyDescent="0.45">
      <c r="I283" t="s">
        <v>197</v>
      </c>
      <c r="J283" t="s">
        <v>317</v>
      </c>
      <c r="K283">
        <v>1.5595874900140826E-2</v>
      </c>
      <c r="L283" t="s">
        <v>164</v>
      </c>
    </row>
    <row r="284" spans="9:12" x14ac:dyDescent="0.45">
      <c r="I284" t="s">
        <v>197</v>
      </c>
      <c r="J284" t="s">
        <v>318</v>
      </c>
      <c r="K284">
        <v>0.23901241246056204</v>
      </c>
      <c r="L284" t="s">
        <v>164</v>
      </c>
    </row>
    <row r="285" spans="9:12" x14ac:dyDescent="0.45">
      <c r="I285" t="s">
        <v>197</v>
      </c>
      <c r="J285" t="s">
        <v>319</v>
      </c>
      <c r="K285">
        <v>0</v>
      </c>
      <c r="L285" t="s">
        <v>164</v>
      </c>
    </row>
    <row r="286" spans="9:12" x14ac:dyDescent="0.45">
      <c r="I286" t="s">
        <v>197</v>
      </c>
      <c r="J286" t="s">
        <v>320</v>
      </c>
      <c r="K286">
        <v>1.5316644304681987E-2</v>
      </c>
      <c r="L286" t="s">
        <v>164</v>
      </c>
    </row>
    <row r="287" spans="9:12" x14ac:dyDescent="0.45">
      <c r="I287" t="s">
        <v>198</v>
      </c>
      <c r="J287" t="s">
        <v>309</v>
      </c>
      <c r="K287">
        <v>0.25835812219643234</v>
      </c>
      <c r="L287" t="s">
        <v>164</v>
      </c>
    </row>
    <row r="288" spans="9:12" x14ac:dyDescent="0.45">
      <c r="I288" t="s">
        <v>198</v>
      </c>
      <c r="J288" t="s">
        <v>310</v>
      </c>
      <c r="K288">
        <v>0</v>
      </c>
      <c r="L288" t="s">
        <v>164</v>
      </c>
    </row>
    <row r="289" spans="9:12" x14ac:dyDescent="0.45">
      <c r="I289" t="s">
        <v>198</v>
      </c>
      <c r="J289" t="s">
        <v>311</v>
      </c>
      <c r="K289">
        <v>1.0201657956195322E-2</v>
      </c>
      <c r="L289" t="s">
        <v>164</v>
      </c>
    </row>
    <row r="290" spans="9:12" x14ac:dyDescent="0.45">
      <c r="I290" t="s">
        <v>198</v>
      </c>
      <c r="J290" t="s">
        <v>312</v>
      </c>
      <c r="K290">
        <v>0.23766391474973741</v>
      </c>
      <c r="L290" t="s">
        <v>164</v>
      </c>
    </row>
    <row r="291" spans="9:12" x14ac:dyDescent="0.45">
      <c r="I291" t="s">
        <v>198</v>
      </c>
      <c r="J291" t="s">
        <v>313</v>
      </c>
      <c r="K291">
        <v>0</v>
      </c>
      <c r="L291" t="s">
        <v>164</v>
      </c>
    </row>
    <row r="292" spans="9:12" x14ac:dyDescent="0.45">
      <c r="I292" t="s">
        <v>198</v>
      </c>
      <c r="J292" t="s">
        <v>314</v>
      </c>
      <c r="K292">
        <v>1.6908588995966516E-2</v>
      </c>
      <c r="L292" t="s">
        <v>164</v>
      </c>
    </row>
    <row r="293" spans="9:12" x14ac:dyDescent="0.45">
      <c r="I293" t="s">
        <v>198</v>
      </c>
      <c r="J293" t="s">
        <v>315</v>
      </c>
      <c r="K293">
        <v>0.19495903188359257</v>
      </c>
      <c r="L293" t="s">
        <v>164</v>
      </c>
    </row>
    <row r="294" spans="9:12" x14ac:dyDescent="0.45">
      <c r="I294" t="s">
        <v>198</v>
      </c>
      <c r="J294" t="s">
        <v>316</v>
      </c>
      <c r="K294">
        <v>0</v>
      </c>
      <c r="L294" t="s">
        <v>164</v>
      </c>
    </row>
    <row r="295" spans="9:12" x14ac:dyDescent="0.45">
      <c r="I295" t="s">
        <v>198</v>
      </c>
      <c r="J295" t="s">
        <v>317</v>
      </c>
      <c r="K295">
        <v>1.552810772091243E-2</v>
      </c>
      <c r="L295" t="s">
        <v>164</v>
      </c>
    </row>
    <row r="296" spans="9:12" x14ac:dyDescent="0.45">
      <c r="I296" t="s">
        <v>198</v>
      </c>
      <c r="J296" t="s">
        <v>318</v>
      </c>
      <c r="K296">
        <v>0.24881714657128673</v>
      </c>
      <c r="L296" t="s">
        <v>164</v>
      </c>
    </row>
    <row r="297" spans="9:12" x14ac:dyDescent="0.45">
      <c r="I297" t="s">
        <v>198</v>
      </c>
      <c r="J297" t="s">
        <v>319</v>
      </c>
      <c r="K297">
        <v>0</v>
      </c>
      <c r="L297" t="s">
        <v>164</v>
      </c>
    </row>
    <row r="298" spans="9:12" x14ac:dyDescent="0.45">
      <c r="I298" t="s">
        <v>198</v>
      </c>
      <c r="J298" t="s">
        <v>320</v>
      </c>
      <c r="K298">
        <v>1.7563429925875368E-2</v>
      </c>
      <c r="L298" t="s">
        <v>164</v>
      </c>
    </row>
    <row r="299" spans="9:12" x14ac:dyDescent="0.45">
      <c r="I299" t="s">
        <v>199</v>
      </c>
      <c r="J299" t="s">
        <v>309</v>
      </c>
      <c r="K299">
        <v>0.24948987787737276</v>
      </c>
      <c r="L299" t="s">
        <v>164</v>
      </c>
    </row>
    <row r="300" spans="9:12" x14ac:dyDescent="0.45">
      <c r="I300" t="s">
        <v>199</v>
      </c>
      <c r="J300" t="s">
        <v>310</v>
      </c>
      <c r="K300">
        <v>0</v>
      </c>
      <c r="L300" t="s">
        <v>164</v>
      </c>
    </row>
    <row r="301" spans="9:12" x14ac:dyDescent="0.45">
      <c r="I301" t="s">
        <v>199</v>
      </c>
      <c r="J301" t="s">
        <v>311</v>
      </c>
      <c r="K301">
        <v>1.1498452415344938E-2</v>
      </c>
      <c r="L301" t="s">
        <v>164</v>
      </c>
    </row>
    <row r="302" spans="9:12" x14ac:dyDescent="0.45">
      <c r="I302" t="s">
        <v>199</v>
      </c>
      <c r="J302" t="s">
        <v>312</v>
      </c>
      <c r="K302">
        <v>0.23260934276119274</v>
      </c>
      <c r="L302" t="s">
        <v>164</v>
      </c>
    </row>
    <row r="303" spans="9:12" x14ac:dyDescent="0.45">
      <c r="I303" t="s">
        <v>199</v>
      </c>
      <c r="J303" t="s">
        <v>313</v>
      </c>
      <c r="K303">
        <v>0</v>
      </c>
      <c r="L303" t="s">
        <v>164</v>
      </c>
    </row>
    <row r="304" spans="9:12" x14ac:dyDescent="0.45">
      <c r="I304" t="s">
        <v>199</v>
      </c>
      <c r="J304" t="s">
        <v>314</v>
      </c>
      <c r="K304">
        <v>2.1076993888520416E-2</v>
      </c>
      <c r="L304" t="s">
        <v>164</v>
      </c>
    </row>
    <row r="305" spans="9:12" x14ac:dyDescent="0.45">
      <c r="I305" t="s">
        <v>199</v>
      </c>
      <c r="J305" t="s">
        <v>315</v>
      </c>
      <c r="K305">
        <v>0.19898012740183588</v>
      </c>
      <c r="L305" t="s">
        <v>164</v>
      </c>
    </row>
    <row r="306" spans="9:12" x14ac:dyDescent="0.45">
      <c r="I306" t="s">
        <v>199</v>
      </c>
      <c r="J306" t="s">
        <v>316</v>
      </c>
      <c r="K306">
        <v>0</v>
      </c>
      <c r="L306" t="s">
        <v>164</v>
      </c>
    </row>
    <row r="307" spans="9:12" x14ac:dyDescent="0.45">
      <c r="I307" t="s">
        <v>199</v>
      </c>
      <c r="J307" t="s">
        <v>317</v>
      </c>
      <c r="K307">
        <v>1.7574986198459538E-2</v>
      </c>
      <c r="L307" t="s">
        <v>164</v>
      </c>
    </row>
    <row r="308" spans="9:12" x14ac:dyDescent="0.45">
      <c r="I308" t="s">
        <v>199</v>
      </c>
      <c r="J308" t="s">
        <v>318</v>
      </c>
      <c r="K308">
        <v>0.25161184355561689</v>
      </c>
      <c r="L308" t="s">
        <v>164</v>
      </c>
    </row>
    <row r="309" spans="9:12" x14ac:dyDescent="0.45">
      <c r="I309" t="s">
        <v>199</v>
      </c>
      <c r="J309" t="s">
        <v>319</v>
      </c>
      <c r="K309">
        <v>0</v>
      </c>
      <c r="L309" t="s">
        <v>164</v>
      </c>
    </row>
    <row r="310" spans="9:12" x14ac:dyDescent="0.45">
      <c r="I310" t="s">
        <v>199</v>
      </c>
      <c r="J310" t="s">
        <v>320</v>
      </c>
      <c r="K310">
        <v>1.7158375901658644E-2</v>
      </c>
      <c r="L310" t="s">
        <v>164</v>
      </c>
    </row>
    <row r="311" spans="9:12" x14ac:dyDescent="0.45">
      <c r="I311" t="s">
        <v>200</v>
      </c>
      <c r="J311" t="s">
        <v>309</v>
      </c>
      <c r="K311">
        <v>0.24535393408519035</v>
      </c>
      <c r="L311" t="s">
        <v>164</v>
      </c>
    </row>
    <row r="312" spans="9:12" x14ac:dyDescent="0.45">
      <c r="I312" t="s">
        <v>200</v>
      </c>
      <c r="J312" t="s">
        <v>310</v>
      </c>
      <c r="K312">
        <v>0</v>
      </c>
      <c r="L312" t="s">
        <v>164</v>
      </c>
    </row>
    <row r="313" spans="9:12" x14ac:dyDescent="0.45">
      <c r="I313" t="s">
        <v>200</v>
      </c>
      <c r="J313" t="s">
        <v>311</v>
      </c>
      <c r="K313">
        <v>9.9870945956596624E-3</v>
      </c>
      <c r="L313" t="s">
        <v>164</v>
      </c>
    </row>
    <row r="314" spans="9:12" x14ac:dyDescent="0.45">
      <c r="I314" t="s">
        <v>200</v>
      </c>
      <c r="J314" t="s">
        <v>312</v>
      </c>
      <c r="K314">
        <v>0.22955073061605266</v>
      </c>
      <c r="L314" t="s">
        <v>164</v>
      </c>
    </row>
    <row r="315" spans="9:12" x14ac:dyDescent="0.45">
      <c r="I315" t="s">
        <v>200</v>
      </c>
      <c r="J315" t="s">
        <v>313</v>
      </c>
      <c r="K315">
        <v>0</v>
      </c>
      <c r="L315" t="s">
        <v>164</v>
      </c>
    </row>
    <row r="316" spans="9:12" x14ac:dyDescent="0.45">
      <c r="I316" t="s">
        <v>200</v>
      </c>
      <c r="J316" t="s">
        <v>314</v>
      </c>
      <c r="K316">
        <v>1.5478051356200836E-2</v>
      </c>
      <c r="L316" t="s">
        <v>164</v>
      </c>
    </row>
    <row r="317" spans="9:12" x14ac:dyDescent="0.45">
      <c r="I317" t="s">
        <v>200</v>
      </c>
      <c r="J317" t="s">
        <v>315</v>
      </c>
      <c r="K317">
        <v>0.22325152358702499</v>
      </c>
      <c r="L317" t="s">
        <v>164</v>
      </c>
    </row>
    <row r="318" spans="9:12" x14ac:dyDescent="0.45">
      <c r="I318" t="s">
        <v>200</v>
      </c>
      <c r="J318" t="s">
        <v>316</v>
      </c>
      <c r="K318">
        <v>0</v>
      </c>
      <c r="L318" t="s">
        <v>164</v>
      </c>
    </row>
    <row r="319" spans="9:12" x14ac:dyDescent="0.45">
      <c r="I319" t="s">
        <v>200</v>
      </c>
      <c r="J319" t="s">
        <v>317</v>
      </c>
      <c r="K319">
        <v>1.8001478165458464E-2</v>
      </c>
      <c r="L319" t="s">
        <v>164</v>
      </c>
    </row>
    <row r="320" spans="9:12" x14ac:dyDescent="0.45">
      <c r="I320" t="s">
        <v>200</v>
      </c>
      <c r="J320" t="s">
        <v>318</v>
      </c>
      <c r="K320">
        <v>0.24324971141768431</v>
      </c>
      <c r="L320" t="s">
        <v>164</v>
      </c>
    </row>
    <row r="321" spans="9:12" x14ac:dyDescent="0.45">
      <c r="I321" t="s">
        <v>200</v>
      </c>
      <c r="J321" t="s">
        <v>319</v>
      </c>
      <c r="K321">
        <v>0</v>
      </c>
      <c r="L321" t="s">
        <v>164</v>
      </c>
    </row>
    <row r="322" spans="9:12" x14ac:dyDescent="0.45">
      <c r="I322" t="s">
        <v>200</v>
      </c>
      <c r="J322" t="s">
        <v>320</v>
      </c>
      <c r="K322">
        <v>1.512747617672805E-2</v>
      </c>
      <c r="L322" t="s">
        <v>164</v>
      </c>
    </row>
    <row r="323" spans="9:12" x14ac:dyDescent="0.45">
      <c r="I323" t="s">
        <v>201</v>
      </c>
      <c r="J323" t="s">
        <v>309</v>
      </c>
      <c r="K323">
        <v>0.2630473725750293</v>
      </c>
      <c r="L323" t="s">
        <v>164</v>
      </c>
    </row>
    <row r="324" spans="9:12" x14ac:dyDescent="0.45">
      <c r="I324" t="s">
        <v>201</v>
      </c>
      <c r="J324" t="s">
        <v>310</v>
      </c>
      <c r="K324">
        <v>0</v>
      </c>
      <c r="L324" t="s">
        <v>164</v>
      </c>
    </row>
    <row r="325" spans="9:12" x14ac:dyDescent="0.45">
      <c r="I325" t="s">
        <v>201</v>
      </c>
      <c r="J325" t="s">
        <v>311</v>
      </c>
      <c r="K325">
        <v>1.0872087492021997E-2</v>
      </c>
      <c r="L325" t="s">
        <v>164</v>
      </c>
    </row>
    <row r="326" spans="9:12" x14ac:dyDescent="0.45">
      <c r="I326" t="s">
        <v>201</v>
      </c>
      <c r="J326" t="s">
        <v>312</v>
      </c>
      <c r="K326">
        <v>0.21454224783933637</v>
      </c>
      <c r="L326" t="s">
        <v>164</v>
      </c>
    </row>
    <row r="327" spans="9:12" x14ac:dyDescent="0.45">
      <c r="I327" t="s">
        <v>201</v>
      </c>
      <c r="J327" t="s">
        <v>313</v>
      </c>
      <c r="K327">
        <v>0</v>
      </c>
      <c r="L327" t="s">
        <v>164</v>
      </c>
    </row>
    <row r="328" spans="9:12" x14ac:dyDescent="0.45">
      <c r="I328" t="s">
        <v>201</v>
      </c>
      <c r="J328" t="s">
        <v>314</v>
      </c>
      <c r="K328">
        <v>1.372257193982936E-2</v>
      </c>
      <c r="L328" t="s">
        <v>164</v>
      </c>
    </row>
    <row r="329" spans="9:12" x14ac:dyDescent="0.45">
      <c r="I329" t="s">
        <v>201</v>
      </c>
      <c r="J329" t="s">
        <v>315</v>
      </c>
      <c r="K329">
        <v>0.19249951094861995</v>
      </c>
      <c r="L329" t="s">
        <v>164</v>
      </c>
    </row>
    <row r="330" spans="9:12" x14ac:dyDescent="0.45">
      <c r="I330" t="s">
        <v>201</v>
      </c>
      <c r="J330" t="s">
        <v>316</v>
      </c>
      <c r="K330">
        <v>0</v>
      </c>
      <c r="L330" t="s">
        <v>164</v>
      </c>
    </row>
    <row r="331" spans="9:12" x14ac:dyDescent="0.45">
      <c r="I331" t="s">
        <v>201</v>
      </c>
      <c r="J331" t="s">
        <v>317</v>
      </c>
      <c r="K331">
        <v>1.7424753669248842E-2</v>
      </c>
      <c r="L331" t="s">
        <v>164</v>
      </c>
    </row>
    <row r="332" spans="9:12" x14ac:dyDescent="0.45">
      <c r="I332" t="s">
        <v>201</v>
      </c>
      <c r="J332" t="s">
        <v>318</v>
      </c>
      <c r="K332">
        <v>0.26934817728247273</v>
      </c>
      <c r="L332" t="s">
        <v>164</v>
      </c>
    </row>
    <row r="333" spans="9:12" x14ac:dyDescent="0.45">
      <c r="I333" t="s">
        <v>201</v>
      </c>
      <c r="J333" t="s">
        <v>319</v>
      </c>
      <c r="K333">
        <v>0</v>
      </c>
      <c r="L333" t="s">
        <v>164</v>
      </c>
    </row>
    <row r="334" spans="9:12" x14ac:dyDescent="0.45">
      <c r="I334" t="s">
        <v>201</v>
      </c>
      <c r="J334" t="s">
        <v>320</v>
      </c>
      <c r="K334">
        <v>1.8543278253442538E-2</v>
      </c>
      <c r="L334" t="s">
        <v>164</v>
      </c>
    </row>
    <row r="335" spans="9:12" x14ac:dyDescent="0.45">
      <c r="I335" t="s">
        <v>202</v>
      </c>
      <c r="J335" t="s">
        <v>309</v>
      </c>
      <c r="K335">
        <v>0.2670605521179823</v>
      </c>
      <c r="L335" t="s">
        <v>164</v>
      </c>
    </row>
    <row r="336" spans="9:12" x14ac:dyDescent="0.45">
      <c r="I336" t="s">
        <v>202</v>
      </c>
      <c r="J336" t="s">
        <v>310</v>
      </c>
      <c r="K336">
        <v>0</v>
      </c>
      <c r="L336" t="s">
        <v>164</v>
      </c>
    </row>
    <row r="337" spans="9:12" x14ac:dyDescent="0.45">
      <c r="I337" t="s">
        <v>202</v>
      </c>
      <c r="J337" t="s">
        <v>311</v>
      </c>
      <c r="K337">
        <v>1.1913129439445606E-2</v>
      </c>
      <c r="L337" t="s">
        <v>164</v>
      </c>
    </row>
    <row r="338" spans="9:12" x14ac:dyDescent="0.45">
      <c r="I338" t="s">
        <v>202</v>
      </c>
      <c r="J338" t="s">
        <v>312</v>
      </c>
      <c r="K338">
        <v>0.22264778477106917</v>
      </c>
      <c r="L338" t="s">
        <v>164</v>
      </c>
    </row>
    <row r="339" spans="9:12" x14ac:dyDescent="0.45">
      <c r="I339" t="s">
        <v>202</v>
      </c>
      <c r="J339" t="s">
        <v>313</v>
      </c>
      <c r="K339">
        <v>0</v>
      </c>
      <c r="L339" t="s">
        <v>164</v>
      </c>
    </row>
    <row r="340" spans="9:12" x14ac:dyDescent="0.45">
      <c r="I340" t="s">
        <v>202</v>
      </c>
      <c r="J340" t="s">
        <v>314</v>
      </c>
      <c r="K340">
        <v>1.3390700280510181E-2</v>
      </c>
      <c r="L340" t="s">
        <v>164</v>
      </c>
    </row>
    <row r="341" spans="9:12" x14ac:dyDescent="0.45">
      <c r="I341" t="s">
        <v>202</v>
      </c>
      <c r="J341" t="s">
        <v>315</v>
      </c>
      <c r="K341">
        <v>0.20439430973458028</v>
      </c>
      <c r="L341" t="s">
        <v>164</v>
      </c>
    </row>
    <row r="342" spans="9:12" x14ac:dyDescent="0.45">
      <c r="I342" t="s">
        <v>202</v>
      </c>
      <c r="J342" t="s">
        <v>316</v>
      </c>
      <c r="K342">
        <v>0</v>
      </c>
      <c r="L342" t="s">
        <v>164</v>
      </c>
    </row>
    <row r="343" spans="9:12" x14ac:dyDescent="0.45">
      <c r="I343" t="s">
        <v>202</v>
      </c>
      <c r="J343" t="s">
        <v>317</v>
      </c>
      <c r="K343">
        <v>1.5664433313571192E-2</v>
      </c>
      <c r="L343" t="s">
        <v>164</v>
      </c>
    </row>
    <row r="344" spans="9:12" x14ac:dyDescent="0.45">
      <c r="I344" t="s">
        <v>202</v>
      </c>
      <c r="J344" t="s">
        <v>318</v>
      </c>
      <c r="K344">
        <v>0.24855108193812417</v>
      </c>
      <c r="L344" t="s">
        <v>164</v>
      </c>
    </row>
    <row r="345" spans="9:12" x14ac:dyDescent="0.45">
      <c r="I345" t="s">
        <v>202</v>
      </c>
      <c r="J345" t="s">
        <v>319</v>
      </c>
      <c r="K345">
        <v>0</v>
      </c>
      <c r="L345" t="s">
        <v>164</v>
      </c>
    </row>
    <row r="346" spans="9:12" x14ac:dyDescent="0.45">
      <c r="I346" t="s">
        <v>202</v>
      </c>
      <c r="J346" t="s">
        <v>320</v>
      </c>
      <c r="K346">
        <v>1.6378008404719317E-2</v>
      </c>
      <c r="L346" t="s">
        <v>164</v>
      </c>
    </row>
    <row r="347" spans="9:12" x14ac:dyDescent="0.45">
      <c r="I347" t="s">
        <v>203</v>
      </c>
      <c r="J347" t="s">
        <v>309</v>
      </c>
      <c r="K347">
        <v>0.27103695258781269</v>
      </c>
      <c r="L347" t="s">
        <v>164</v>
      </c>
    </row>
    <row r="348" spans="9:12" x14ac:dyDescent="0.45">
      <c r="I348" t="s">
        <v>203</v>
      </c>
      <c r="J348" t="s">
        <v>310</v>
      </c>
      <c r="K348">
        <v>0</v>
      </c>
      <c r="L348" t="s">
        <v>164</v>
      </c>
    </row>
    <row r="349" spans="9:12" x14ac:dyDescent="0.45">
      <c r="I349" t="s">
        <v>203</v>
      </c>
      <c r="J349" t="s">
        <v>311</v>
      </c>
      <c r="K349">
        <v>1.0777260316303156E-2</v>
      </c>
      <c r="L349" t="s">
        <v>164</v>
      </c>
    </row>
    <row r="350" spans="9:12" x14ac:dyDescent="0.45">
      <c r="I350" t="s">
        <v>203</v>
      </c>
      <c r="J350" t="s">
        <v>312</v>
      </c>
      <c r="K350">
        <v>0.22462735088880378</v>
      </c>
      <c r="L350" t="s">
        <v>164</v>
      </c>
    </row>
    <row r="351" spans="9:12" x14ac:dyDescent="0.45">
      <c r="I351" t="s">
        <v>203</v>
      </c>
      <c r="J351" t="s">
        <v>313</v>
      </c>
      <c r="K351">
        <v>0</v>
      </c>
      <c r="L351" t="s">
        <v>164</v>
      </c>
    </row>
    <row r="352" spans="9:12" x14ac:dyDescent="0.45">
      <c r="I352" t="s">
        <v>203</v>
      </c>
      <c r="J352" t="s">
        <v>314</v>
      </c>
      <c r="K352">
        <v>9.3688819043319244E-3</v>
      </c>
      <c r="L352" t="s">
        <v>164</v>
      </c>
    </row>
    <row r="353" spans="9:12" x14ac:dyDescent="0.45">
      <c r="I353" t="s">
        <v>203</v>
      </c>
      <c r="J353" t="s">
        <v>315</v>
      </c>
      <c r="K353">
        <v>0.2107631854423849</v>
      </c>
      <c r="L353" t="s">
        <v>164</v>
      </c>
    </row>
    <row r="354" spans="9:12" x14ac:dyDescent="0.45">
      <c r="I354" t="s">
        <v>203</v>
      </c>
      <c r="J354" t="s">
        <v>316</v>
      </c>
      <c r="K354">
        <v>0</v>
      </c>
      <c r="L354" t="s">
        <v>164</v>
      </c>
    </row>
    <row r="355" spans="9:12" x14ac:dyDescent="0.45">
      <c r="I355" t="s">
        <v>203</v>
      </c>
      <c r="J355" t="s">
        <v>317</v>
      </c>
      <c r="K355">
        <v>9.4753001777320867E-3</v>
      </c>
      <c r="L355" t="s">
        <v>164</v>
      </c>
    </row>
    <row r="356" spans="9:12" x14ac:dyDescent="0.45">
      <c r="I356" t="s">
        <v>203</v>
      </c>
      <c r="J356" t="s">
        <v>318</v>
      </c>
      <c r="K356">
        <v>0.25211478985880065</v>
      </c>
      <c r="L356" t="s">
        <v>164</v>
      </c>
    </row>
    <row r="357" spans="9:12" x14ac:dyDescent="0.45">
      <c r="I357" t="s">
        <v>203</v>
      </c>
      <c r="J357" t="s">
        <v>319</v>
      </c>
      <c r="K357">
        <v>0</v>
      </c>
      <c r="L357" t="s">
        <v>164</v>
      </c>
    </row>
    <row r="358" spans="9:12" x14ac:dyDescent="0.45">
      <c r="I358" t="s">
        <v>203</v>
      </c>
      <c r="J358" t="s">
        <v>320</v>
      </c>
      <c r="K358">
        <v>1.1836278823830712E-2</v>
      </c>
      <c r="L358" t="s">
        <v>164</v>
      </c>
    </row>
    <row r="359" spans="9:12" x14ac:dyDescent="0.45">
      <c r="I359" t="s">
        <v>204</v>
      </c>
      <c r="J359" t="s">
        <v>309</v>
      </c>
      <c r="K359">
        <v>0.27020205241094858</v>
      </c>
      <c r="L359" t="s">
        <v>164</v>
      </c>
    </row>
    <row r="360" spans="9:12" x14ac:dyDescent="0.45">
      <c r="I360" t="s">
        <v>204</v>
      </c>
      <c r="J360" t="s">
        <v>310</v>
      </c>
      <c r="K360">
        <v>0</v>
      </c>
      <c r="L360" t="s">
        <v>164</v>
      </c>
    </row>
    <row r="361" spans="9:12" x14ac:dyDescent="0.45">
      <c r="I361" t="s">
        <v>204</v>
      </c>
      <c r="J361" t="s">
        <v>311</v>
      </c>
      <c r="K361">
        <v>9.8767569079156441E-3</v>
      </c>
      <c r="L361" t="s">
        <v>164</v>
      </c>
    </row>
    <row r="362" spans="9:12" x14ac:dyDescent="0.45">
      <c r="I362" t="s">
        <v>204</v>
      </c>
      <c r="J362" t="s">
        <v>312</v>
      </c>
      <c r="K362">
        <v>0.22745277097136332</v>
      </c>
      <c r="L362" t="s">
        <v>164</v>
      </c>
    </row>
    <row r="363" spans="9:12" x14ac:dyDescent="0.45">
      <c r="I363" t="s">
        <v>204</v>
      </c>
      <c r="J363" t="s">
        <v>313</v>
      </c>
      <c r="K363">
        <v>0</v>
      </c>
      <c r="L363" t="s">
        <v>164</v>
      </c>
    </row>
    <row r="364" spans="9:12" x14ac:dyDescent="0.45">
      <c r="I364" t="s">
        <v>204</v>
      </c>
      <c r="J364" t="s">
        <v>314</v>
      </c>
      <c r="K364">
        <v>8.492423829209764E-3</v>
      </c>
      <c r="L364" t="s">
        <v>164</v>
      </c>
    </row>
    <row r="365" spans="9:12" x14ac:dyDescent="0.45">
      <c r="I365" t="s">
        <v>204</v>
      </c>
      <c r="J365" t="s">
        <v>315</v>
      </c>
      <c r="K365">
        <v>0.20757890230770937</v>
      </c>
      <c r="L365" t="s">
        <v>164</v>
      </c>
    </row>
    <row r="366" spans="9:12" x14ac:dyDescent="0.45">
      <c r="I366" t="s">
        <v>204</v>
      </c>
      <c r="J366" t="s">
        <v>316</v>
      </c>
      <c r="K366">
        <v>0</v>
      </c>
      <c r="L366" t="s">
        <v>164</v>
      </c>
    </row>
    <row r="367" spans="9:12" x14ac:dyDescent="0.45">
      <c r="I367" t="s">
        <v>204</v>
      </c>
      <c r="J367" t="s">
        <v>317</v>
      </c>
      <c r="K367">
        <v>9.9186175950587638E-3</v>
      </c>
      <c r="L367" t="s">
        <v>164</v>
      </c>
    </row>
    <row r="368" spans="9:12" x14ac:dyDescent="0.45">
      <c r="I368" t="s">
        <v>204</v>
      </c>
      <c r="J368" t="s">
        <v>318</v>
      </c>
      <c r="K368">
        <v>0.25286994150155029</v>
      </c>
      <c r="L368" t="s">
        <v>164</v>
      </c>
    </row>
    <row r="369" spans="9:12" x14ac:dyDescent="0.45">
      <c r="I369" t="s">
        <v>204</v>
      </c>
      <c r="J369" t="s">
        <v>319</v>
      </c>
      <c r="K369">
        <v>0</v>
      </c>
      <c r="L369" t="s">
        <v>164</v>
      </c>
    </row>
    <row r="370" spans="9:12" x14ac:dyDescent="0.45">
      <c r="I370" t="s">
        <v>204</v>
      </c>
      <c r="J370" t="s">
        <v>320</v>
      </c>
      <c r="K370">
        <v>1.3608534476246732E-2</v>
      </c>
      <c r="L370" t="s">
        <v>164</v>
      </c>
    </row>
    <row r="371" spans="9:12" x14ac:dyDescent="0.45">
      <c r="I371" t="s">
        <v>205</v>
      </c>
      <c r="J371" t="s">
        <v>309</v>
      </c>
      <c r="K371">
        <v>0.26133484684556785</v>
      </c>
      <c r="L371" t="s">
        <v>164</v>
      </c>
    </row>
    <row r="372" spans="9:12" x14ac:dyDescent="0.45">
      <c r="I372" t="s">
        <v>205</v>
      </c>
      <c r="J372" t="s">
        <v>310</v>
      </c>
      <c r="K372">
        <v>0</v>
      </c>
      <c r="L372" t="s">
        <v>164</v>
      </c>
    </row>
    <row r="373" spans="9:12" x14ac:dyDescent="0.45">
      <c r="I373" t="s">
        <v>205</v>
      </c>
      <c r="J373" t="s">
        <v>311</v>
      </c>
      <c r="K373">
        <v>9.4148802525153494E-3</v>
      </c>
      <c r="L373" t="s">
        <v>164</v>
      </c>
    </row>
    <row r="374" spans="9:12" x14ac:dyDescent="0.45">
      <c r="I374" t="s">
        <v>205</v>
      </c>
      <c r="J374" t="s">
        <v>312</v>
      </c>
      <c r="K374">
        <v>0.21766534902314033</v>
      </c>
      <c r="L374" t="s">
        <v>164</v>
      </c>
    </row>
    <row r="375" spans="9:12" x14ac:dyDescent="0.45">
      <c r="I375" t="s">
        <v>205</v>
      </c>
      <c r="J375" t="s">
        <v>313</v>
      </c>
      <c r="K375">
        <v>0</v>
      </c>
      <c r="L375" t="s">
        <v>164</v>
      </c>
    </row>
    <row r="376" spans="9:12" x14ac:dyDescent="0.45">
      <c r="I376" t="s">
        <v>205</v>
      </c>
      <c r="J376" t="s">
        <v>314</v>
      </c>
      <c r="K376">
        <v>1.0211874388855144E-2</v>
      </c>
      <c r="L376" t="s">
        <v>164</v>
      </c>
    </row>
    <row r="377" spans="9:12" x14ac:dyDescent="0.45">
      <c r="I377" t="s">
        <v>205</v>
      </c>
      <c r="J377" t="s">
        <v>315</v>
      </c>
      <c r="K377">
        <v>0.19538392279550135</v>
      </c>
      <c r="L377" t="s">
        <v>164</v>
      </c>
    </row>
    <row r="378" spans="9:12" x14ac:dyDescent="0.45">
      <c r="I378" t="s">
        <v>205</v>
      </c>
      <c r="J378" t="s">
        <v>316</v>
      </c>
      <c r="K378">
        <v>0</v>
      </c>
      <c r="L378" t="s">
        <v>164</v>
      </c>
    </row>
    <row r="379" spans="9:12" x14ac:dyDescent="0.45">
      <c r="I379" t="s">
        <v>205</v>
      </c>
      <c r="J379" t="s">
        <v>317</v>
      </c>
      <c r="K379">
        <v>1.3039209110486252E-2</v>
      </c>
      <c r="L379" t="s">
        <v>164</v>
      </c>
    </row>
    <row r="380" spans="9:12" x14ac:dyDescent="0.45">
      <c r="I380" t="s">
        <v>205</v>
      </c>
      <c r="J380" t="s">
        <v>318</v>
      </c>
      <c r="K380">
        <v>0.27727111651514569</v>
      </c>
      <c r="L380" t="s">
        <v>164</v>
      </c>
    </row>
    <row r="381" spans="9:12" x14ac:dyDescent="0.45">
      <c r="I381" t="s">
        <v>205</v>
      </c>
      <c r="J381" t="s">
        <v>319</v>
      </c>
      <c r="K381">
        <v>0</v>
      </c>
      <c r="L381" t="s">
        <v>164</v>
      </c>
    </row>
    <row r="382" spans="9:12" x14ac:dyDescent="0.45">
      <c r="I382" t="s">
        <v>205</v>
      </c>
      <c r="J382" t="s">
        <v>320</v>
      </c>
      <c r="K382">
        <v>1.5678801068788783E-2</v>
      </c>
      <c r="L382" t="s">
        <v>164</v>
      </c>
    </row>
    <row r="383" spans="9:12" x14ac:dyDescent="0.45">
      <c r="I383" t="s">
        <v>206</v>
      </c>
      <c r="J383" t="s">
        <v>309</v>
      </c>
      <c r="K383">
        <v>0.25465460948844321</v>
      </c>
      <c r="L383" t="s">
        <v>164</v>
      </c>
    </row>
    <row r="384" spans="9:12" x14ac:dyDescent="0.45">
      <c r="I384" t="s">
        <v>206</v>
      </c>
      <c r="J384" t="s">
        <v>310</v>
      </c>
      <c r="K384">
        <v>0</v>
      </c>
      <c r="L384" t="s">
        <v>164</v>
      </c>
    </row>
    <row r="385" spans="9:12" x14ac:dyDescent="0.45">
      <c r="I385" t="s">
        <v>206</v>
      </c>
      <c r="J385" t="s">
        <v>311</v>
      </c>
      <c r="K385">
        <v>7.8614421080143368E-3</v>
      </c>
      <c r="L385" t="s">
        <v>164</v>
      </c>
    </row>
    <row r="386" spans="9:12" x14ac:dyDescent="0.45">
      <c r="I386" t="s">
        <v>206</v>
      </c>
      <c r="J386" t="s">
        <v>312</v>
      </c>
      <c r="K386">
        <v>0.23386876544552299</v>
      </c>
      <c r="L386" t="s">
        <v>164</v>
      </c>
    </row>
    <row r="387" spans="9:12" x14ac:dyDescent="0.45">
      <c r="I387" t="s">
        <v>206</v>
      </c>
      <c r="J387" t="s">
        <v>313</v>
      </c>
      <c r="K387">
        <v>0</v>
      </c>
      <c r="L387" t="s">
        <v>164</v>
      </c>
    </row>
    <row r="388" spans="9:12" x14ac:dyDescent="0.45">
      <c r="I388" t="s">
        <v>206</v>
      </c>
      <c r="J388" t="s">
        <v>314</v>
      </c>
      <c r="K388">
        <v>1.1448490207680219E-2</v>
      </c>
      <c r="L388" t="s">
        <v>164</v>
      </c>
    </row>
    <row r="389" spans="9:12" x14ac:dyDescent="0.45">
      <c r="I389" t="s">
        <v>206</v>
      </c>
      <c r="J389" t="s">
        <v>315</v>
      </c>
      <c r="K389">
        <v>0.18879624256636832</v>
      </c>
      <c r="L389" t="s">
        <v>164</v>
      </c>
    </row>
    <row r="390" spans="9:12" x14ac:dyDescent="0.45">
      <c r="I390" t="s">
        <v>206</v>
      </c>
      <c r="J390" t="s">
        <v>316</v>
      </c>
      <c r="K390">
        <v>0</v>
      </c>
      <c r="L390" t="s">
        <v>164</v>
      </c>
    </row>
    <row r="391" spans="9:12" x14ac:dyDescent="0.45">
      <c r="I391" t="s">
        <v>206</v>
      </c>
      <c r="J391" t="s">
        <v>317</v>
      </c>
      <c r="K391">
        <v>1.31051586358418E-2</v>
      </c>
      <c r="L391" t="s">
        <v>164</v>
      </c>
    </row>
    <row r="392" spans="9:12" x14ac:dyDescent="0.45">
      <c r="I392" t="s">
        <v>206</v>
      </c>
      <c r="J392" t="s">
        <v>318</v>
      </c>
      <c r="K392">
        <v>0.27226630741993585</v>
      </c>
      <c r="L392" t="s">
        <v>164</v>
      </c>
    </row>
    <row r="393" spans="9:12" x14ac:dyDescent="0.45">
      <c r="I393" t="s">
        <v>206</v>
      </c>
      <c r="J393" t="s">
        <v>319</v>
      </c>
      <c r="K393">
        <v>0</v>
      </c>
      <c r="L393" t="s">
        <v>164</v>
      </c>
    </row>
    <row r="394" spans="9:12" x14ac:dyDescent="0.45">
      <c r="I394" t="s">
        <v>206</v>
      </c>
      <c r="J394" t="s">
        <v>320</v>
      </c>
      <c r="K394">
        <v>1.7998984128193701E-2</v>
      </c>
      <c r="L394" t="s">
        <v>164</v>
      </c>
    </row>
    <row r="395" spans="9:12" x14ac:dyDescent="0.45">
      <c r="I395" t="s">
        <v>207</v>
      </c>
      <c r="J395" t="s">
        <v>309</v>
      </c>
      <c r="K395">
        <v>0.2580368366614339</v>
      </c>
      <c r="L395" t="s">
        <v>164</v>
      </c>
    </row>
    <row r="396" spans="9:12" x14ac:dyDescent="0.45">
      <c r="I396" t="s">
        <v>207</v>
      </c>
      <c r="J396" t="s">
        <v>310</v>
      </c>
      <c r="K396">
        <v>0</v>
      </c>
      <c r="L396" t="s">
        <v>164</v>
      </c>
    </row>
    <row r="397" spans="9:12" x14ac:dyDescent="0.45">
      <c r="I397" t="s">
        <v>207</v>
      </c>
      <c r="J397" t="s">
        <v>311</v>
      </c>
      <c r="K397">
        <v>8.1215092362087286E-3</v>
      </c>
      <c r="L397" t="s">
        <v>164</v>
      </c>
    </row>
    <row r="398" spans="9:12" x14ac:dyDescent="0.45">
      <c r="I398" t="s">
        <v>207</v>
      </c>
      <c r="J398" t="s">
        <v>312</v>
      </c>
      <c r="K398">
        <v>0.21970446432693594</v>
      </c>
      <c r="L398" t="s">
        <v>164</v>
      </c>
    </row>
    <row r="399" spans="9:12" x14ac:dyDescent="0.45">
      <c r="I399" t="s">
        <v>207</v>
      </c>
      <c r="J399" t="s">
        <v>313</v>
      </c>
      <c r="K399">
        <v>0</v>
      </c>
      <c r="L399" t="s">
        <v>164</v>
      </c>
    </row>
    <row r="400" spans="9:12" x14ac:dyDescent="0.45">
      <c r="I400" t="s">
        <v>207</v>
      </c>
      <c r="J400" t="s">
        <v>314</v>
      </c>
      <c r="K400">
        <v>1.4488587507474811E-2</v>
      </c>
      <c r="L400" t="s">
        <v>164</v>
      </c>
    </row>
    <row r="401" spans="9:12" x14ac:dyDescent="0.45">
      <c r="I401" t="s">
        <v>207</v>
      </c>
      <c r="J401" t="s">
        <v>315</v>
      </c>
      <c r="K401">
        <v>0.1843500331505398</v>
      </c>
      <c r="L401" t="s">
        <v>164</v>
      </c>
    </row>
    <row r="402" spans="9:12" x14ac:dyDescent="0.45">
      <c r="I402" t="s">
        <v>207</v>
      </c>
      <c r="J402" t="s">
        <v>316</v>
      </c>
      <c r="K402">
        <v>0</v>
      </c>
      <c r="L402" t="s">
        <v>164</v>
      </c>
    </row>
    <row r="403" spans="9:12" x14ac:dyDescent="0.45">
      <c r="I403" t="s">
        <v>207</v>
      </c>
      <c r="J403" t="s">
        <v>317</v>
      </c>
      <c r="K403">
        <v>1.2307827025950173E-2</v>
      </c>
      <c r="L403" t="s">
        <v>164</v>
      </c>
    </row>
    <row r="404" spans="9:12" x14ac:dyDescent="0.45">
      <c r="I404" t="s">
        <v>207</v>
      </c>
      <c r="J404" t="s">
        <v>318</v>
      </c>
      <c r="K404">
        <v>0.28355999472977955</v>
      </c>
      <c r="L404" t="s">
        <v>164</v>
      </c>
    </row>
    <row r="405" spans="9:12" x14ac:dyDescent="0.45">
      <c r="I405" t="s">
        <v>207</v>
      </c>
      <c r="J405" t="s">
        <v>319</v>
      </c>
      <c r="K405">
        <v>0</v>
      </c>
      <c r="L405" t="s">
        <v>164</v>
      </c>
    </row>
    <row r="406" spans="9:12" x14ac:dyDescent="0.45">
      <c r="I406" t="s">
        <v>207</v>
      </c>
      <c r="J406" t="s">
        <v>320</v>
      </c>
      <c r="K406">
        <v>1.943074736167965E-2</v>
      </c>
      <c r="L40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2025-12-05T16:09:02Z</dcterms:modified>
</cp:coreProperties>
</file>